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oon\PycharmProjects\midas-stock\"/>
    </mc:Choice>
  </mc:AlternateContent>
  <xr:revisionPtr revIDLastSave="0" documentId="13_ncr:1_{63D8341F-BC4E-4717-A197-31373A5436E2}" xr6:coauthVersionLast="45" xr6:coauthVersionMax="45" xr10:uidLastSave="{00000000-0000-0000-0000-000000000000}"/>
  <bookViews>
    <workbookView minimized="1" xWindow="2340" yWindow="2340" windowWidth="21600" windowHeight="11385" activeTab="3" xr2:uid="{F82DB815-811A-4BEF-BC2C-57B82F478C8D}"/>
  </bookViews>
  <sheets>
    <sheet name="SET" sheetId="6" r:id="rId1"/>
    <sheet name="HistPrice" sheetId="5" r:id="rId2"/>
    <sheet name="Jitta" sheetId="2" r:id="rId3"/>
    <sheet name="Data" sheetId="3" r:id="rId4"/>
    <sheet name="Tip" sheetId="4" r:id="rId5"/>
    <sheet name="Valuation" sheetId="1" r:id="rId6"/>
  </sheets>
  <definedNames>
    <definedName name="ExternalData_1" localSheetId="1">HistPrice!#REF!</definedName>
    <definedName name="ExternalData_1" localSheetId="2">Jitta!#REF!</definedName>
    <definedName name="ExternalData_10" localSheetId="1">HistPrice!$A$1:$F$1221</definedName>
    <definedName name="ExternalData_10" localSheetId="2">Jitta!$A$1:$U$53</definedName>
    <definedName name="ExternalData_11" localSheetId="1">HistPrice!$A$1:$F$1221</definedName>
    <definedName name="ExternalData_11" localSheetId="2">Jitta!$A$1:$U$53</definedName>
    <definedName name="ExternalData_12" localSheetId="1">HistPrice!$A$1:$F$1221</definedName>
    <definedName name="ExternalData_12" localSheetId="2">Jitta!$A$1:$U$53</definedName>
    <definedName name="ExternalData_13" localSheetId="1">HistPrice!$A$1:$F$4448</definedName>
    <definedName name="ExternalData_13" localSheetId="2">Jitta!$A$1:$U$53</definedName>
    <definedName name="ExternalData_14" localSheetId="1">HistPrice!$A$1:$F$4448</definedName>
    <definedName name="ExternalData_15" localSheetId="1">HistPrice!$A$1:$F$4447</definedName>
    <definedName name="ExternalData_16" localSheetId="1">HistPrice!$A$1:$F$4447</definedName>
    <definedName name="ExternalData_17" localSheetId="1">HistPrice!$A$1:$F$4008</definedName>
    <definedName name="ExternalData_17" localSheetId="2">Jitta!$A$1:$U$53</definedName>
    <definedName name="ExternalData_2" localSheetId="2">Jitta!$A$1:$U$53</definedName>
    <definedName name="ExternalData_2" localSheetId="0">SET!$A$1:$F$4897</definedName>
    <definedName name="ExternalData_22" localSheetId="2">Jitta!$A$1:$U$53</definedName>
    <definedName name="ExternalData_23" localSheetId="2">Jitta!$A$1:$U$53</definedName>
    <definedName name="ExternalData_24" localSheetId="2">Jitta!$A$1:$U$53</definedName>
    <definedName name="ExternalData_25" localSheetId="2">Jitta!$A$1:$U$53</definedName>
    <definedName name="ExternalData_26" localSheetId="2">Jitta!$A$1:$U$53</definedName>
    <definedName name="ExternalData_27" localSheetId="2">Jitta!$A$1:$U$53</definedName>
    <definedName name="ExternalData_28" localSheetId="2">Jitta!$A$1:$U$53</definedName>
    <definedName name="ExternalData_29" localSheetId="2">Jitta!$A$1:$U$53</definedName>
    <definedName name="ExternalData_3" localSheetId="1">HistPrice!#REF!</definedName>
    <definedName name="ExternalData_3" localSheetId="2">Jitta!#REF!</definedName>
    <definedName name="ExternalData_30" localSheetId="2">Jitta!$A$1:$U$53</definedName>
    <definedName name="ExternalData_31" localSheetId="2">Jitta!$A$1:$U$53</definedName>
    <definedName name="ExternalData_32" localSheetId="2">Jitta!$A$1:$U$53</definedName>
    <definedName name="ExternalData_33" localSheetId="2">Jitta!$A$1:$U$53</definedName>
    <definedName name="ExternalData_34" localSheetId="2">Jitta!$A$1:$U$53</definedName>
    <definedName name="ExternalData_35" localSheetId="2">Jitta!$A$1:$U$59</definedName>
    <definedName name="ExternalData_4" localSheetId="1">HistPrice!#REF!</definedName>
    <definedName name="ExternalData_4" localSheetId="2">Jitta!#REF!</definedName>
    <definedName name="ExternalData_40" localSheetId="2">Jitta!$A$1:$U$59</definedName>
    <definedName name="ExternalData_41" localSheetId="2">Jitta!$A$1:$U$59</definedName>
    <definedName name="ExternalData_42" localSheetId="2">Jitta!$A$1:$U$59</definedName>
    <definedName name="ExternalData_43" localSheetId="2">Jitta!$A$1:$U$59</definedName>
    <definedName name="ExternalData_44" localSheetId="2">Jitta!$A$1:$U$59</definedName>
    <definedName name="ExternalData_45" localSheetId="2">Jitta!$A$1:$U$59</definedName>
    <definedName name="ExternalData_46" localSheetId="2">Jitta!$A$1:$U$59</definedName>
    <definedName name="ExternalData_47" localSheetId="2">Jitta!$A$1:$U$59</definedName>
    <definedName name="ExternalData_48" localSheetId="2">Jitta!$A$1:$U$59</definedName>
    <definedName name="ExternalData_49" localSheetId="2">Jitta!$A$1:$U$59</definedName>
    <definedName name="ExternalData_5" localSheetId="1">HistPrice!$A$1:$F$1221</definedName>
    <definedName name="ExternalData_50" localSheetId="2">Jitta!$A$1:$U$59</definedName>
    <definedName name="ExternalData_51" localSheetId="2">Jitta!$A$1:$U$59</definedName>
    <definedName name="ExternalData_52" localSheetId="2">Jitta!$A$1:$U$59</definedName>
    <definedName name="ExternalData_54" localSheetId="2">Jitta!$A$1:$U$59</definedName>
    <definedName name="ExternalData_55" localSheetId="2">Jitta!$A$1:$U$59</definedName>
    <definedName name="ExternalData_56" localSheetId="2">Jitta!$A$1:$U$59</definedName>
    <definedName name="ExternalData_57" localSheetId="2">Jitta!$A$1:$U$59</definedName>
    <definedName name="ExternalData_58" localSheetId="2">Jitta!$A$1:$U$59</definedName>
    <definedName name="ExternalData_59" localSheetId="2">Jitta!$A$1:$U$59</definedName>
    <definedName name="ExternalData_6" localSheetId="1">HistPrice!$A$1:$F$1221</definedName>
    <definedName name="ExternalData_6" localSheetId="0">SET!$A$1:$F$4897</definedName>
    <definedName name="ExternalData_60" localSheetId="2">Jitta!$A$1:$U$59</definedName>
    <definedName name="ExternalData_61" localSheetId="2">Jitta!$A$1:$U$59</definedName>
    <definedName name="ExternalData_62" localSheetId="2">Jitta!$A$1:$U$59</definedName>
    <definedName name="ExternalData_7" localSheetId="1">HistPrice!$A$1:$F$1221</definedName>
    <definedName name="ExternalData_7" localSheetId="2">Jitta!$A$1:$U$53</definedName>
    <definedName name="ExternalData_7" localSheetId="0">SET!$A$1:$F$4897</definedName>
    <definedName name="ExternalData_8" localSheetId="1">HistPrice!$A$1:$F$1221</definedName>
    <definedName name="ExternalData_8" localSheetId="2">Jitta!$A$1:$U$53</definedName>
    <definedName name="ExternalData_8" localSheetId="0">SET!$A$1:$F$4897</definedName>
    <definedName name="ExternalData_9" localSheetId="1">HistPrice!$A$1:$F$1221</definedName>
    <definedName name="ExternalData_9" localSheetId="2">Jitta!$A$1:$U$53</definedName>
    <definedName name="g">Valuation!$B$14</definedName>
    <definedName name="Ke">Valuation!$B$9</definedName>
    <definedName name="Payout">Valuation!$B$13</definedName>
    <definedName name="RoE">Valuation!$B$12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  <c r="C1" i="1" s="1"/>
  <c r="A69" i="3"/>
  <c r="B69" i="3"/>
  <c r="C69" i="3"/>
  <c r="D69" i="3"/>
  <c r="E69" i="3"/>
  <c r="F69" i="3"/>
  <c r="G69" i="3"/>
  <c r="H69" i="3"/>
  <c r="I69" i="3"/>
  <c r="J69" i="3"/>
  <c r="K69" i="3"/>
  <c r="M69" i="3"/>
  <c r="N69" i="3"/>
  <c r="O69" i="3"/>
  <c r="P69" i="3"/>
  <c r="Q69" i="3"/>
  <c r="R69" i="3"/>
  <c r="S69" i="3"/>
  <c r="T69" i="3"/>
  <c r="U69" i="3"/>
  <c r="V69" i="3"/>
  <c r="A70" i="3"/>
  <c r="B70" i="3"/>
  <c r="C70" i="3"/>
  <c r="D70" i="3"/>
  <c r="E70" i="3"/>
  <c r="F70" i="3"/>
  <c r="G70" i="3"/>
  <c r="H70" i="3"/>
  <c r="I70" i="3"/>
  <c r="J70" i="3"/>
  <c r="K70" i="3"/>
  <c r="M70" i="3"/>
  <c r="N70" i="3"/>
  <c r="O70" i="3"/>
  <c r="P70" i="3"/>
  <c r="Q70" i="3"/>
  <c r="R70" i="3"/>
  <c r="S70" i="3"/>
  <c r="T70" i="3"/>
  <c r="U70" i="3"/>
  <c r="V70" i="3"/>
  <c r="A72" i="3"/>
  <c r="B72" i="3"/>
  <c r="C72" i="3"/>
  <c r="D72" i="3"/>
  <c r="E72" i="3"/>
  <c r="F72" i="3"/>
  <c r="G72" i="3"/>
  <c r="H72" i="3"/>
  <c r="I72" i="3"/>
  <c r="J72" i="3"/>
  <c r="K72" i="3"/>
  <c r="M72" i="3"/>
  <c r="N72" i="3"/>
  <c r="O72" i="3"/>
  <c r="P72" i="3"/>
  <c r="Q72" i="3"/>
  <c r="R72" i="3"/>
  <c r="S72" i="3"/>
  <c r="T72" i="3"/>
  <c r="U72" i="3"/>
  <c r="V72" i="3"/>
  <c r="A73" i="3"/>
  <c r="B73" i="3"/>
  <c r="C73" i="3"/>
  <c r="D73" i="3"/>
  <c r="E73" i="3"/>
  <c r="F73" i="3"/>
  <c r="G73" i="3"/>
  <c r="H73" i="3"/>
  <c r="I73" i="3"/>
  <c r="J73" i="3"/>
  <c r="K73" i="3"/>
  <c r="M73" i="3"/>
  <c r="N73" i="3"/>
  <c r="O73" i="3"/>
  <c r="P73" i="3"/>
  <c r="Q73" i="3"/>
  <c r="R73" i="3"/>
  <c r="S73" i="3"/>
  <c r="T73" i="3"/>
  <c r="U73" i="3"/>
  <c r="V73" i="3"/>
  <c r="A67" i="3"/>
  <c r="B67" i="3"/>
  <c r="C67" i="3"/>
  <c r="D67" i="3"/>
  <c r="E67" i="3"/>
  <c r="F67" i="3"/>
  <c r="G67" i="3"/>
  <c r="H67" i="3"/>
  <c r="I67" i="3"/>
  <c r="J67" i="3"/>
  <c r="K67" i="3"/>
  <c r="M67" i="3"/>
  <c r="N67" i="3"/>
  <c r="O67" i="3"/>
  <c r="P67" i="3"/>
  <c r="Q67" i="3"/>
  <c r="R67" i="3"/>
  <c r="S67" i="3"/>
  <c r="T67" i="3"/>
  <c r="U67" i="3"/>
  <c r="V67" i="3"/>
  <c r="A68" i="3"/>
  <c r="B68" i="3"/>
  <c r="C68" i="3"/>
  <c r="D68" i="3"/>
  <c r="E68" i="3"/>
  <c r="F68" i="3"/>
  <c r="G68" i="3"/>
  <c r="H68" i="3"/>
  <c r="I68" i="3"/>
  <c r="J68" i="3"/>
  <c r="K68" i="3"/>
  <c r="M68" i="3"/>
  <c r="N68" i="3"/>
  <c r="O68" i="3"/>
  <c r="P68" i="3"/>
  <c r="Q68" i="3"/>
  <c r="R68" i="3"/>
  <c r="S68" i="3"/>
  <c r="T68" i="3"/>
  <c r="U68" i="3"/>
  <c r="V68" i="3"/>
  <c r="C47" i="1"/>
  <c r="D47" i="1"/>
  <c r="B47" i="1"/>
  <c r="B43" i="1"/>
  <c r="B44" i="1" s="1"/>
  <c r="D35" i="1"/>
  <c r="C35" i="1"/>
  <c r="B35" i="1"/>
  <c r="B31" i="1"/>
  <c r="D48" i="1" l="1"/>
  <c r="C48" i="1"/>
  <c r="B48" i="1"/>
  <c r="C46" i="1"/>
  <c r="D46" i="1"/>
  <c r="B46" i="1"/>
  <c r="C34" i="1"/>
  <c r="D34" i="1"/>
  <c r="B34" i="1"/>
  <c r="B9" i="1"/>
  <c r="B1" i="3"/>
  <c r="C1" i="3"/>
  <c r="D1" i="3"/>
  <c r="E1" i="3"/>
  <c r="F1" i="3"/>
  <c r="G1" i="3"/>
  <c r="H1" i="3"/>
  <c r="I1" i="3"/>
  <c r="J1" i="3"/>
  <c r="K1" i="3"/>
  <c r="M1" i="3"/>
  <c r="N1" i="3"/>
  <c r="O1" i="3"/>
  <c r="P1" i="3"/>
  <c r="Q1" i="3"/>
  <c r="R1" i="3"/>
  <c r="S1" i="3"/>
  <c r="T1" i="3"/>
  <c r="U1" i="3"/>
  <c r="V1" i="3"/>
  <c r="A2" i="3"/>
  <c r="B2" i="3"/>
  <c r="C2" i="3"/>
  <c r="D2" i="3"/>
  <c r="E2" i="3"/>
  <c r="F2" i="3"/>
  <c r="G2" i="3"/>
  <c r="H2" i="3"/>
  <c r="I2" i="3"/>
  <c r="J2" i="3"/>
  <c r="K2" i="3"/>
  <c r="M2" i="3"/>
  <c r="N2" i="3"/>
  <c r="O2" i="3"/>
  <c r="P2" i="3"/>
  <c r="Q2" i="3"/>
  <c r="R2" i="3"/>
  <c r="S2" i="3"/>
  <c r="T2" i="3"/>
  <c r="U2" i="3"/>
  <c r="V2" i="3"/>
  <c r="E3" i="1" s="1"/>
  <c r="A4" i="3"/>
  <c r="B4" i="3"/>
  <c r="C4" i="3"/>
  <c r="D4" i="3"/>
  <c r="E4" i="3"/>
  <c r="F4" i="3"/>
  <c r="G4" i="3"/>
  <c r="H4" i="3"/>
  <c r="I4" i="3"/>
  <c r="J4" i="3"/>
  <c r="K4" i="3"/>
  <c r="M4" i="3"/>
  <c r="N4" i="3"/>
  <c r="O4" i="3"/>
  <c r="P4" i="3"/>
  <c r="Q4" i="3"/>
  <c r="R4" i="3"/>
  <c r="S4" i="3"/>
  <c r="T4" i="3"/>
  <c r="U4" i="3"/>
  <c r="V4" i="3"/>
  <c r="A5" i="3"/>
  <c r="B5" i="3"/>
  <c r="C5" i="3"/>
  <c r="D5" i="3"/>
  <c r="E5" i="3"/>
  <c r="F5" i="3"/>
  <c r="G5" i="3"/>
  <c r="H5" i="3"/>
  <c r="I5" i="3"/>
  <c r="J5" i="3"/>
  <c r="K5" i="3"/>
  <c r="M5" i="3"/>
  <c r="N5" i="3"/>
  <c r="O5" i="3"/>
  <c r="P5" i="3"/>
  <c r="Q5" i="3"/>
  <c r="R5" i="3"/>
  <c r="S5" i="3"/>
  <c r="T5" i="3"/>
  <c r="U5" i="3"/>
  <c r="V5" i="3"/>
  <c r="A6" i="3"/>
  <c r="B6" i="3"/>
  <c r="C6" i="3"/>
  <c r="D6" i="3"/>
  <c r="E6" i="3"/>
  <c r="F6" i="3"/>
  <c r="G6" i="3"/>
  <c r="H6" i="3"/>
  <c r="I6" i="3"/>
  <c r="J6" i="3"/>
  <c r="K6" i="3"/>
  <c r="M6" i="3"/>
  <c r="N6" i="3"/>
  <c r="O6" i="3"/>
  <c r="P6" i="3"/>
  <c r="Q6" i="3"/>
  <c r="R6" i="3"/>
  <c r="S6" i="3"/>
  <c r="T6" i="3"/>
  <c r="U6" i="3"/>
  <c r="V6" i="3"/>
  <c r="A7" i="3"/>
  <c r="B7" i="3"/>
  <c r="C7" i="3"/>
  <c r="D7" i="3"/>
  <c r="E7" i="3"/>
  <c r="F7" i="3"/>
  <c r="G7" i="3"/>
  <c r="H7" i="3"/>
  <c r="I7" i="3"/>
  <c r="J7" i="3"/>
  <c r="K7" i="3"/>
  <c r="M7" i="3"/>
  <c r="N7" i="3"/>
  <c r="O7" i="3"/>
  <c r="P7" i="3"/>
  <c r="Q7" i="3"/>
  <c r="R7" i="3"/>
  <c r="S7" i="3"/>
  <c r="T7" i="3"/>
  <c r="U7" i="3"/>
  <c r="V7" i="3"/>
  <c r="A9" i="3"/>
  <c r="B9" i="3"/>
  <c r="C9" i="3"/>
  <c r="D9" i="3"/>
  <c r="E9" i="3"/>
  <c r="F9" i="3"/>
  <c r="G9" i="3"/>
  <c r="H9" i="3"/>
  <c r="I9" i="3"/>
  <c r="J9" i="3"/>
  <c r="K9" i="3"/>
  <c r="M9" i="3"/>
  <c r="N9" i="3"/>
  <c r="O9" i="3"/>
  <c r="P9" i="3"/>
  <c r="Q9" i="3"/>
  <c r="R9" i="3"/>
  <c r="S9" i="3"/>
  <c r="T9" i="3"/>
  <c r="U9" i="3"/>
  <c r="V9" i="3"/>
  <c r="A10" i="3"/>
  <c r="B10" i="3"/>
  <c r="C10" i="3"/>
  <c r="D10" i="3"/>
  <c r="E10" i="3"/>
  <c r="F10" i="3"/>
  <c r="G10" i="3"/>
  <c r="H10" i="3"/>
  <c r="I10" i="3"/>
  <c r="J10" i="3"/>
  <c r="K10" i="3"/>
  <c r="M10" i="3"/>
  <c r="N10" i="3"/>
  <c r="O10" i="3"/>
  <c r="P10" i="3"/>
  <c r="Q10" i="3"/>
  <c r="R10" i="3"/>
  <c r="S10" i="3"/>
  <c r="T10" i="3"/>
  <c r="U10" i="3"/>
  <c r="V10" i="3"/>
  <c r="A11" i="3"/>
  <c r="B11" i="3"/>
  <c r="C11" i="3"/>
  <c r="D11" i="3"/>
  <c r="E11" i="3"/>
  <c r="F11" i="3"/>
  <c r="G11" i="3"/>
  <c r="H11" i="3"/>
  <c r="I11" i="3"/>
  <c r="J11" i="3"/>
  <c r="K11" i="3"/>
  <c r="M11" i="3"/>
  <c r="N11" i="3"/>
  <c r="O11" i="3"/>
  <c r="P11" i="3"/>
  <c r="Q11" i="3"/>
  <c r="R11" i="3"/>
  <c r="S11" i="3"/>
  <c r="T11" i="3"/>
  <c r="U11" i="3"/>
  <c r="V11" i="3"/>
  <c r="A12" i="3"/>
  <c r="B12" i="3"/>
  <c r="C12" i="3"/>
  <c r="D12" i="3"/>
  <c r="E12" i="3"/>
  <c r="F12" i="3"/>
  <c r="G12" i="3"/>
  <c r="H12" i="3"/>
  <c r="I12" i="3"/>
  <c r="J12" i="3"/>
  <c r="K12" i="3"/>
  <c r="M12" i="3"/>
  <c r="N12" i="3"/>
  <c r="O12" i="3"/>
  <c r="P12" i="3"/>
  <c r="Q12" i="3"/>
  <c r="R12" i="3"/>
  <c r="S12" i="3"/>
  <c r="T12" i="3"/>
  <c r="U12" i="3"/>
  <c r="V12" i="3"/>
  <c r="A14" i="3"/>
  <c r="B14" i="3"/>
  <c r="C14" i="3"/>
  <c r="D14" i="3"/>
  <c r="E14" i="3"/>
  <c r="F14" i="3"/>
  <c r="G14" i="3"/>
  <c r="H14" i="3"/>
  <c r="I14" i="3"/>
  <c r="J14" i="3"/>
  <c r="K14" i="3"/>
  <c r="M14" i="3"/>
  <c r="N14" i="3"/>
  <c r="O14" i="3"/>
  <c r="P14" i="3"/>
  <c r="Q14" i="3"/>
  <c r="R14" i="3"/>
  <c r="S14" i="3"/>
  <c r="T14" i="3"/>
  <c r="U14" i="3"/>
  <c r="V14" i="3"/>
  <c r="A15" i="3"/>
  <c r="B15" i="3"/>
  <c r="C15" i="3"/>
  <c r="D15" i="3"/>
  <c r="E15" i="3"/>
  <c r="F15" i="3"/>
  <c r="G15" i="3"/>
  <c r="H15" i="3"/>
  <c r="I15" i="3"/>
  <c r="J15" i="3"/>
  <c r="K15" i="3"/>
  <c r="M15" i="3"/>
  <c r="N15" i="3"/>
  <c r="O15" i="3"/>
  <c r="P15" i="3"/>
  <c r="Q15" i="3"/>
  <c r="R15" i="3"/>
  <c r="S15" i="3"/>
  <c r="T15" i="3"/>
  <c r="U15" i="3"/>
  <c r="V15" i="3"/>
  <c r="A17" i="3"/>
  <c r="B17" i="3"/>
  <c r="C17" i="3"/>
  <c r="D17" i="3"/>
  <c r="E17" i="3"/>
  <c r="F17" i="3"/>
  <c r="G17" i="3"/>
  <c r="H17" i="3"/>
  <c r="I17" i="3"/>
  <c r="J17" i="3"/>
  <c r="K17" i="3"/>
  <c r="M17" i="3"/>
  <c r="N17" i="3"/>
  <c r="O17" i="3"/>
  <c r="P17" i="3"/>
  <c r="Q17" i="3"/>
  <c r="R17" i="3"/>
  <c r="S17" i="3"/>
  <c r="T17" i="3"/>
  <c r="U17" i="3"/>
  <c r="V17" i="3"/>
  <c r="A18" i="3"/>
  <c r="B18" i="3"/>
  <c r="C18" i="3"/>
  <c r="D18" i="3"/>
  <c r="E18" i="3"/>
  <c r="F18" i="3"/>
  <c r="G18" i="3"/>
  <c r="H18" i="3"/>
  <c r="I18" i="3"/>
  <c r="J18" i="3"/>
  <c r="K18" i="3"/>
  <c r="M18" i="3"/>
  <c r="N18" i="3"/>
  <c r="O18" i="3"/>
  <c r="P18" i="3"/>
  <c r="Q18" i="3"/>
  <c r="R18" i="3"/>
  <c r="S18" i="3"/>
  <c r="T18" i="3"/>
  <c r="U18" i="3"/>
  <c r="V18" i="3"/>
  <c r="A19" i="3"/>
  <c r="B19" i="3"/>
  <c r="C19" i="3"/>
  <c r="D19" i="3"/>
  <c r="E19" i="3"/>
  <c r="F19" i="3"/>
  <c r="G19" i="3"/>
  <c r="H19" i="3"/>
  <c r="I19" i="3"/>
  <c r="J19" i="3"/>
  <c r="K19" i="3"/>
  <c r="M19" i="3"/>
  <c r="N19" i="3"/>
  <c r="O19" i="3"/>
  <c r="P19" i="3"/>
  <c r="Q19" i="3"/>
  <c r="R19" i="3"/>
  <c r="S19" i="3"/>
  <c r="T19" i="3"/>
  <c r="U19" i="3"/>
  <c r="V19" i="3"/>
  <c r="A20" i="3"/>
  <c r="B20" i="3"/>
  <c r="C20" i="3"/>
  <c r="D20" i="3"/>
  <c r="E20" i="3"/>
  <c r="F20" i="3"/>
  <c r="G20" i="3"/>
  <c r="H20" i="3"/>
  <c r="I20" i="3"/>
  <c r="J20" i="3"/>
  <c r="K20" i="3"/>
  <c r="M20" i="3"/>
  <c r="N20" i="3"/>
  <c r="O20" i="3"/>
  <c r="P20" i="3"/>
  <c r="Q20" i="3"/>
  <c r="R20" i="3"/>
  <c r="S20" i="3"/>
  <c r="T20" i="3"/>
  <c r="U20" i="3"/>
  <c r="V20" i="3"/>
  <c r="A21" i="3"/>
  <c r="B21" i="3"/>
  <c r="C21" i="3"/>
  <c r="D21" i="3"/>
  <c r="E21" i="3"/>
  <c r="F21" i="3"/>
  <c r="G21" i="3"/>
  <c r="H21" i="3"/>
  <c r="I21" i="3"/>
  <c r="J21" i="3"/>
  <c r="K21" i="3"/>
  <c r="M21" i="3"/>
  <c r="N21" i="3"/>
  <c r="O21" i="3"/>
  <c r="P21" i="3"/>
  <c r="Q21" i="3"/>
  <c r="R21" i="3"/>
  <c r="S21" i="3"/>
  <c r="T21" i="3"/>
  <c r="U21" i="3"/>
  <c r="V21" i="3"/>
  <c r="A22" i="3"/>
  <c r="B22" i="3"/>
  <c r="C22" i="3"/>
  <c r="D22" i="3"/>
  <c r="E22" i="3"/>
  <c r="F22" i="3"/>
  <c r="G22" i="3"/>
  <c r="H22" i="3"/>
  <c r="I22" i="3"/>
  <c r="J22" i="3"/>
  <c r="K22" i="3"/>
  <c r="M22" i="3"/>
  <c r="N22" i="3"/>
  <c r="O22" i="3"/>
  <c r="P22" i="3"/>
  <c r="Q22" i="3"/>
  <c r="R22" i="3"/>
  <c r="S22" i="3"/>
  <c r="T22" i="3"/>
  <c r="U22" i="3"/>
  <c r="V22" i="3"/>
  <c r="A23" i="3"/>
  <c r="B23" i="3"/>
  <c r="C23" i="3"/>
  <c r="D23" i="3"/>
  <c r="E23" i="3"/>
  <c r="F23" i="3"/>
  <c r="G23" i="3"/>
  <c r="H23" i="3"/>
  <c r="I23" i="3"/>
  <c r="J23" i="3"/>
  <c r="K23" i="3"/>
  <c r="M23" i="3"/>
  <c r="N23" i="3"/>
  <c r="O23" i="3"/>
  <c r="P23" i="3"/>
  <c r="Q23" i="3"/>
  <c r="R23" i="3"/>
  <c r="S23" i="3"/>
  <c r="T23" i="3"/>
  <c r="U23" i="3"/>
  <c r="V23" i="3"/>
  <c r="A25" i="3"/>
  <c r="B25" i="3"/>
  <c r="C25" i="3"/>
  <c r="D25" i="3"/>
  <c r="E25" i="3"/>
  <c r="F25" i="3"/>
  <c r="G25" i="3"/>
  <c r="H25" i="3"/>
  <c r="I25" i="3"/>
  <c r="J25" i="3"/>
  <c r="K25" i="3"/>
  <c r="M25" i="3"/>
  <c r="N25" i="3"/>
  <c r="O25" i="3"/>
  <c r="P25" i="3"/>
  <c r="Q25" i="3"/>
  <c r="R25" i="3"/>
  <c r="S25" i="3"/>
  <c r="T25" i="3"/>
  <c r="U25" i="3"/>
  <c r="V25" i="3"/>
  <c r="A26" i="3"/>
  <c r="B26" i="3"/>
  <c r="C26" i="3"/>
  <c r="D26" i="3"/>
  <c r="E26" i="3"/>
  <c r="F26" i="3"/>
  <c r="G26" i="3"/>
  <c r="H26" i="3"/>
  <c r="I26" i="3"/>
  <c r="J26" i="3"/>
  <c r="K26" i="3"/>
  <c r="M26" i="3"/>
  <c r="N26" i="3"/>
  <c r="O26" i="3"/>
  <c r="P26" i="3"/>
  <c r="Q26" i="3"/>
  <c r="R26" i="3"/>
  <c r="S26" i="3"/>
  <c r="T26" i="3"/>
  <c r="U26" i="3"/>
  <c r="V26" i="3"/>
  <c r="A27" i="3"/>
  <c r="B27" i="3"/>
  <c r="C27" i="3"/>
  <c r="D27" i="3"/>
  <c r="E27" i="3"/>
  <c r="F27" i="3"/>
  <c r="G27" i="3"/>
  <c r="H27" i="3"/>
  <c r="I27" i="3"/>
  <c r="J27" i="3"/>
  <c r="K27" i="3"/>
  <c r="M27" i="3"/>
  <c r="N27" i="3"/>
  <c r="O27" i="3"/>
  <c r="P27" i="3"/>
  <c r="Q27" i="3"/>
  <c r="R27" i="3"/>
  <c r="S27" i="3"/>
  <c r="T27" i="3"/>
  <c r="U27" i="3"/>
  <c r="V27" i="3"/>
  <c r="A29" i="3"/>
  <c r="B29" i="3"/>
  <c r="C29" i="3"/>
  <c r="D29" i="3"/>
  <c r="E29" i="3"/>
  <c r="F29" i="3"/>
  <c r="G29" i="3"/>
  <c r="H29" i="3"/>
  <c r="I29" i="3"/>
  <c r="J29" i="3"/>
  <c r="K29" i="3"/>
  <c r="M29" i="3"/>
  <c r="N29" i="3"/>
  <c r="O29" i="3"/>
  <c r="P29" i="3"/>
  <c r="Q29" i="3"/>
  <c r="R29" i="3"/>
  <c r="S29" i="3"/>
  <c r="T29" i="3"/>
  <c r="U29" i="3"/>
  <c r="V29" i="3"/>
  <c r="A30" i="3"/>
  <c r="B30" i="3"/>
  <c r="C30" i="3"/>
  <c r="D30" i="3"/>
  <c r="E30" i="3"/>
  <c r="F30" i="3"/>
  <c r="G30" i="3"/>
  <c r="H30" i="3"/>
  <c r="I30" i="3"/>
  <c r="J30" i="3"/>
  <c r="K30" i="3"/>
  <c r="M30" i="3"/>
  <c r="N30" i="3"/>
  <c r="O30" i="3"/>
  <c r="P30" i="3"/>
  <c r="Q30" i="3"/>
  <c r="R30" i="3"/>
  <c r="S30" i="3"/>
  <c r="T30" i="3"/>
  <c r="U30" i="3"/>
  <c r="V30" i="3"/>
  <c r="A31" i="3"/>
  <c r="B31" i="3"/>
  <c r="C31" i="3"/>
  <c r="D31" i="3"/>
  <c r="E31" i="3"/>
  <c r="F31" i="3"/>
  <c r="G31" i="3"/>
  <c r="H31" i="3"/>
  <c r="I31" i="3"/>
  <c r="J31" i="3"/>
  <c r="K31" i="3"/>
  <c r="M31" i="3"/>
  <c r="N31" i="3"/>
  <c r="O31" i="3"/>
  <c r="P31" i="3"/>
  <c r="Q31" i="3"/>
  <c r="R31" i="3"/>
  <c r="S31" i="3"/>
  <c r="T31" i="3"/>
  <c r="U31" i="3"/>
  <c r="V31" i="3"/>
  <c r="A33" i="3"/>
  <c r="B33" i="3"/>
  <c r="C33" i="3"/>
  <c r="D33" i="3"/>
  <c r="E33" i="3"/>
  <c r="F33" i="3"/>
  <c r="G33" i="3"/>
  <c r="H33" i="3"/>
  <c r="I33" i="3"/>
  <c r="J33" i="3"/>
  <c r="K33" i="3"/>
  <c r="M33" i="3"/>
  <c r="N33" i="3"/>
  <c r="O33" i="3"/>
  <c r="P33" i="3"/>
  <c r="Q33" i="3"/>
  <c r="R33" i="3"/>
  <c r="S33" i="3"/>
  <c r="T33" i="3"/>
  <c r="U33" i="3"/>
  <c r="V33" i="3"/>
  <c r="A34" i="3"/>
  <c r="B34" i="3"/>
  <c r="C34" i="3"/>
  <c r="D34" i="3"/>
  <c r="E34" i="3"/>
  <c r="F34" i="3"/>
  <c r="G34" i="3"/>
  <c r="H34" i="3"/>
  <c r="I34" i="3"/>
  <c r="J34" i="3"/>
  <c r="K34" i="3"/>
  <c r="M34" i="3"/>
  <c r="N34" i="3"/>
  <c r="O34" i="3"/>
  <c r="P34" i="3"/>
  <c r="Q34" i="3"/>
  <c r="R34" i="3"/>
  <c r="S34" i="3"/>
  <c r="T34" i="3"/>
  <c r="U34" i="3"/>
  <c r="V34" i="3"/>
  <c r="A35" i="3"/>
  <c r="B35" i="3"/>
  <c r="C35" i="3"/>
  <c r="D35" i="3"/>
  <c r="E35" i="3"/>
  <c r="F35" i="3"/>
  <c r="G35" i="3"/>
  <c r="H35" i="3"/>
  <c r="I35" i="3"/>
  <c r="J35" i="3"/>
  <c r="K35" i="3"/>
  <c r="M35" i="3"/>
  <c r="N35" i="3"/>
  <c r="O35" i="3"/>
  <c r="P35" i="3"/>
  <c r="Q35" i="3"/>
  <c r="R35" i="3"/>
  <c r="S35" i="3"/>
  <c r="T35" i="3"/>
  <c r="U35" i="3"/>
  <c r="V35" i="3"/>
  <c r="A37" i="3"/>
  <c r="B37" i="3"/>
  <c r="C37" i="3"/>
  <c r="D37" i="3"/>
  <c r="E37" i="3"/>
  <c r="F37" i="3"/>
  <c r="G37" i="3"/>
  <c r="H37" i="3"/>
  <c r="I37" i="3"/>
  <c r="J37" i="3"/>
  <c r="K37" i="3"/>
  <c r="M37" i="3"/>
  <c r="N37" i="3"/>
  <c r="O37" i="3"/>
  <c r="P37" i="3"/>
  <c r="Q37" i="3"/>
  <c r="R37" i="3"/>
  <c r="S37" i="3"/>
  <c r="T37" i="3"/>
  <c r="U37" i="3"/>
  <c r="V37" i="3"/>
  <c r="A38" i="3"/>
  <c r="B38" i="3"/>
  <c r="C38" i="3"/>
  <c r="D38" i="3"/>
  <c r="E38" i="3"/>
  <c r="F38" i="3"/>
  <c r="G38" i="3"/>
  <c r="H38" i="3"/>
  <c r="I38" i="3"/>
  <c r="J38" i="3"/>
  <c r="K38" i="3"/>
  <c r="M38" i="3"/>
  <c r="N38" i="3"/>
  <c r="O38" i="3"/>
  <c r="P38" i="3"/>
  <c r="Q38" i="3"/>
  <c r="R38" i="3"/>
  <c r="S38" i="3"/>
  <c r="T38" i="3"/>
  <c r="U38" i="3"/>
  <c r="V38" i="3"/>
  <c r="A39" i="3"/>
  <c r="B39" i="3"/>
  <c r="C39" i="3"/>
  <c r="D39" i="3"/>
  <c r="E39" i="3"/>
  <c r="F39" i="3"/>
  <c r="G39" i="3"/>
  <c r="H39" i="3"/>
  <c r="I39" i="3"/>
  <c r="J39" i="3"/>
  <c r="K39" i="3"/>
  <c r="M39" i="3"/>
  <c r="N39" i="3"/>
  <c r="O39" i="3"/>
  <c r="P39" i="3"/>
  <c r="Q39" i="3"/>
  <c r="R39" i="3"/>
  <c r="S39" i="3"/>
  <c r="T39" i="3"/>
  <c r="U39" i="3"/>
  <c r="V39" i="3"/>
  <c r="A40" i="3"/>
  <c r="B40" i="3"/>
  <c r="C40" i="3"/>
  <c r="D40" i="3"/>
  <c r="E40" i="3"/>
  <c r="F40" i="3"/>
  <c r="G40" i="3"/>
  <c r="H40" i="3"/>
  <c r="I40" i="3"/>
  <c r="J40" i="3"/>
  <c r="K40" i="3"/>
  <c r="M40" i="3"/>
  <c r="N40" i="3"/>
  <c r="O40" i="3"/>
  <c r="P40" i="3"/>
  <c r="Q40" i="3"/>
  <c r="R40" i="3"/>
  <c r="S40" i="3"/>
  <c r="T40" i="3"/>
  <c r="U40" i="3"/>
  <c r="V40" i="3"/>
  <c r="A41" i="3"/>
  <c r="B41" i="3"/>
  <c r="C41" i="3"/>
  <c r="D41" i="3"/>
  <c r="E41" i="3"/>
  <c r="F41" i="3"/>
  <c r="G41" i="3"/>
  <c r="H41" i="3"/>
  <c r="I41" i="3"/>
  <c r="J41" i="3"/>
  <c r="K41" i="3"/>
  <c r="M41" i="3"/>
  <c r="N41" i="3"/>
  <c r="O41" i="3"/>
  <c r="P41" i="3"/>
  <c r="Q41" i="3"/>
  <c r="R41" i="3"/>
  <c r="S41" i="3"/>
  <c r="T41" i="3"/>
  <c r="U41" i="3"/>
  <c r="V41" i="3"/>
  <c r="A42" i="3"/>
  <c r="B42" i="3"/>
  <c r="C42" i="3"/>
  <c r="D42" i="3"/>
  <c r="E42" i="3"/>
  <c r="F42" i="3"/>
  <c r="G42" i="3"/>
  <c r="H42" i="3"/>
  <c r="I42" i="3"/>
  <c r="J42" i="3"/>
  <c r="K42" i="3"/>
  <c r="M42" i="3"/>
  <c r="N42" i="3"/>
  <c r="O42" i="3"/>
  <c r="P42" i="3"/>
  <c r="Q42" i="3"/>
  <c r="R42" i="3"/>
  <c r="S42" i="3"/>
  <c r="T42" i="3"/>
  <c r="U42" i="3"/>
  <c r="V42" i="3"/>
  <c r="A44" i="3"/>
  <c r="B44" i="3"/>
  <c r="C44" i="3"/>
  <c r="D44" i="3"/>
  <c r="E44" i="3"/>
  <c r="F44" i="3"/>
  <c r="G44" i="3"/>
  <c r="H44" i="3"/>
  <c r="I44" i="3"/>
  <c r="J44" i="3"/>
  <c r="K44" i="3"/>
  <c r="M44" i="3"/>
  <c r="N44" i="3"/>
  <c r="O44" i="3"/>
  <c r="P44" i="3"/>
  <c r="Q44" i="3"/>
  <c r="R44" i="3"/>
  <c r="S44" i="3"/>
  <c r="T44" i="3"/>
  <c r="U44" i="3"/>
  <c r="V44" i="3"/>
  <c r="A45" i="3"/>
  <c r="B45" i="3"/>
  <c r="C45" i="3"/>
  <c r="D45" i="3"/>
  <c r="E45" i="3"/>
  <c r="F45" i="3"/>
  <c r="G45" i="3"/>
  <c r="H45" i="3"/>
  <c r="I45" i="3"/>
  <c r="J45" i="3"/>
  <c r="K45" i="3"/>
  <c r="M45" i="3"/>
  <c r="N45" i="3"/>
  <c r="O45" i="3"/>
  <c r="P45" i="3"/>
  <c r="Q45" i="3"/>
  <c r="R45" i="3"/>
  <c r="S45" i="3"/>
  <c r="T45" i="3"/>
  <c r="U45" i="3"/>
  <c r="V45" i="3"/>
  <c r="A46" i="3"/>
  <c r="B46" i="3"/>
  <c r="C46" i="3"/>
  <c r="D46" i="3"/>
  <c r="E46" i="3"/>
  <c r="F46" i="3"/>
  <c r="G46" i="3"/>
  <c r="H46" i="3"/>
  <c r="I46" i="3"/>
  <c r="J46" i="3"/>
  <c r="K46" i="3"/>
  <c r="M46" i="3"/>
  <c r="N46" i="3"/>
  <c r="O46" i="3"/>
  <c r="P46" i="3"/>
  <c r="Q46" i="3"/>
  <c r="R46" i="3"/>
  <c r="S46" i="3"/>
  <c r="T46" i="3"/>
  <c r="U46" i="3"/>
  <c r="V46" i="3"/>
  <c r="A48" i="3"/>
  <c r="B48" i="3"/>
  <c r="C48" i="3"/>
  <c r="D48" i="3"/>
  <c r="E48" i="3"/>
  <c r="F48" i="3"/>
  <c r="G48" i="3"/>
  <c r="H48" i="3"/>
  <c r="I48" i="3"/>
  <c r="J48" i="3"/>
  <c r="K48" i="3"/>
  <c r="M48" i="3"/>
  <c r="N48" i="3"/>
  <c r="O48" i="3"/>
  <c r="P48" i="3"/>
  <c r="Q48" i="3"/>
  <c r="R48" i="3"/>
  <c r="S48" i="3"/>
  <c r="T48" i="3"/>
  <c r="U48" i="3"/>
  <c r="V48" i="3"/>
  <c r="A49" i="3"/>
  <c r="B49" i="3"/>
  <c r="C49" i="3"/>
  <c r="D49" i="3"/>
  <c r="E49" i="3"/>
  <c r="F49" i="3"/>
  <c r="G49" i="3"/>
  <c r="H49" i="3"/>
  <c r="I49" i="3"/>
  <c r="J49" i="3"/>
  <c r="K49" i="3"/>
  <c r="M49" i="3"/>
  <c r="N49" i="3"/>
  <c r="O49" i="3"/>
  <c r="P49" i="3"/>
  <c r="Q49" i="3"/>
  <c r="R49" i="3"/>
  <c r="S49" i="3"/>
  <c r="T49" i="3"/>
  <c r="U49" i="3"/>
  <c r="V49" i="3"/>
  <c r="A50" i="3"/>
  <c r="B50" i="3"/>
  <c r="C50" i="3"/>
  <c r="D50" i="3"/>
  <c r="E50" i="3"/>
  <c r="F50" i="3"/>
  <c r="G50" i="3"/>
  <c r="H50" i="3"/>
  <c r="I50" i="3"/>
  <c r="J50" i="3"/>
  <c r="K50" i="3"/>
  <c r="M50" i="3"/>
  <c r="N50" i="3"/>
  <c r="O50" i="3"/>
  <c r="P50" i="3"/>
  <c r="Q50" i="3"/>
  <c r="R50" i="3"/>
  <c r="S50" i="3"/>
  <c r="T50" i="3"/>
  <c r="U50" i="3"/>
  <c r="V50" i="3"/>
  <c r="A51" i="3"/>
  <c r="B51" i="3"/>
  <c r="C51" i="3"/>
  <c r="D51" i="3"/>
  <c r="E51" i="3"/>
  <c r="F51" i="3"/>
  <c r="G51" i="3"/>
  <c r="H51" i="3"/>
  <c r="I51" i="3"/>
  <c r="J51" i="3"/>
  <c r="K51" i="3"/>
  <c r="M51" i="3"/>
  <c r="N51" i="3"/>
  <c r="O51" i="3"/>
  <c r="P51" i="3"/>
  <c r="Q51" i="3"/>
  <c r="R51" i="3"/>
  <c r="S51" i="3"/>
  <c r="T51" i="3"/>
  <c r="U51" i="3"/>
  <c r="V51" i="3"/>
  <c r="A52" i="3"/>
  <c r="B52" i="3"/>
  <c r="C52" i="3"/>
  <c r="D52" i="3"/>
  <c r="E52" i="3"/>
  <c r="F52" i="3"/>
  <c r="G52" i="3"/>
  <c r="H52" i="3"/>
  <c r="I52" i="3"/>
  <c r="J52" i="3"/>
  <c r="K52" i="3"/>
  <c r="M52" i="3"/>
  <c r="N52" i="3"/>
  <c r="O52" i="3"/>
  <c r="P52" i="3"/>
  <c r="Q52" i="3"/>
  <c r="R52" i="3"/>
  <c r="S52" i="3"/>
  <c r="T52" i="3"/>
  <c r="U52" i="3"/>
  <c r="V52" i="3"/>
  <c r="A53" i="3"/>
  <c r="B53" i="3"/>
  <c r="C53" i="3"/>
  <c r="D53" i="3"/>
  <c r="E53" i="3"/>
  <c r="F53" i="3"/>
  <c r="G53" i="3"/>
  <c r="H53" i="3"/>
  <c r="I53" i="3"/>
  <c r="J53" i="3"/>
  <c r="K53" i="3"/>
  <c r="M53" i="3"/>
  <c r="N53" i="3"/>
  <c r="O53" i="3"/>
  <c r="P53" i="3"/>
  <c r="Q53" i="3"/>
  <c r="R53" i="3"/>
  <c r="S53" i="3"/>
  <c r="T53" i="3"/>
  <c r="U53" i="3"/>
  <c r="V53" i="3"/>
  <c r="A55" i="3"/>
  <c r="B55" i="3"/>
  <c r="C55" i="3"/>
  <c r="D55" i="3"/>
  <c r="E55" i="3"/>
  <c r="F55" i="3"/>
  <c r="G55" i="3"/>
  <c r="H55" i="3"/>
  <c r="I55" i="3"/>
  <c r="J55" i="3"/>
  <c r="K55" i="3"/>
  <c r="M55" i="3"/>
  <c r="N55" i="3"/>
  <c r="O55" i="3"/>
  <c r="P55" i="3"/>
  <c r="Q55" i="3"/>
  <c r="R55" i="3"/>
  <c r="S55" i="3"/>
  <c r="T55" i="3"/>
  <c r="U55" i="3"/>
  <c r="V55" i="3"/>
  <c r="A56" i="3"/>
  <c r="B56" i="3"/>
  <c r="C56" i="3"/>
  <c r="D56" i="3"/>
  <c r="E56" i="3"/>
  <c r="F56" i="3"/>
  <c r="G56" i="3"/>
  <c r="H56" i="3"/>
  <c r="I56" i="3"/>
  <c r="J56" i="3"/>
  <c r="K56" i="3"/>
  <c r="M56" i="3"/>
  <c r="N56" i="3"/>
  <c r="O56" i="3"/>
  <c r="P56" i="3"/>
  <c r="Q56" i="3"/>
  <c r="R56" i="3"/>
  <c r="S56" i="3"/>
  <c r="T56" i="3"/>
  <c r="U56" i="3"/>
  <c r="V56" i="3"/>
  <c r="A57" i="3"/>
  <c r="B57" i="3"/>
  <c r="C57" i="3"/>
  <c r="D57" i="3"/>
  <c r="E57" i="3"/>
  <c r="F57" i="3"/>
  <c r="G57" i="3"/>
  <c r="H57" i="3"/>
  <c r="I57" i="3"/>
  <c r="J57" i="3"/>
  <c r="K57" i="3"/>
  <c r="M57" i="3"/>
  <c r="N57" i="3"/>
  <c r="O57" i="3"/>
  <c r="P57" i="3"/>
  <c r="Q57" i="3"/>
  <c r="R57" i="3"/>
  <c r="S57" i="3"/>
  <c r="T57" i="3"/>
  <c r="U57" i="3"/>
  <c r="V57" i="3"/>
  <c r="A58" i="3"/>
  <c r="B58" i="3"/>
  <c r="C58" i="3"/>
  <c r="D58" i="3"/>
  <c r="E58" i="3"/>
  <c r="F58" i="3"/>
  <c r="G58" i="3"/>
  <c r="H58" i="3"/>
  <c r="I58" i="3"/>
  <c r="J58" i="3"/>
  <c r="K58" i="3"/>
  <c r="M58" i="3"/>
  <c r="N58" i="3"/>
  <c r="O58" i="3"/>
  <c r="P58" i="3"/>
  <c r="Q58" i="3"/>
  <c r="R58" i="3"/>
  <c r="S58" i="3"/>
  <c r="T58" i="3"/>
  <c r="U58" i="3"/>
  <c r="V58" i="3"/>
  <c r="A59" i="3"/>
  <c r="B59" i="3"/>
  <c r="C59" i="3"/>
  <c r="D59" i="3"/>
  <c r="E59" i="3"/>
  <c r="F59" i="3"/>
  <c r="G59" i="3"/>
  <c r="H59" i="3"/>
  <c r="I59" i="3"/>
  <c r="J59" i="3"/>
  <c r="K59" i="3"/>
  <c r="M59" i="3"/>
  <c r="N59" i="3"/>
  <c r="O59" i="3"/>
  <c r="P59" i="3"/>
  <c r="Q59" i="3"/>
  <c r="R59" i="3"/>
  <c r="S59" i="3"/>
  <c r="T59" i="3"/>
  <c r="U59" i="3"/>
  <c r="V59" i="3"/>
  <c r="A60" i="3"/>
  <c r="B60" i="3"/>
  <c r="C60" i="3"/>
  <c r="D60" i="3"/>
  <c r="E60" i="3"/>
  <c r="F60" i="3"/>
  <c r="G60" i="3"/>
  <c r="H60" i="3"/>
  <c r="I60" i="3"/>
  <c r="J60" i="3"/>
  <c r="K60" i="3"/>
  <c r="M60" i="3"/>
  <c r="N60" i="3"/>
  <c r="O60" i="3"/>
  <c r="P60" i="3"/>
  <c r="Q60" i="3"/>
  <c r="R60" i="3"/>
  <c r="S60" i="3"/>
  <c r="T60" i="3"/>
  <c r="U60" i="3"/>
  <c r="V60" i="3"/>
  <c r="A62" i="3"/>
  <c r="B62" i="3"/>
  <c r="C62" i="3"/>
  <c r="D62" i="3"/>
  <c r="E62" i="3"/>
  <c r="F62" i="3"/>
  <c r="G62" i="3"/>
  <c r="H62" i="3"/>
  <c r="I62" i="3"/>
  <c r="J62" i="3"/>
  <c r="K62" i="3"/>
  <c r="M62" i="3"/>
  <c r="N62" i="3"/>
  <c r="O62" i="3"/>
  <c r="P62" i="3"/>
  <c r="Q62" i="3"/>
  <c r="R62" i="3"/>
  <c r="S62" i="3"/>
  <c r="T62" i="3"/>
  <c r="U62" i="3"/>
  <c r="V62" i="3"/>
  <c r="A63" i="3"/>
  <c r="B63" i="3"/>
  <c r="C63" i="3"/>
  <c r="D63" i="3"/>
  <c r="E63" i="3"/>
  <c r="F63" i="3"/>
  <c r="G63" i="3"/>
  <c r="H63" i="3"/>
  <c r="I63" i="3"/>
  <c r="J63" i="3"/>
  <c r="K63" i="3"/>
  <c r="M63" i="3"/>
  <c r="N63" i="3"/>
  <c r="O63" i="3"/>
  <c r="P63" i="3"/>
  <c r="Q63" i="3"/>
  <c r="R63" i="3"/>
  <c r="S63" i="3"/>
  <c r="T63" i="3"/>
  <c r="U63" i="3"/>
  <c r="V63" i="3"/>
  <c r="A64" i="3"/>
  <c r="B64" i="3"/>
  <c r="C64" i="3"/>
  <c r="D64" i="3"/>
  <c r="E64" i="3"/>
  <c r="F64" i="3"/>
  <c r="G64" i="3"/>
  <c r="H64" i="3"/>
  <c r="I64" i="3"/>
  <c r="J64" i="3"/>
  <c r="K64" i="3"/>
  <c r="M64" i="3"/>
  <c r="N64" i="3"/>
  <c r="O64" i="3"/>
  <c r="P64" i="3"/>
  <c r="Q64" i="3"/>
  <c r="R64" i="3"/>
  <c r="S64" i="3"/>
  <c r="T64" i="3"/>
  <c r="U64" i="3"/>
  <c r="V64" i="3"/>
  <c r="A65" i="3"/>
  <c r="B65" i="3"/>
  <c r="C65" i="3"/>
  <c r="D65" i="3"/>
  <c r="E65" i="3"/>
  <c r="F65" i="3"/>
  <c r="G65" i="3"/>
  <c r="H65" i="3"/>
  <c r="I65" i="3"/>
  <c r="J65" i="3"/>
  <c r="K65" i="3"/>
  <c r="M65" i="3"/>
  <c r="N65" i="3"/>
  <c r="O65" i="3"/>
  <c r="P65" i="3"/>
  <c r="Q65" i="3"/>
  <c r="R65" i="3"/>
  <c r="S65" i="3"/>
  <c r="T65" i="3"/>
  <c r="U65" i="3"/>
  <c r="V65" i="3"/>
  <c r="I43" i="1"/>
  <c r="G31" i="1"/>
  <c r="H31" i="1"/>
  <c r="H43" i="1"/>
  <c r="G43" i="1"/>
  <c r="I31" i="1"/>
  <c r="I11" i="1" l="1"/>
  <c r="I27" i="1" s="1"/>
  <c r="H11" i="1"/>
  <c r="H27" i="1" s="1"/>
  <c r="G11" i="1"/>
  <c r="G27" i="1" s="1"/>
  <c r="G44" i="1"/>
  <c r="H44" i="1"/>
  <c r="I44" i="1"/>
  <c r="I39" i="1" l="1"/>
  <c r="H39" i="1"/>
  <c r="H18" i="1"/>
  <c r="H19" i="1" s="1"/>
  <c r="I12" i="1"/>
  <c r="G12" i="1"/>
  <c r="G13" i="1"/>
  <c r="I18" i="1"/>
  <c r="I28" i="1" s="1"/>
  <c r="H12" i="1"/>
  <c r="G39" i="1"/>
  <c r="G18" i="1"/>
  <c r="G19" i="1" s="1"/>
  <c r="I13" i="1"/>
  <c r="H13" i="1"/>
  <c r="H40" i="1"/>
  <c r="H28" i="1"/>
  <c r="I40" i="1"/>
  <c r="G28" i="1"/>
  <c r="B14" i="1"/>
  <c r="G40" i="1" l="1"/>
  <c r="I19" i="1"/>
  <c r="B19" i="1" s="1"/>
  <c r="D24" i="1" s="1"/>
  <c r="B28" i="1"/>
  <c r="C24" i="1" l="1"/>
  <c r="B24" i="1"/>
  <c r="B20" i="1"/>
  <c r="B32" i="1"/>
  <c r="B36" i="1"/>
  <c r="D36" i="1"/>
  <c r="I32" i="1"/>
  <c r="H32" i="1"/>
  <c r="G32" i="1"/>
  <c r="C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Paroon</author>
  </authors>
  <commentList>
    <comment ref="B6" authorId="0" shapeId="0" xr:uid="{B2929B80-9F2D-46A4-97E2-21C0D69587DB}">
      <text>
        <r>
          <rPr>
            <b/>
            <sz val="9"/>
            <color indexed="81"/>
            <rFont val="Tahoma"/>
            <family val="2"/>
          </rPr>
          <t>พันธบัตรรัฐบาล 10 ปี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DF6E02-C963-45D3-8582-F2881ED8E54D}" name="ACC" type="6" refreshedVersion="6" background="1" saveData="1">
    <textPr prompt="0" sourceFile="C:\Users\Paroon\PycharmProjects\django-stock\mysite\data\ACC.csv" comma="1">
      <textFields>
        <textField/>
      </textFields>
    </textPr>
  </connection>
  <connection id="2" xr16:uid="{F0C31F29-E1D1-454D-ADB2-2C3B44498334}" name="AH2" type="6" refreshedVersion="6" background="1" saveData="1">
    <textPr prompt="0" sourceFile="C:\Users\Paroon\PycharmProjects\django-stock\mysite\data\AH.csv" comma="1">
      <textFields>
        <textField/>
      </textFields>
    </textPr>
  </connection>
  <connection id="3" xr16:uid="{60DF3CEC-FA96-4DAD-BB72-EFB44CE4DA2E}" name="AI" type="6" refreshedVersion="6" background="1" saveData="1">
    <textPr prompt="0" sourceFile="C:\Users\Paroon\PycharmProjects\django-stock\mysite\data\AI.csv" comma="1">
      <textFields>
        <textField/>
      </textFields>
    </textPr>
  </connection>
  <connection id="4" xr16:uid="{82CDE99F-7BE8-4B24-8AA3-CF0479828A8A}" name="AI1" type="6" refreshedVersion="6" background="1" saveData="1">
    <textPr prompt="0" sourceFile="C:\Users\Paroon\PycharmProjects\django-stock\mysite\data\AI.csv" comma="1">
      <textFields>
        <textField/>
      </textFields>
    </textPr>
  </connection>
  <connection id="5" xr16:uid="{4EAC5152-F0C9-404A-A535-EE829F3927E9}" name="AJ" type="6" refreshedVersion="6" background="1" saveData="1">
    <textPr prompt="0" sourceFile="C:\Users\Paroon\PycharmProjects\django-stock\mysite\data\AJ.csv" comma="1">
      <textFields>
        <textField/>
      </textFields>
    </textPr>
  </connection>
  <connection id="6" xr16:uid="{17DA31D1-76F9-4BCC-9BB4-9652D14E252F}" name="BANPU" type="6" refreshedVersion="6" background="1" saveData="1">
    <textPr prompt="0" sourceFile="C:\Users\Paroon\PycharmProjects\django-stock\mysite\data\BANPU.csv" comma="1">
      <textFields>
        <textField/>
      </textFields>
    </textPr>
  </connection>
  <connection id="7" xr16:uid="{98903D15-DBDF-4FF4-ACBE-F6FD7CFE3869}" name="BANPU1" type="6" refreshedVersion="6" background="1" saveData="1">
    <textPr prompt="0" sourceFile="C:\Users\Paroon\PycharmProjects\django-stock\mysite\data\BANPU.csv" comma="1">
      <textFields>
        <textField/>
      </textFields>
    </textPr>
  </connection>
  <connection id="8" xr16:uid="{BB05E338-8E0A-4D9B-913A-10AB80A1CEEE}" name="BDMS" type="6" refreshedVersion="6" background="1" saveData="1">
    <textPr prompt="0" sourceFile="BDMS.csv" comma="1">
      <textFields>
        <textField/>
      </textFields>
    </textPr>
  </connection>
  <connection id="9" xr16:uid="{E7B9F933-9FC7-470E-8540-9414E0C9674F}" name="BDMS1" type="6" refreshedVersion="6" background="1" saveData="1">
    <textPr prompt="0" sourceFile="BDMS.csv" comma="1">
      <textFields>
        <textField/>
      </textFields>
    </textPr>
  </connection>
  <connection id="10" xr16:uid="{C1A0DE01-BC35-4660-9862-CBB28DD1D021}" name="BDMS3" type="6" refreshedVersion="6" background="1" saveData="1">
    <textPr prompt="0" sourceFile="C:\Users\Paroon\PycharmProjects\django-stock\mysite\data\BDMS.csv" comma="1">
      <textFields>
        <textField/>
      </textFields>
    </textPr>
  </connection>
  <connection id="11" xr16:uid="{3C04DED7-E6D1-4459-99FE-F22E4D00D74D}" name="BDMS4" type="6" refreshedVersion="6" background="1" saveData="1">
    <textPr prompt="0" sourceFile="C:\Users\Paroon\PycharmProjects\django-stock\mysite\data\BDMS.csv" comma="1">
      <textFields>
        <textField/>
      </textFields>
    </textPr>
  </connection>
  <connection id="12" xr16:uid="{1BEECC3C-A5F7-46B8-B936-1345697FB364}" name="BDMS5" type="6" refreshedVersion="6" background="1" saveData="1">
    <textPr prompt="0" sourceFile="C:\Users\Paroon\PycharmProjects\django-stock\mysite\data\BDMS.csv" comma="1">
      <textFields>
        <textField/>
      </textFields>
    </textPr>
  </connection>
  <connection id="13" xr16:uid="{E0A166AE-0823-44E1-9D90-43DDDC93FD80}" name="BDMS6" type="6" refreshedVersion="6" background="1" saveData="1">
    <textPr prompt="0" sourceFile="C:\Users\Paroon\PycharmProjects\django-stock\mysite\data\BDMS.csv" comma="1">
      <textFields>
        <textField/>
      </textFields>
    </textPr>
  </connection>
  <connection id="14" xr16:uid="{5F2D8FDC-FEE3-442E-9D0D-0A80A3D1438D}" name="BH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15" xr16:uid="{F081F8E7-AE23-4C22-8019-771320AD82E5}" name="BH1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16" xr16:uid="{CC6E32BB-76F8-49DF-9A10-C97C9B93D54B}" name="BH10" type="6" refreshedVersion="6" background="1" saveData="1">
    <textPr prompt="0" sourceFile="BH.csv" comma="1">
      <textFields>
        <textField/>
      </textFields>
    </textPr>
  </connection>
  <connection id="17" xr16:uid="{36F929CC-E615-46B4-A6B0-3FD6EB5F739F}" name="BH11" type="6" refreshedVersion="6" background="1" saveData="1">
    <textPr prompt="0" sourceFile="BH.csv" comma="1">
      <textFields>
        <textField/>
      </textFields>
    </textPr>
  </connection>
  <connection id="18" xr16:uid="{B8C50F7D-235D-440A-8D79-0533AD2E7C5C}" name="BH12" type="6" refreshedVersion="6" background="1" saveData="1">
    <textPr prompt="0" sourceFile="BH.csv" comma="1">
      <textFields>
        <textField/>
      </textFields>
    </textPr>
  </connection>
  <connection id="19" xr16:uid="{8579375C-718F-4364-B089-151693608319}" name="BH13" type="6" refreshedVersion="6" background="1" saveData="1">
    <textPr prompt="0" sourceFile="BH.csv" comma="1">
      <textFields>
        <textField/>
      </textFields>
    </textPr>
  </connection>
  <connection id="20" xr16:uid="{DAC09275-EF87-4D55-B129-577A75D3069C}" name="BH14" type="6" refreshedVersion="6" background="1" saveData="1">
    <textPr prompt="0" sourceFile="BH.csv" comma="1">
      <textFields>
        <textField/>
      </textFields>
    </textPr>
  </connection>
  <connection id="21" xr16:uid="{72CA73BB-D9D5-4F09-B33C-C61427D4A93B}" name="BH15" type="6" refreshedVersion="6" background="1" saveData="1">
    <textPr prompt="0" sourceFile="BH.csv" comma="1">
      <textFields>
        <textField/>
      </textFields>
    </textPr>
  </connection>
  <connection id="22" xr16:uid="{597088ED-CD24-40BD-9B0A-446AF7439D7F}" name="BH16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23" xr16:uid="{743921DF-A4FB-4F7F-9C1F-C5AF5580F0D7}" name="BH17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24" xr16:uid="{3C5774DF-674A-4AAE-9C34-A68902930242}" name="BH18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25" xr16:uid="{47F147EC-BAAA-4A20-B35C-CFBD8DB0C31A}" name="BH19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26" xr16:uid="{2B17D72A-1466-4F0A-A5A2-BBD53C1CA863}" name="BH2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27" xr16:uid="{B3F93D84-FA6E-493B-A705-BC747B0EF3CE}" name="BH20" type="6" refreshedVersion="6" background="1" saveData="1">
    <textPr prompt="0" sourceFile="C:\Users\Paroon\PycharmProjects\django-stock\mysite\data\BH.csv" comma="1">
      <textFields>
        <textField/>
      </textFields>
    </textPr>
  </connection>
  <connection id="28" xr16:uid="{0CCDF095-DD93-4CAD-BC29-CAEA3B660B58}" name="BH21" type="6" refreshedVersion="6" background="1" saveData="1">
    <textPr prompt="0" sourceFile="C:\Users\Paroon\PycharmProjects\midas-stock\data\investing\BH.csv" comma="1">
      <textFields>
        <textField/>
      </textFields>
    </textPr>
  </connection>
  <connection id="29" xr16:uid="{31B0FE56-FA0F-418D-A176-987E995DB2FA}" name="BH22" type="6" refreshedVersion="6" background="1" saveData="1">
    <textPr prompt="0" sourceFile="C:\Users\Paroon\PycharmProjects\midas-stock\data\jitta\BH.csv" comma="1">
      <textFields>
        <textField/>
      </textFields>
    </textPr>
  </connection>
  <connection id="30" xr16:uid="{4E4EF942-DFE4-4F52-AC12-A7845AEAA83F}" name="BH3" type="6" refreshedVersion="6" background="1" saveData="1">
    <textPr prompt="0" sourceFile="BH.csv" comma="1">
      <textFields>
        <textField/>
      </textFields>
    </textPr>
  </connection>
  <connection id="31" xr16:uid="{1C8D876F-9712-4A8E-AEF0-0D1EB28BFF27}" name="BH4" type="6" refreshedVersion="6" background="1" saveData="1">
    <textPr prompt="0" sourceFile="BH.csv" comma="1">
      <textFields>
        <textField/>
      </textFields>
    </textPr>
  </connection>
  <connection id="32" xr16:uid="{F19A7975-67C4-4A5C-9141-A2970AE068D0}" name="BH5" type="6" refreshedVersion="6" background="1" saveData="1">
    <textPr prompt="0" sourceFile="BH.csv" comma="1">
      <textFields>
        <textField/>
      </textFields>
    </textPr>
  </connection>
  <connection id="33" xr16:uid="{7552B532-6D90-4A43-9678-AACD18EEFA03}" name="BH6" type="6" refreshedVersion="6" background="1" saveData="1">
    <textPr prompt="0" sourceFile="BH.csv" comma="1">
      <textFields>
        <textField/>
      </textFields>
    </textPr>
  </connection>
  <connection id="34" xr16:uid="{B6F97EF3-53F0-4361-95D8-CFA67E5B9F43}" name="BH7" type="6" refreshedVersion="6" background="1" saveData="1">
    <textPr prompt="0" sourceFile="BH.csv" comma="1">
      <textFields>
        <textField/>
      </textFields>
    </textPr>
  </connection>
  <connection id="35" xr16:uid="{5F46A7CA-E64A-4A64-8F4A-B33416A525FC}" name="BH8" type="6" refreshedVersion="6" background="1" saveData="1">
    <textPr prompt="0" sourceFile="BH.csv" comma="1">
      <textFields>
        <textField/>
      </textFields>
    </textPr>
  </connection>
  <connection id="36" xr16:uid="{D18BCD66-61EB-427A-AFE0-6370F6DAA8F1}" name="BH9" type="6" refreshedVersion="6" background="1" saveData="1">
    <textPr prompt="0" sourceFile="BH.csv" comma="1">
      <textFields>
        <textField/>
      </textFields>
    </textPr>
  </connection>
  <connection id="37" xr16:uid="{8630413F-C12F-4B4D-BD11-2BCE2DB532E3}" name="GBX" type="6" refreshedVersion="6" background="1" saveData="1">
    <textPr prompt="0" sourceFile="C:\Users\Paroon\PycharmProjects\django-stock\mysite\data\GBX.csv" comma="1">
      <textFields>
        <textField/>
      </textFields>
    </textPr>
  </connection>
  <connection id="38" xr16:uid="{F9395DCE-DB3B-4018-BCBE-847CE43091F1}" name="HMPRO" type="6" refreshedVersion="6" background="1" saveData="1">
    <textPr prompt="0" sourceFile="C:\Users\Paroon\PycharmProjects\django-stock\mysite\jitta\HMPRO.csv" comma="1">
      <textFields>
        <textField/>
      </textFields>
    </textPr>
  </connection>
  <connection id="39" xr16:uid="{5E15ED1D-AB86-4433-85FA-1B2FB4872D5D}" name="HMPRO1" type="6" refreshedVersion="6" background="1" saveData="1">
    <textPr prompt="0" sourceFile="C:\Users\Paroon\PycharmProjects\django-stock\mysite\investing\HMPRO.csv" comma="1">
      <textFields>
        <textField/>
      </textFields>
    </textPr>
  </connection>
  <connection id="40" xr16:uid="{18EFCAB2-FC64-4532-83F3-5504DB2AC892}" name="HMPRO10" type="6" refreshedVersion="6" background="1" saveData="1">
    <textPr prompt="0" sourceFile="C:\Users\Paroon\PycharmProjects\django-stock\mysite\data\investing\HMPRO.csv" comma="1">
      <textFields>
        <textField/>
      </textFields>
    </textPr>
  </connection>
  <connection id="41" xr16:uid="{7AABD1CA-3935-4190-BB4B-7BB415EA56F3}" name="HMPRO11" type="6" refreshedVersion="6" background="1" saveData="1">
    <textPr prompt="0" sourceFile="C:\Users\Paroon\PycharmProjects\django-stock\mysite\data\jitta\HMPRO.csv" comma="1">
      <textFields>
        <textField/>
      </textFields>
    </textPr>
  </connection>
  <connection id="42" xr16:uid="{CE80E8F6-444B-4806-B9F8-23BFA16717A0}" name="HMPRO12" type="6" refreshedVersion="6" background="1" saveData="1">
    <textPr prompt="0" sourceFile="C:\Users\Paroon\PycharmProjects\django-stock\mysite\data\investing\HMPRO.csv" comma="1">
      <textFields>
        <textField/>
      </textFields>
    </textPr>
  </connection>
  <connection id="43" xr16:uid="{F5B123F8-6821-4B22-8E39-3322617603A2}" name="HMPRO13" type="6" refreshedVersion="6" background="1" saveData="1">
    <textPr prompt="0" sourceFile="C:\Users\Paroon\PycharmProjects\django-stock\mysite\data\jitta\HMPRO.csv" comma="1">
      <textFields>
        <textField/>
      </textFields>
    </textPr>
  </connection>
  <connection id="44" xr16:uid="{857E6A60-78AB-4572-8FCF-9398E8B28FFF}" name="HMPRO14" type="6" refreshedVersion="6" background="1" saveData="1">
    <textPr prompt="0" sourceFile="C:\Users\Paroon\PycharmProjects\django-stock\mysite\data\investing\HMPRO.csv" comma="1">
      <textFields>
        <textField/>
      </textFields>
    </textPr>
  </connection>
  <connection id="45" xr16:uid="{EF0AE98A-ACB2-4851-B4C2-C8CCE98B7E23}" name="HMPRO15" type="6" refreshedVersion="6" background="1" saveData="1">
    <textPr prompt="0" sourceFile="C:\Users\Paroon\PycharmProjects\django-stock\mysite\data\jitta\HMPRO.csv" comma="1">
      <textFields>
        <textField/>
      </textFields>
    </textPr>
  </connection>
  <connection id="46" xr16:uid="{D5F3211B-D70B-4B05-B8B7-37C0EDF17704}" name="HMPRO16" type="6" refreshedVersion="6" background="1" saveData="1">
    <textPr prompt="0" sourceFile="C:\Users\Paroon\PycharmProjects\django-stock\mysite\data\investing\HMPRO.csv" comma="1">
      <textFields>
        <textField/>
      </textFields>
    </textPr>
  </connection>
  <connection id="47" xr16:uid="{3AAB1AD4-0D77-404A-9ED9-F5784313B8C5}" name="HMPRO17" type="6" refreshedVersion="6" background="1" saveData="1">
    <textPr prompt="0" sourceFile="C:\Users\Paroon\PycharmProjects\django-stock\mysite\data\jitta\HMPRO.csv" comma="1">
      <textFields>
        <textField/>
      </textFields>
    </textPr>
  </connection>
  <connection id="48" xr16:uid="{BDD297B6-8B03-4254-8EFE-70CDB510620B}" name="HMPRO18" type="6" refreshedVersion="6" background="1" saveData="1">
    <textPr prompt="0" sourceFile="C:\Users\Paroon\PycharmProjects\midas-stock\data\investing\HMPRO.csv" comma="1">
      <textFields>
        <textField/>
      </textFields>
    </textPr>
  </connection>
  <connection id="49" xr16:uid="{310F32D6-3C23-4DCF-903E-317F14CE0B9D}" name="HMPRO19" type="6" refreshedVersion="6" background="1" saveData="1">
    <textPr prompt="0" sourceFile="C:\Users\Paroon\PycharmProjects\midas-stock\data\jitta\HMPRO.csv" comma="1">
      <textFields>
        <textField/>
      </textFields>
    </textPr>
  </connection>
  <connection id="50" xr16:uid="{9D5BEDF1-958C-40F5-A05B-5957DCEF97F7}" name="HMPRO2" type="6" refreshedVersion="6" background="1" saveData="1">
    <textPr prompt="0" sourceFile="C:\Users\Paroon\PycharmProjects\django-stock\mysite\investing\HMPRO.csv" comma="1">
      <textFields>
        <textField/>
      </textFields>
    </textPr>
  </connection>
  <connection id="51" xr16:uid="{114D3E3F-201E-4F86-98CD-34BB40CF69C7}" name="HMPRO3" type="6" refreshedVersion="6" background="1" saveData="1">
    <textPr prompt="0" sourceFile="C:\Users\Paroon\PycharmProjects\django-stock\mysite\investing\HMPRO.csv" comma="1">
      <textFields>
        <textField/>
      </textFields>
    </textPr>
  </connection>
  <connection id="52" xr16:uid="{F61FD56A-DF6E-49B5-8648-96AC16561ED6}" name="HMPRO4" type="6" refreshedVersion="6" background="1" saveData="1">
    <textPr prompt="0" sourceFile="C:\Users\Paroon\PycharmProjects\django-stock\mysite\investing\HMPRO.csv" comma="1">
      <textFields>
        <textField/>
      </textFields>
    </textPr>
  </connection>
  <connection id="53" xr16:uid="{CF6AC00A-1E79-4761-8252-9F024065A59C}" name="HMPRO5" type="6" refreshedVersion="6" background="1" saveData="1">
    <textPr prompt="0" sourceFile="C:\Users\Paroon\PycharmProjects\django-stock\mysite\investing\HMPRO.csv" comma="1">
      <textFields>
        <textField/>
      </textFields>
    </textPr>
  </connection>
  <connection id="54" xr16:uid="{EA446E12-5A7B-44E8-9AF6-CF2E3045C635}" name="HMPRO6" type="6" refreshedVersion="6" background="1" saveData="1">
    <textPr prompt="0" sourceFile="C:\Users\Paroon\PycharmProjects\django-stock\mysite\investing\HMPRO.csv" comma="1">
      <textFields>
        <textField/>
      </textFields>
    </textPr>
  </connection>
  <connection id="55" xr16:uid="{4C506277-02B4-49DA-B88D-A1C7AC11B8BB}" name="HMPRO7" type="6" refreshedVersion="6" background="1" saveData="1">
    <textPr prompt="0" sourceFile="C:\Users\Paroon\PycharmProjects\django-stock\mysite\jitta\HMPRO.csv" comma="1">
      <textFields>
        <textField/>
      </textFields>
    </textPr>
  </connection>
  <connection id="56" xr16:uid="{ACC9B123-5DFD-47BA-B884-9AECAE5D7A82}" name="HMPRO8" type="6" refreshedVersion="6" background="1" saveData="1">
    <textPr prompt="0" sourceFile="C:\Users\Paroon\PycharmProjects\django-stock\mysite\investing\HMPRO.csv" comma="1">
      <textFields>
        <textField/>
      </textFields>
    </textPr>
  </connection>
  <connection id="57" xr16:uid="{D49A05B8-36FF-4E39-9105-9298DD2FE64D}" name="HMPRO9" type="6" refreshedVersion="6" background="1" saveData="1">
    <textPr prompt="0" sourceFile="C:\Users\Paroon\PycharmProjects\django-stock\mysite\jitta\HMPRO.csv" comma="1">
      <textFields>
        <textField/>
      </textFields>
    </textPr>
  </connection>
  <connection id="58" xr16:uid="{40EC8C74-B960-4B6B-A93A-461BFE83F7D1}" name="SCC" type="6" refreshedVersion="6" background="1" saveData="1">
    <textPr prompt="0" sourceFile="C:\Users\Paroon\PycharmProjects\django-stock\mysite\data\SCC.csv" comma="1">
      <textFields>
        <textField/>
      </textFields>
    </textPr>
  </connection>
  <connection id="59" xr16:uid="{B24B5C32-3952-4506-AEE2-7D1A7CD12E6B}" name="SET Index Historical Data" type="6" refreshedVersion="6" background="1" saveData="1">
    <textPr prompt="0" sourceFile="C:\Users\Paroon\PycharmProjects\django-stock\mysite\data\SET Index Historical Data.csv" comma="1">
      <textFields>
        <textField/>
      </textFields>
    </textPr>
  </connection>
  <connection id="60" xr16:uid="{56DD7351-6F53-42BC-901B-4D0B0AA543F5}" name="SET Index Historical Data4" type="6" refreshedVersion="6" background="1" saveData="1">
    <textPr prompt="0" sourceFile="C:\Users\Paroon\PycharmProjects\midas-stock\data\SET Index Historical Data.csv" comma="1">
      <textFields>
        <textField/>
      </textFields>
    </textPr>
  </connection>
  <connection id="61" xr16:uid="{FC564105-1C49-4E7B-ABB8-9054BD3C1429}" name="SET Index Historical Data5" type="6" refreshedVersion="6" background="1" saveData="1">
    <textPr prompt="0" sourceFile="C:\Users\Paroon\PycharmProjects\midas-stock\data\SET Index Historical Data.csv" comma="1">
      <textFields>
        <textField/>
      </textFields>
    </textPr>
  </connection>
  <connection id="62" xr16:uid="{71106EB1-DB17-411B-8FF1-8AF58572A658}" name="SET Index Historical Data6" type="6" refreshedVersion="6" background="1" saveData="1">
    <textPr prompt="0" sourceFile="C:\Users\Paroon\PycharmProjects\midas-stock\data\SET Index Historical 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<sst xmlns="http://schemas.openxmlformats.org/spreadsheetml/2006/main" count="135" uniqueCount="114">
  <si>
    <t>2017-6</t>
  </si>
  <si>
    <t>2017-9</t>
  </si>
  <si>
    <t>2017-12</t>
  </si>
  <si>
    <t>2018-3</t>
  </si>
  <si>
    <t>2018-6</t>
  </si>
  <si>
    <t>2018-9</t>
  </si>
  <si>
    <t>2018-12</t>
  </si>
  <si>
    <t>2019-3</t>
  </si>
  <si>
    <t>2019-6</t>
  </si>
  <si>
    <t>2019-9</t>
  </si>
  <si>
    <t>Price Average</t>
  </si>
  <si>
    <t>Earnings per Share</t>
  </si>
  <si>
    <t>Revenue per Share</t>
  </si>
  <si>
    <t>Dividend per Share</t>
  </si>
  <si>
    <t>Capital Expenditures per Share</t>
  </si>
  <si>
    <t>Book Value per Share</t>
  </si>
  <si>
    <t>Price to Earnings Ratio</t>
  </si>
  <si>
    <t>Price to Book Value Ratio</t>
  </si>
  <si>
    <t>Dividend Payout Ratio</t>
  </si>
  <si>
    <t>Common Stock</t>
  </si>
  <si>
    <t>Total Revenue</t>
  </si>
  <si>
    <t>Cost of Revenue, Total</t>
  </si>
  <si>
    <t>Gross Profit</t>
  </si>
  <si>
    <t>Selling/General/Administrative Expenses, Total</t>
  </si>
  <si>
    <t>Operating Income</t>
  </si>
  <si>
    <t>Net Income</t>
  </si>
  <si>
    <t>EBITDA</t>
  </si>
  <si>
    <t>Gross Profit Margin</t>
  </si>
  <si>
    <t>Operating Margin</t>
  </si>
  <si>
    <t>Net Profit Margin</t>
  </si>
  <si>
    <t>Return on Assets</t>
  </si>
  <si>
    <t>Return on Equity</t>
  </si>
  <si>
    <t>Return on Total Capital</t>
  </si>
  <si>
    <t>SG&amp;A to Sale</t>
  </si>
  <si>
    <t>Depreciation &amp; Amortisation</t>
  </si>
  <si>
    <t>Tax Rate</t>
  </si>
  <si>
    <t>Current Ratio</t>
  </si>
  <si>
    <t>Quick Ratio</t>
  </si>
  <si>
    <t>Days Inventory Outstanding</t>
  </si>
  <si>
    <t>Days Sale Outstanding</t>
  </si>
  <si>
    <t>Days Payable Outstanding</t>
  </si>
  <si>
    <t>Cash Conversion Cycle</t>
  </si>
  <si>
    <t>Debt to Asset Ratio</t>
  </si>
  <si>
    <t>Debt to Equity Ratio</t>
  </si>
  <si>
    <t>Interest Coverage Ratio</t>
  </si>
  <si>
    <t>Cash and Short Term Investments</t>
  </si>
  <si>
    <t>Total Receivables, Net</t>
  </si>
  <si>
    <t>Total Inventory</t>
  </si>
  <si>
    <t>Total Current Assets</t>
  </si>
  <si>
    <t>Property/Plant/Equipment, Total - Net</t>
  </si>
  <si>
    <t>Total Assets</t>
  </si>
  <si>
    <t>Accounts Payable</t>
  </si>
  <si>
    <t>Accrued Expenses</t>
  </si>
  <si>
    <t>Debt Due</t>
  </si>
  <si>
    <t>Total Current Liabilities</t>
  </si>
  <si>
    <t>Long Term Debt</t>
  </si>
  <si>
    <t>Total Liabilities</t>
  </si>
  <si>
    <t>Shareholders' Equity</t>
  </si>
  <si>
    <t>Cash from Operating Activities</t>
  </si>
  <si>
    <t>Cash from Investing Activities</t>
  </si>
  <si>
    <t>Cash from Financing Activities</t>
  </si>
  <si>
    <t>Net Change in Cash</t>
  </si>
  <si>
    <t>การประเมินมูลค่าหุ้น</t>
  </si>
  <si>
    <t>ชื่อหุ้น</t>
  </si>
  <si>
    <t>Price =</t>
  </si>
  <si>
    <t>Rf</t>
  </si>
  <si>
    <t>Rm</t>
  </si>
  <si>
    <t>2) หาค่า g</t>
  </si>
  <si>
    <t>ROE</t>
  </si>
  <si>
    <t>Payout ratio</t>
  </si>
  <si>
    <t>g =</t>
  </si>
  <si>
    <t>หาราคาพื้นฐานโดยใช้ Dividend Discount Model (DDM)</t>
  </si>
  <si>
    <t xml:space="preserve">ราคาพื้นฐาน = </t>
  </si>
  <si>
    <t xml:space="preserve">หากใช้ g = </t>
  </si>
  <si>
    <t>ราคาพื้นฐาน =</t>
  </si>
  <si>
    <t>หาราคาพื้นฐานโดยใช้ P/E ที่เหมาะสม</t>
  </si>
  <si>
    <t>กำไรสุทธิต่อหุ้นปีล่าสุด =</t>
  </si>
  <si>
    <t>P/E ที่เหมาะสม =</t>
  </si>
  <si>
    <t>P/E</t>
  </si>
  <si>
    <t>ราคาพื้นฐาน</t>
  </si>
  <si>
    <t>หาราคาพื้นฐานโดยใช้ P/BV ที่เหมาะสม</t>
  </si>
  <si>
    <t>มูลค่าทางบัญชีต่อหุ้น =</t>
  </si>
  <si>
    <t>P/BV ที่เหมาะสม =</t>
  </si>
  <si>
    <t>P/BV</t>
  </si>
  <si>
    <t>EV to EBITDA</t>
  </si>
  <si>
    <t>Common Shares Outstanding</t>
  </si>
  <si>
    <t>Additional Paid-In Capital</t>
  </si>
  <si>
    <t>Retained Earnings (Accumulated Deficit)</t>
  </si>
  <si>
    <t>Free Cashflows</t>
  </si>
  <si>
    <t>Free Cashflow per Share</t>
  </si>
  <si>
    <t>Beta</t>
  </si>
  <si>
    <t xml:space="preserve">Ke = </t>
  </si>
  <si>
    <t>1) หาค่า Ke</t>
  </si>
  <si>
    <t>GPM สูงและสม่ำเสมอหรือดีขึ้น --&gt; มีอำนาจต่อรอง Supplier/Customer สูง</t>
  </si>
  <si>
    <t>SG&amp;A/Sale ต่ำ --&gt; มีความเป็นผู้นำในตลาดนั้น ไม่ต้องโฆษณา</t>
  </si>
  <si>
    <t>EPS โตสม่ำเสมอ --&gt; กำไรสม่ำเสมอ</t>
  </si>
  <si>
    <t>D/E ต่ำ --&gt; ยั่งยืน ถ้าบริษัทมี D/E สูง ลงทุนผ่านหุ้นกู้ดีกว่า</t>
  </si>
  <si>
    <t>RoE สูง --&gt; มีความสามารถในการแข่งขัน (สูงกว่าค่าเฉลี่ย, ควรมากกว่า 20%)</t>
  </si>
  <si>
    <t>DPS</t>
  </si>
  <si>
    <t>เงินปันผล =</t>
  </si>
  <si>
    <t>Max</t>
  </si>
  <si>
    <t>Avg</t>
  </si>
  <si>
    <t>Min</t>
  </si>
  <si>
    <t>From</t>
  </si>
  <si>
    <t>To</t>
  </si>
  <si>
    <t>EPS</t>
  </si>
  <si>
    <t>BV</t>
  </si>
  <si>
    <t>Open</t>
  </si>
  <si>
    <t>High</t>
  </si>
  <si>
    <t>Low</t>
  </si>
  <si>
    <t>Close</t>
  </si>
  <si>
    <t>Volume</t>
  </si>
  <si>
    <t>SET</t>
  </si>
  <si>
    <t>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</si>
</sst>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_-* #,##0.0_-;\-* #,##0.0_-;_-* &quot;-&quot;??_-;_-@_-"/>
    <numFmt numFmtId="166" formatCode="#,##0.0_ ;\(#,##0.0\)\ "/>
    <numFmt numFmtId="167" formatCode="#,##0.00_ ;\(#,##0.00\)\ "/>
    <numFmt numFmtId="168" formatCode="#,##0_ ;\(#,##0\)\ "/>
  </numFmts>
  <fonts count="12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charset val="22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10" fontId="0" fillId="0" borderId="0" xfId="0" applyNumberFormat="1"/>
    <xf numFmtId="3" fontId="0" fillId="0" borderId="0" xfId="0" applyNumberFormat="1"/>
    <xf numFmtId="0" fontId="0" fillId="0" borderId="0" xfId="0" applyAlignment="1">
      <alignment vertical="center"/>
    </xf>
    <xf numFmtId="2" fontId="2" fillId="2" borderId="0" xfId="0" applyNumberFormat="1" applyFont="1" applyFill="1"/>
    <xf numFmtId="0" fontId="3" fillId="0" borderId="0" xfId="0" applyFont="1" applyAlignment="1">
      <alignment vertical="center"/>
    </xf>
    <xf numFmtId="10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0" fontId="0" fillId="0" borderId="0" xfId="0" applyNumberForma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right" vertical="center"/>
    </xf>
    <xf numFmtId="164" fontId="2" fillId="2" borderId="0" xfId="0" applyNumberFormat="1" applyFont="1" applyFill="1" applyAlignment="1">
      <alignment vertical="center"/>
    </xf>
    <xf numFmtId="164" fontId="2" fillId="2" borderId="0" xfId="2" applyNumberFormat="1" applyFont="1" applyFill="1" applyAlignment="1">
      <alignment vertical="center"/>
    </xf>
    <xf numFmtId="0" fontId="0" fillId="0" borderId="2" xfId="0" applyBorder="1" applyAlignment="1">
      <alignment vertical="center"/>
    </xf>
    <xf numFmtId="164" fontId="0" fillId="0" borderId="2" xfId="2" applyNumberFormat="1" applyFont="1" applyBorder="1" applyAlignment="1">
      <alignment vertical="center"/>
    </xf>
    <xf numFmtId="10" fontId="0" fillId="0" borderId="0" xfId="2" applyNumberFormat="1" applyFont="1" applyAlignment="1">
      <alignment vertical="center"/>
    </xf>
    <xf numFmtId="43" fontId="0" fillId="0" borderId="0" xfId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 vertical="center"/>
    </xf>
    <xf numFmtId="165" fontId="0" fillId="0" borderId="0" xfId="1" applyNumberFormat="1" applyFont="1" applyAlignment="1">
      <alignment horizontal="left" vertical="center" indent="1"/>
    </xf>
    <xf numFmtId="165" fontId="0" fillId="0" borderId="0" xfId="0" applyNumberFormat="1" applyAlignment="1">
      <alignment vertical="center"/>
    </xf>
    <xf numFmtId="165" fontId="0" fillId="0" borderId="2" xfId="1" applyNumberFormat="1" applyFont="1" applyBorder="1" applyAlignment="1">
      <alignment vertical="center"/>
    </xf>
    <xf numFmtId="165" fontId="0" fillId="0" borderId="0" xfId="1" applyNumberFormat="1" applyFont="1" applyAlignment="1">
      <alignment vertical="center"/>
    </xf>
    <xf numFmtId="0" fontId="0" fillId="3" borderId="0" xfId="0" applyFill="1"/>
    <xf numFmtId="0" fontId="6" fillId="2" borderId="0" xfId="0" applyFont="1" applyFill="1" applyAlignment="1">
      <alignment vertical="center"/>
    </xf>
    <xf numFmtId="0" fontId="3" fillId="0" borderId="0" xfId="0" applyFont="1"/>
    <xf numFmtId="0" fontId="3" fillId="3" borderId="0" xfId="0" applyFont="1" applyFill="1"/>
    <xf numFmtId="166" fontId="0" fillId="0" borderId="0" xfId="0" applyNumberFormat="1"/>
    <xf numFmtId="167" fontId="0" fillId="0" borderId="0" xfId="0" applyNumberFormat="1"/>
    <xf numFmtId="9" fontId="0" fillId="0" borderId="0" xfId="2" applyNumberFormat="1" applyFont="1"/>
    <xf numFmtId="168" fontId="0" fillId="0" borderId="0" xfId="0" applyNumberFormat="1"/>
    <xf numFmtId="14" fontId="0" fillId="0" borderId="0" xfId="0" applyNumberFormat="1"/>
    <xf numFmtId="166" fontId="0" fillId="3" borderId="0" xfId="0" applyNumberFormat="1" applyFill="1"/>
    <xf numFmtId="167" fontId="0" fillId="3" borderId="0" xfId="0" applyNumberFormat="1" applyFill="1"/>
    <xf numFmtId="9" fontId="0" fillId="3" borderId="0" xfId="2" applyNumberFormat="1" applyFont="1" applyFill="1"/>
    <xf numFmtId="168" fontId="0" fillId="3" borderId="0" xfId="0" applyNumberFormat="1" applyFill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 applyFill="1"/>
    <xf numFmtId="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76200</xdr:rowOff>
        </xdr:from>
        <xdr:to>
          <xdr:col>1</xdr:col>
          <xdr:colOff>542925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62" xr16:uid="{28C41050-63B8-414D-8565-55F35EB678D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61" xr16:uid="{3592577C-86DA-4AAE-9B76-343CA3BC81D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60" xr16:uid="{18DAE8D3-8D50-4CBE-9FB5-B9BD0A621A56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59" xr16:uid="{D11196E8-64DB-4A54-8777-0A3FC4CFFABB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8" xr16:uid="{CF9359E7-A057-4E7E-9BAA-BB2F9791D456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48" xr16:uid="{388DF375-5BF8-4AEE-966C-D17832E8235A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46" xr16:uid="{0028C515-8DA1-48A3-9F4D-12D86C56BB4B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40" xr16:uid="{3849CE63-E2B7-48F2-8BE0-74D02147B391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50" xr16:uid="{20444933-75E1-47A9-A62F-B812ECB593F7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53" xr16:uid="{627E526E-DDE7-43E4-965D-EBA02642631A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52" xr16:uid="{3DE64CF2-0B88-4A7B-87FD-91660A3C273B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54" xr16:uid="{5B941F77-7381-4876-A662-E058153718B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51" xr16:uid="{0C1C26DC-C099-42A2-9252-5464B8F9E7B7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9" xr16:uid="{29E7DF6F-1918-4D87-B3A1-EAB8FF4E7C84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42" xr16:uid="{32776B16-07C1-458B-8CB7-513A4209581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56" xr16:uid="{1803F008-565C-41FA-AA67-29321F7B633B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44" xr16:uid="{4DF06C0D-D81F-4FC9-9C5E-70DDFDC35464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9" xr16:uid="{D299E236-8A9B-4797-991A-C94BB3D5E41D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49" xr16:uid="{D489CD05-41F6-412A-8111-372A3C91E633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47" xr16:uid="{7DF7F3F8-3283-4996-944C-843DD33EB2CE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35" xr16:uid="{1060A871-A3F0-4272-B43A-9BEDB5F77D4B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13" xr16:uid="{ECA952D1-43B7-40EB-AD5E-074F9A576142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1" xr16:uid="{A47FBDD9-2981-4266-8615-0318DC6821EE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6" xr16:uid="{2E703DC8-0EAC-477E-A5A8-29FE4F5A86F7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57" xr16:uid="{A91C3713-4A8E-4057-AAA0-2E26ACFD22C4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45" xr16:uid="{8203C30B-B40E-40CC-B11A-24CE584A69F2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3" xr16:uid="{3EFDD637-9679-4137-ACB1-4A62CEBB0C6A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34" xr16:uid="{636853A5-5AE4-421B-91B9-D16918DE1AC4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0" xr16:uid="{25C2748F-293A-4DE7-931E-BBD07DCF0C61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" xr16:uid="{FE1564AE-B2A4-4125-9A75-473E1CD9ABEF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7" xr16:uid="{0289D3E4-9ED2-4596-8967-8F013219AD0F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4" xr16:uid="{B697E43A-5BDE-4B3C-A0B8-DDB7F600CDDC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38" xr16:uid="{484961A7-8550-44A3-AF67-75D8973B91F9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2" xr16:uid="{ED944E2C-5E5C-4094-8B7A-B54E152F7117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0" xr16:uid="{FD38E0C9-2A4F-4379-9A1C-361DD1152054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6" xr16:uid="{44064E61-D1FC-4AA1-A489-07548B475C2B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58" xr16:uid="{C09EE0A9-BDB8-4593-A3C4-AD5A2B6BC4BC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8BB15273-E983-4959-853E-00B8DEFEC272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8" xr16:uid="{480C0F99-C38F-4EDA-B217-A679FF2CBD45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9" xr16:uid="{F50DEF7B-D597-4DE5-A224-0F0707D2FA36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5" xr16:uid="{F71F9C55-35A7-4562-A2AB-58F706503C6C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1" xr16:uid="{CAD6806B-9768-4585-ACF3-8A3C39C1FD97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41" xr16:uid="{888A94D4-FB7C-49BD-98F1-DE8F9F751925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8" xr16:uid="{DF42BFE0-5A00-40FC-9CDD-8AC806E94553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6" xr16:uid="{2BA78E49-5211-45EE-B8ED-A892A3D25079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4" xr16:uid="{6B9CAC9B-7DF0-49C3-865E-04FF439BE407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43" xr16:uid="{65A080B5-24C4-41AE-A7D6-FED4B2C8F28B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33" xr16:uid="{90F5DD3E-23E0-4349-8DCB-442D556142A5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7" xr16:uid="{0D127776-F340-46D8-B448-9738F5C97E13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7" xr16:uid="{44C5B9F9-7582-4641-BA93-67C7623EF94C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5" xr16:uid="{A4F27322-89A1-485F-B696-67A2DD9CD6B9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3" xr16:uid="{98C051E0-2BE9-4C94-8D60-0CF34E7884C5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1" xr16:uid="{AF37EDCF-4841-47AC-9188-D9258490B0E3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4" xr16:uid="{BF21B0B2-2091-4CBF-AF68-D1BC458268BA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2" xr16:uid="{093FD7F0-31C7-457F-9224-7CAC86A427D7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9" xr16:uid="{DDF509A7-7F81-4F48-8255-67735F7DCBEA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5" xr16:uid="{B0B742CC-3CA3-4CCD-8F6F-C45DAD41E3C7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2" xr16:uid="{40520B50-2023-41EA-840D-DBA3816F28F6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55" xr16:uid="{F5EE3A04-87E8-49B1-A60A-09D27349C13C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37" xr16:uid="{B153D76A-92ED-4B25-B5F0-C5BBF10ADD1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36" xr16:uid="{D72B27C2-0302-4410-83E9-CB4A169D5A27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0" xr16:uid="{1D224CFE-AB8F-4752-B12A-A3BAD16CF277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2F772E7-A6CC-40AE-9AA5-2BE256158B69}">
  <we:reference id="wa104379220" version="7.0.0.0" store="en-US" storeType="OMEX"/>
  <we:alternateReferences>
    <we:reference id="wa104379220" version="7.0.0.0" store="WA104379220" storeType="OMEX"/>
  </we:alternateReferences>
  <we:properties>
    <we:property name="Office.AutoShowTaskpaneWithDocument" value="true"/>
    <we:property name="stocksChange" value="{}"/>
    <we:property name="stocks" value="{&quot;BH&quot;:[&quot;BH&quot;,114.6,0.0015731515469323831]}"/>
    <we:property name="stocksOrder" value="[&quot;BH&quot;]"/>
    <we:property name="updateIntervalIndex" value="2"/>
    <we:property name="stocksSources" value="{&quot;BH&quot;:0}"/>
  </we:properties>
  <we:bindings>
    <we:binding id="BH" type="text" appref="{C17FC3FA-E5ED-4DEB-BC73-4B44CEAAA67F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.xml"/><Relationship Id="rId13" Type="http://schemas.openxmlformats.org/officeDocument/2006/relationships/queryTable" Target="../queryTables/queryTable17.xml"/><Relationship Id="rId3" Type="http://schemas.openxmlformats.org/officeDocument/2006/relationships/queryTable" Target="../queryTables/queryTable7.xml"/><Relationship Id="rId7" Type="http://schemas.openxmlformats.org/officeDocument/2006/relationships/queryTable" Target="../queryTables/queryTable11.xml"/><Relationship Id="rId12" Type="http://schemas.openxmlformats.org/officeDocument/2006/relationships/queryTable" Target="../queryTables/queryTable16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6" Type="http://schemas.openxmlformats.org/officeDocument/2006/relationships/queryTable" Target="../queryTables/queryTable10.xml"/><Relationship Id="rId11" Type="http://schemas.openxmlformats.org/officeDocument/2006/relationships/queryTable" Target="../queryTables/queryTable15.xml"/><Relationship Id="rId5" Type="http://schemas.openxmlformats.org/officeDocument/2006/relationships/queryTable" Target="../queryTables/queryTable9.xml"/><Relationship Id="rId10" Type="http://schemas.openxmlformats.org/officeDocument/2006/relationships/queryTable" Target="../queryTables/queryTable14.xml"/><Relationship Id="rId4" Type="http://schemas.openxmlformats.org/officeDocument/2006/relationships/queryTable" Target="../queryTables/queryTable8.xml"/><Relationship Id="rId9" Type="http://schemas.openxmlformats.org/officeDocument/2006/relationships/queryTable" Target="../queryTables/queryTable1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0.xml"/><Relationship Id="rId18" Type="http://schemas.openxmlformats.org/officeDocument/2006/relationships/queryTable" Target="../queryTables/queryTable35.xml"/><Relationship Id="rId26" Type="http://schemas.openxmlformats.org/officeDocument/2006/relationships/queryTable" Target="../queryTables/queryTable43.xml"/><Relationship Id="rId39" Type="http://schemas.openxmlformats.org/officeDocument/2006/relationships/queryTable" Target="../queryTables/queryTable56.xml"/><Relationship Id="rId21" Type="http://schemas.openxmlformats.org/officeDocument/2006/relationships/queryTable" Target="../queryTables/queryTable38.xml"/><Relationship Id="rId34" Type="http://schemas.openxmlformats.org/officeDocument/2006/relationships/queryTable" Target="../queryTables/queryTable51.xml"/><Relationship Id="rId42" Type="http://schemas.openxmlformats.org/officeDocument/2006/relationships/queryTable" Target="../queryTables/queryTable59.xml"/><Relationship Id="rId7" Type="http://schemas.openxmlformats.org/officeDocument/2006/relationships/queryTable" Target="../queryTables/queryTable24.xml"/><Relationship Id="rId2" Type="http://schemas.openxmlformats.org/officeDocument/2006/relationships/queryTable" Target="../queryTables/queryTable19.xml"/><Relationship Id="rId16" Type="http://schemas.openxmlformats.org/officeDocument/2006/relationships/queryTable" Target="../queryTables/queryTable33.xml"/><Relationship Id="rId29" Type="http://schemas.openxmlformats.org/officeDocument/2006/relationships/queryTable" Target="../queryTables/queryTable46.xml"/><Relationship Id="rId1" Type="http://schemas.openxmlformats.org/officeDocument/2006/relationships/queryTable" Target="../queryTables/queryTable18.xml"/><Relationship Id="rId6" Type="http://schemas.openxmlformats.org/officeDocument/2006/relationships/queryTable" Target="../queryTables/queryTable23.xml"/><Relationship Id="rId11" Type="http://schemas.openxmlformats.org/officeDocument/2006/relationships/queryTable" Target="../queryTables/queryTable28.xml"/><Relationship Id="rId24" Type="http://schemas.openxmlformats.org/officeDocument/2006/relationships/queryTable" Target="../queryTables/queryTable41.xml"/><Relationship Id="rId32" Type="http://schemas.openxmlformats.org/officeDocument/2006/relationships/queryTable" Target="../queryTables/queryTable49.xml"/><Relationship Id="rId37" Type="http://schemas.openxmlformats.org/officeDocument/2006/relationships/queryTable" Target="../queryTables/queryTable54.xml"/><Relationship Id="rId40" Type="http://schemas.openxmlformats.org/officeDocument/2006/relationships/queryTable" Target="../queryTables/queryTable57.xml"/><Relationship Id="rId45" Type="http://schemas.openxmlformats.org/officeDocument/2006/relationships/queryTable" Target="../queryTables/queryTable62.xml"/><Relationship Id="rId5" Type="http://schemas.openxmlformats.org/officeDocument/2006/relationships/queryTable" Target="../queryTables/queryTable22.xml"/><Relationship Id="rId15" Type="http://schemas.openxmlformats.org/officeDocument/2006/relationships/queryTable" Target="../queryTables/queryTable32.xml"/><Relationship Id="rId23" Type="http://schemas.openxmlformats.org/officeDocument/2006/relationships/queryTable" Target="../queryTables/queryTable40.xml"/><Relationship Id="rId28" Type="http://schemas.openxmlformats.org/officeDocument/2006/relationships/queryTable" Target="../queryTables/queryTable45.xml"/><Relationship Id="rId36" Type="http://schemas.openxmlformats.org/officeDocument/2006/relationships/queryTable" Target="../queryTables/queryTable53.xml"/><Relationship Id="rId10" Type="http://schemas.openxmlformats.org/officeDocument/2006/relationships/queryTable" Target="../queryTables/queryTable27.xml"/><Relationship Id="rId19" Type="http://schemas.openxmlformats.org/officeDocument/2006/relationships/queryTable" Target="../queryTables/queryTable36.xml"/><Relationship Id="rId31" Type="http://schemas.openxmlformats.org/officeDocument/2006/relationships/queryTable" Target="../queryTables/queryTable48.xml"/><Relationship Id="rId44" Type="http://schemas.openxmlformats.org/officeDocument/2006/relationships/queryTable" Target="../queryTables/queryTable61.xml"/><Relationship Id="rId4" Type="http://schemas.openxmlformats.org/officeDocument/2006/relationships/queryTable" Target="../queryTables/queryTable21.xml"/><Relationship Id="rId9" Type="http://schemas.openxmlformats.org/officeDocument/2006/relationships/queryTable" Target="../queryTables/queryTable26.xml"/><Relationship Id="rId14" Type="http://schemas.openxmlformats.org/officeDocument/2006/relationships/queryTable" Target="../queryTables/queryTable31.xml"/><Relationship Id="rId22" Type="http://schemas.openxmlformats.org/officeDocument/2006/relationships/queryTable" Target="../queryTables/queryTable39.xml"/><Relationship Id="rId27" Type="http://schemas.openxmlformats.org/officeDocument/2006/relationships/queryTable" Target="../queryTables/queryTable44.xml"/><Relationship Id="rId30" Type="http://schemas.openxmlformats.org/officeDocument/2006/relationships/queryTable" Target="../queryTables/queryTable47.xml"/><Relationship Id="rId35" Type="http://schemas.openxmlformats.org/officeDocument/2006/relationships/queryTable" Target="../queryTables/queryTable52.xml"/><Relationship Id="rId43" Type="http://schemas.openxmlformats.org/officeDocument/2006/relationships/queryTable" Target="../queryTables/queryTable60.xml"/><Relationship Id="rId8" Type="http://schemas.openxmlformats.org/officeDocument/2006/relationships/queryTable" Target="../queryTables/queryTable25.xml"/><Relationship Id="rId3" Type="http://schemas.openxmlformats.org/officeDocument/2006/relationships/queryTable" Target="../queryTables/queryTable20.xml"/><Relationship Id="rId12" Type="http://schemas.openxmlformats.org/officeDocument/2006/relationships/queryTable" Target="../queryTables/queryTable29.xml"/><Relationship Id="rId17" Type="http://schemas.openxmlformats.org/officeDocument/2006/relationships/queryTable" Target="../queryTables/queryTable34.xml"/><Relationship Id="rId25" Type="http://schemas.openxmlformats.org/officeDocument/2006/relationships/queryTable" Target="../queryTables/queryTable42.xml"/><Relationship Id="rId33" Type="http://schemas.openxmlformats.org/officeDocument/2006/relationships/queryTable" Target="../queryTables/queryTable50.xml"/><Relationship Id="rId38" Type="http://schemas.openxmlformats.org/officeDocument/2006/relationships/queryTable" Target="../queryTables/queryTable55.xml"/><Relationship Id="rId20" Type="http://schemas.openxmlformats.org/officeDocument/2006/relationships/queryTable" Target="../queryTables/queryTable37.xml"/><Relationship Id="rId41" Type="http://schemas.openxmlformats.org/officeDocument/2006/relationships/queryTable" Target="../queryTables/queryTable5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8FB80-C7A6-4769-BB4E-B7F991D5BFCE}">
  <sheetPr codeName="Sheet6">
    <tabColor theme="1"/>
  </sheetPr>
  <dimension ref="A1:F4897"/>
  <sheetViews>
    <sheetView workbookViewId="0">
      <selection activeCell="J3" sqref="J3"/>
    </sheetView>
  </sheetViews>
  <sheetFormatPr defaultRowHeight="15"/>
  <cols>
    <col min="1" max="1" width="10.7109375" bestFit="1" customWidth="1"/>
    <col min="2" max="5" width="8.140625" bestFit="1" customWidth="1"/>
    <col min="6" max="6" width="13.85546875" bestFit="1" customWidth="1"/>
  </cols>
  <sheetData>
    <row r="1" spans="1:6">
      <c r="A1" t="s">
        <v>112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</row>
    <row r="2" spans="1:6">
      <c r="A2" s="32">
        <v>43836</v>
      </c>
      <c r="B2" s="42">
        <v>1584.13</v>
      </c>
      <c r="C2" s="42">
        <v>1585.56</v>
      </c>
      <c r="D2" s="42">
        <v>1565.93</v>
      </c>
      <c r="E2" s="42">
        <v>1568.5</v>
      </c>
      <c r="F2" s="2">
        <v>22620000000</v>
      </c>
    </row>
    <row r="3" spans="1:6">
      <c r="A3" s="32">
        <v>43833</v>
      </c>
      <c r="B3" s="42">
        <v>1596.95</v>
      </c>
      <c r="C3" s="42">
        <v>1604.43</v>
      </c>
      <c r="D3" s="42">
        <v>1592.9</v>
      </c>
      <c r="E3" s="42">
        <v>1594.97</v>
      </c>
      <c r="F3" s="2">
        <v>18760000000</v>
      </c>
    </row>
    <row r="4" spans="1:6">
      <c r="A4" s="32">
        <v>43832</v>
      </c>
      <c r="B4" s="42">
        <v>1584.35</v>
      </c>
      <c r="C4" s="42">
        <v>1597.92</v>
      </c>
      <c r="D4" s="42">
        <v>1583.18</v>
      </c>
      <c r="E4" s="42">
        <v>1595.82</v>
      </c>
      <c r="F4" s="2">
        <v>17740000000</v>
      </c>
    </row>
    <row r="5" spans="1:6">
      <c r="A5" s="32">
        <v>43829</v>
      </c>
      <c r="B5" s="42">
        <v>1581.05</v>
      </c>
      <c r="C5" s="42">
        <v>1583.86</v>
      </c>
      <c r="D5" s="42">
        <v>1575.92</v>
      </c>
      <c r="E5" s="42">
        <v>1579.84</v>
      </c>
      <c r="F5" s="2">
        <v>8440000000</v>
      </c>
    </row>
    <row r="6" spans="1:6">
      <c r="A6" s="32">
        <v>43826</v>
      </c>
      <c r="B6" s="42">
        <v>1583.46</v>
      </c>
      <c r="C6" s="42">
        <v>1588.02</v>
      </c>
      <c r="D6" s="42">
        <v>1568.05</v>
      </c>
      <c r="E6" s="42">
        <v>1578.22</v>
      </c>
      <c r="F6" s="2">
        <v>12810000000</v>
      </c>
    </row>
    <row r="7" spans="1:6">
      <c r="A7" s="32">
        <v>43825</v>
      </c>
      <c r="B7" s="42">
        <v>1573.81</v>
      </c>
      <c r="C7" s="42">
        <v>1579.33</v>
      </c>
      <c r="D7" s="42">
        <v>1573.44</v>
      </c>
      <c r="E7" s="42">
        <v>1579.03</v>
      </c>
      <c r="F7" s="2">
        <v>11060000000</v>
      </c>
    </row>
    <row r="8" spans="1:6">
      <c r="A8" s="32">
        <v>43824</v>
      </c>
      <c r="B8" s="42">
        <v>1566.59</v>
      </c>
      <c r="C8" s="42">
        <v>1574.41</v>
      </c>
      <c r="D8" s="42">
        <v>1564.85</v>
      </c>
      <c r="E8" s="42">
        <v>1573</v>
      </c>
      <c r="F8" s="2">
        <v>10000000000</v>
      </c>
    </row>
    <row r="9" spans="1:6">
      <c r="A9" s="32">
        <v>43823</v>
      </c>
      <c r="B9" s="42">
        <v>1575.03</v>
      </c>
      <c r="C9" s="42">
        <v>1576.56</v>
      </c>
      <c r="D9" s="42">
        <v>1567.27</v>
      </c>
      <c r="E9" s="42">
        <v>1568.63</v>
      </c>
      <c r="F9" s="2">
        <v>14100000000</v>
      </c>
    </row>
    <row r="10" spans="1:6">
      <c r="A10" s="32">
        <v>43822</v>
      </c>
      <c r="B10" s="42">
        <v>1574.85</v>
      </c>
      <c r="C10" s="42">
        <v>1581.4</v>
      </c>
      <c r="D10" s="42">
        <v>1571.3</v>
      </c>
      <c r="E10" s="42">
        <v>1573.57</v>
      </c>
      <c r="F10" s="2">
        <v>14890000000</v>
      </c>
    </row>
    <row r="11" spans="1:6">
      <c r="A11" s="32">
        <v>43819</v>
      </c>
      <c r="B11" s="42">
        <v>1572.61</v>
      </c>
      <c r="C11" s="42">
        <v>1576.43</v>
      </c>
      <c r="D11" s="42">
        <v>1566.77</v>
      </c>
      <c r="E11" s="42">
        <v>1572.92</v>
      </c>
      <c r="F11" s="2">
        <v>17130000000</v>
      </c>
    </row>
    <row r="12" spans="1:6">
      <c r="A12" s="32">
        <v>43818</v>
      </c>
      <c r="B12" s="42">
        <v>1558.8</v>
      </c>
      <c r="C12" s="42">
        <v>1576.5</v>
      </c>
      <c r="D12" s="42">
        <v>1552.88</v>
      </c>
      <c r="E12" s="42">
        <v>1573.51</v>
      </c>
      <c r="F12" s="2">
        <v>21680000000</v>
      </c>
    </row>
    <row r="13" spans="1:6">
      <c r="A13" s="32">
        <v>43817</v>
      </c>
      <c r="B13" s="42">
        <v>1555.55</v>
      </c>
      <c r="C13" s="42">
        <v>1566.27</v>
      </c>
      <c r="D13" s="42">
        <v>1554.99</v>
      </c>
      <c r="E13" s="42">
        <v>1563.74</v>
      </c>
      <c r="F13" s="2">
        <v>17170000000</v>
      </c>
    </row>
    <row r="14" spans="1:6">
      <c r="A14" s="32">
        <v>43816</v>
      </c>
      <c r="B14" s="42">
        <v>1551.71</v>
      </c>
      <c r="C14" s="42">
        <v>1556.82</v>
      </c>
      <c r="D14" s="42">
        <v>1543.22</v>
      </c>
      <c r="E14" s="42">
        <v>1548.65</v>
      </c>
      <c r="F14" s="2">
        <v>20390000000</v>
      </c>
    </row>
    <row r="15" spans="1:6">
      <c r="A15" s="32">
        <v>43815</v>
      </c>
      <c r="B15" s="42">
        <v>1572.64</v>
      </c>
      <c r="C15" s="42">
        <v>1573.41</v>
      </c>
      <c r="D15" s="42">
        <v>1549.69</v>
      </c>
      <c r="E15" s="42">
        <v>1549.74</v>
      </c>
      <c r="F15" s="2">
        <v>18160000000</v>
      </c>
    </row>
    <row r="16" spans="1:6">
      <c r="A16" s="32">
        <v>43812</v>
      </c>
      <c r="B16" s="42">
        <v>1577.38</v>
      </c>
      <c r="C16" s="42">
        <v>1582.16</v>
      </c>
      <c r="D16" s="42">
        <v>1570.07</v>
      </c>
      <c r="E16" s="42">
        <v>1573.91</v>
      </c>
      <c r="F16" s="2">
        <v>18730000000</v>
      </c>
    </row>
    <row r="17" spans="1:6">
      <c r="A17" s="32">
        <v>43811</v>
      </c>
      <c r="B17" s="42">
        <v>1558.6</v>
      </c>
      <c r="C17" s="42">
        <v>1568.62</v>
      </c>
      <c r="D17" s="42">
        <v>1557.1</v>
      </c>
      <c r="E17" s="42">
        <v>1563.85</v>
      </c>
      <c r="F17" s="2">
        <v>18930000000</v>
      </c>
    </row>
    <row r="18" spans="1:6">
      <c r="A18" s="32">
        <v>43810</v>
      </c>
      <c r="B18" s="42">
        <v>1555.38</v>
      </c>
      <c r="C18" s="42">
        <v>1559.19</v>
      </c>
      <c r="D18" s="42">
        <v>1546.51</v>
      </c>
      <c r="E18" s="42">
        <v>1551.82</v>
      </c>
      <c r="F18" s="2">
        <v>17670000000</v>
      </c>
    </row>
    <row r="19" spans="1:6">
      <c r="A19" s="32">
        <v>43808</v>
      </c>
      <c r="B19" s="42">
        <v>1559.84</v>
      </c>
      <c r="C19" s="42">
        <v>1559.93</v>
      </c>
      <c r="D19" s="42">
        <v>1548.01</v>
      </c>
      <c r="E19" s="42">
        <v>1552.96</v>
      </c>
      <c r="F19" s="2">
        <v>17700000000</v>
      </c>
    </row>
    <row r="20" spans="1:6">
      <c r="A20" s="32">
        <v>43805</v>
      </c>
      <c r="B20" s="42">
        <v>1571.1</v>
      </c>
      <c r="C20" s="42">
        <v>1575.79</v>
      </c>
      <c r="D20" s="42">
        <v>1558.5</v>
      </c>
      <c r="E20" s="42">
        <v>1558.99</v>
      </c>
      <c r="F20" s="2">
        <v>16450000000</v>
      </c>
    </row>
    <row r="21" spans="1:6">
      <c r="A21" s="32">
        <v>43803</v>
      </c>
      <c r="B21" s="42">
        <v>1562.22</v>
      </c>
      <c r="C21" s="42">
        <v>1570.39</v>
      </c>
      <c r="D21" s="42">
        <v>1556.51</v>
      </c>
      <c r="E21" s="42">
        <v>1565.45</v>
      </c>
      <c r="F21" s="2">
        <v>21730000000</v>
      </c>
    </row>
    <row r="22" spans="1:6">
      <c r="A22" s="32">
        <v>43802</v>
      </c>
      <c r="B22" s="42">
        <v>1562.63</v>
      </c>
      <c r="C22" s="42">
        <v>1574.12</v>
      </c>
      <c r="D22" s="42">
        <v>1561.46</v>
      </c>
      <c r="E22" s="42">
        <v>1567.63</v>
      </c>
      <c r="F22" s="2">
        <v>18190000000</v>
      </c>
    </row>
    <row r="23" spans="1:6">
      <c r="A23" s="32">
        <v>43801</v>
      </c>
      <c r="B23" s="42">
        <v>1588.59</v>
      </c>
      <c r="C23" s="42">
        <v>1589.34</v>
      </c>
      <c r="D23" s="42">
        <v>1566.68</v>
      </c>
      <c r="E23" s="42">
        <v>1569.53</v>
      </c>
      <c r="F23" s="2">
        <v>22700000000</v>
      </c>
    </row>
    <row r="24" spans="1:6">
      <c r="A24" s="32">
        <v>43798</v>
      </c>
      <c r="B24" s="42">
        <v>1594.04</v>
      </c>
      <c r="C24" s="42">
        <v>1594.54</v>
      </c>
      <c r="D24" s="42">
        <v>1580.08</v>
      </c>
      <c r="E24" s="42">
        <v>1590.59</v>
      </c>
      <c r="F24" s="2">
        <v>19940000000</v>
      </c>
    </row>
    <row r="25" spans="1:6">
      <c r="A25" s="32">
        <v>43797</v>
      </c>
      <c r="B25" s="42">
        <v>1607.97</v>
      </c>
      <c r="C25" s="42">
        <v>1608.67</v>
      </c>
      <c r="D25" s="42">
        <v>1595.11</v>
      </c>
      <c r="E25" s="42">
        <v>1597.68</v>
      </c>
      <c r="F25" s="2">
        <v>18690000000</v>
      </c>
    </row>
    <row r="26" spans="1:6">
      <c r="A26" s="32">
        <v>43796</v>
      </c>
      <c r="B26" s="42">
        <v>1611.85</v>
      </c>
      <c r="C26" s="42">
        <v>1613.81</v>
      </c>
      <c r="D26" s="42">
        <v>1604.34</v>
      </c>
      <c r="E26" s="42">
        <v>1607.27</v>
      </c>
      <c r="F26" s="2">
        <v>17960000000</v>
      </c>
    </row>
    <row r="27" spans="1:6">
      <c r="A27" s="32">
        <v>43795</v>
      </c>
      <c r="B27" s="42">
        <v>1618.15</v>
      </c>
      <c r="C27" s="42">
        <v>1620.6</v>
      </c>
      <c r="D27" s="42">
        <v>1608.64</v>
      </c>
      <c r="E27" s="42">
        <v>1609.38</v>
      </c>
      <c r="F27" s="2">
        <v>20300000000</v>
      </c>
    </row>
    <row r="28" spans="1:6">
      <c r="A28" s="32">
        <v>43794</v>
      </c>
      <c r="B28" s="42">
        <v>1603.13</v>
      </c>
      <c r="C28" s="42">
        <v>1614.8</v>
      </c>
      <c r="D28" s="42">
        <v>1601.76</v>
      </c>
      <c r="E28" s="42">
        <v>1614.8</v>
      </c>
      <c r="F28" s="2">
        <v>16840000000</v>
      </c>
    </row>
    <row r="29" spans="1:6">
      <c r="A29" s="32">
        <v>43791</v>
      </c>
      <c r="B29" s="42">
        <v>1595.38</v>
      </c>
      <c r="C29" s="42">
        <v>1599.49</v>
      </c>
      <c r="D29" s="42">
        <v>1591.18</v>
      </c>
      <c r="E29" s="42">
        <v>1597.72</v>
      </c>
      <c r="F29" s="2">
        <v>15650000000</v>
      </c>
    </row>
    <row r="30" spans="1:6">
      <c r="A30" s="32">
        <v>43790</v>
      </c>
      <c r="B30" s="42">
        <v>1594.95</v>
      </c>
      <c r="C30" s="42">
        <v>1595.77</v>
      </c>
      <c r="D30" s="42">
        <v>1583.77</v>
      </c>
      <c r="E30" s="42">
        <v>1591.86</v>
      </c>
      <c r="F30" s="2">
        <v>17090000000</v>
      </c>
    </row>
    <row r="31" spans="1:6">
      <c r="A31" s="32">
        <v>43789</v>
      </c>
      <c r="B31" s="42">
        <v>1599.42</v>
      </c>
      <c r="C31" s="42">
        <v>1603.57</v>
      </c>
      <c r="D31" s="42">
        <v>1595.01</v>
      </c>
      <c r="E31" s="42">
        <v>1596.83</v>
      </c>
      <c r="F31" s="2">
        <v>16070000000</v>
      </c>
    </row>
    <row r="32" spans="1:6">
      <c r="A32" s="32">
        <v>43788</v>
      </c>
      <c r="B32" s="42">
        <v>1605.47</v>
      </c>
      <c r="C32" s="42">
        <v>1609.3</v>
      </c>
      <c r="D32" s="42">
        <v>1600.05</v>
      </c>
      <c r="E32" s="42">
        <v>1607.25</v>
      </c>
      <c r="F32" s="2">
        <v>17740000000</v>
      </c>
    </row>
    <row r="33" spans="1:6">
      <c r="A33" s="32">
        <v>43787</v>
      </c>
      <c r="B33" s="42">
        <v>1605.19</v>
      </c>
      <c r="C33" s="42">
        <v>1609.99</v>
      </c>
      <c r="D33" s="42">
        <v>1596.8</v>
      </c>
      <c r="E33" s="42">
        <v>1608</v>
      </c>
      <c r="F33" s="2">
        <v>17550000000</v>
      </c>
    </row>
    <row r="34" spans="1:6">
      <c r="A34" s="32">
        <v>43784</v>
      </c>
      <c r="B34" s="42">
        <v>1613.3</v>
      </c>
      <c r="C34" s="42">
        <v>1615.48</v>
      </c>
      <c r="D34" s="42">
        <v>1595.32</v>
      </c>
      <c r="E34" s="42">
        <v>1602.23</v>
      </c>
      <c r="F34" s="2">
        <v>19770000000</v>
      </c>
    </row>
    <row r="35" spans="1:6">
      <c r="A35" s="32">
        <v>43783</v>
      </c>
      <c r="B35" s="42">
        <v>1616.61</v>
      </c>
      <c r="C35" s="42">
        <v>1619.86</v>
      </c>
      <c r="D35" s="42">
        <v>1605.32</v>
      </c>
      <c r="E35" s="42">
        <v>1609.47</v>
      </c>
      <c r="F35" s="2">
        <v>20250000000</v>
      </c>
    </row>
    <row r="36" spans="1:6">
      <c r="A36" s="32">
        <v>43782</v>
      </c>
      <c r="B36" s="42">
        <v>1621.91</v>
      </c>
      <c r="C36" s="42">
        <v>1627.45</v>
      </c>
      <c r="D36" s="42">
        <v>1610.93</v>
      </c>
      <c r="E36" s="42">
        <v>1615.14</v>
      </c>
      <c r="F36" s="2">
        <v>20310000000</v>
      </c>
    </row>
    <row r="37" spans="1:6">
      <c r="A37" s="32">
        <v>43781</v>
      </c>
      <c r="B37" s="42">
        <v>1625.42</v>
      </c>
      <c r="C37" s="42">
        <v>1632.82</v>
      </c>
      <c r="D37" s="42">
        <v>1622.18</v>
      </c>
      <c r="E37" s="42">
        <v>1626.2</v>
      </c>
      <c r="F37" s="2">
        <v>18620000000</v>
      </c>
    </row>
    <row r="38" spans="1:6">
      <c r="A38" s="32">
        <v>43780</v>
      </c>
      <c r="B38" s="42">
        <v>1632.77</v>
      </c>
      <c r="C38" s="42">
        <v>1634.09</v>
      </c>
      <c r="D38" s="42">
        <v>1619.02</v>
      </c>
      <c r="E38" s="42">
        <v>1622.12</v>
      </c>
      <c r="F38" s="2">
        <v>19040000000</v>
      </c>
    </row>
    <row r="39" spans="1:6">
      <c r="A39" s="32">
        <v>43777</v>
      </c>
      <c r="B39" s="42">
        <v>1641.55</v>
      </c>
      <c r="C39" s="42">
        <v>1642.5</v>
      </c>
      <c r="D39" s="42">
        <v>1634.5</v>
      </c>
      <c r="E39" s="42">
        <v>1637.85</v>
      </c>
      <c r="F39" s="2">
        <v>18840000000</v>
      </c>
    </row>
    <row r="40" spans="1:6">
      <c r="A40" s="32">
        <v>43776</v>
      </c>
      <c r="B40" s="42">
        <v>1623.64</v>
      </c>
      <c r="C40" s="42">
        <v>1641.38</v>
      </c>
      <c r="D40" s="42">
        <v>1620.12</v>
      </c>
      <c r="E40" s="42">
        <v>1640.88</v>
      </c>
      <c r="F40" s="2">
        <v>23080000000</v>
      </c>
    </row>
    <row r="41" spans="1:6">
      <c r="A41" s="32">
        <v>43775</v>
      </c>
      <c r="B41" s="42">
        <v>1627.23</v>
      </c>
      <c r="C41" s="42">
        <v>1631.34</v>
      </c>
      <c r="D41" s="42">
        <v>1621.34</v>
      </c>
      <c r="E41" s="42">
        <v>1623.99</v>
      </c>
      <c r="F41" s="2">
        <v>23570000000</v>
      </c>
    </row>
    <row r="42" spans="1:6">
      <c r="A42" s="32">
        <v>43774</v>
      </c>
      <c r="B42" s="42">
        <v>1628.73</v>
      </c>
      <c r="C42" s="42">
        <v>1629.77</v>
      </c>
      <c r="D42" s="42">
        <v>1617.72</v>
      </c>
      <c r="E42" s="42">
        <v>1626.87</v>
      </c>
      <c r="F42" s="2">
        <v>19670000000</v>
      </c>
    </row>
    <row r="43" spans="1:6">
      <c r="A43" s="32">
        <v>43773</v>
      </c>
      <c r="B43" s="42">
        <v>1601.9</v>
      </c>
      <c r="C43" s="42">
        <v>1624.83</v>
      </c>
      <c r="D43" s="42">
        <v>1600.95</v>
      </c>
      <c r="E43" s="42">
        <v>1622.25</v>
      </c>
      <c r="F43" s="2">
        <v>25620000000</v>
      </c>
    </row>
    <row r="44" spans="1:6">
      <c r="A44" s="32">
        <v>43770</v>
      </c>
      <c r="B44" s="42">
        <v>1600.73</v>
      </c>
      <c r="C44" s="42">
        <v>1603.53</v>
      </c>
      <c r="D44" s="42">
        <v>1589.72</v>
      </c>
      <c r="E44" s="42">
        <v>1592.52</v>
      </c>
      <c r="F44" s="2">
        <v>19550000000</v>
      </c>
    </row>
    <row r="45" spans="1:6">
      <c r="A45" s="32">
        <v>43769</v>
      </c>
      <c r="B45" s="42">
        <v>1606.71</v>
      </c>
      <c r="C45" s="42">
        <v>1610.03</v>
      </c>
      <c r="D45" s="42">
        <v>1600.23</v>
      </c>
      <c r="E45" s="42">
        <v>1601.49</v>
      </c>
      <c r="F45" s="2">
        <v>22220000000</v>
      </c>
    </row>
    <row r="46" spans="1:6">
      <c r="A46" s="32">
        <v>43768</v>
      </c>
      <c r="B46" s="42">
        <v>1594.4</v>
      </c>
      <c r="C46" s="42">
        <v>1601.83</v>
      </c>
      <c r="D46" s="42">
        <v>1589.48</v>
      </c>
      <c r="E46" s="42">
        <v>1601.83</v>
      </c>
      <c r="F46" s="2">
        <v>22290000000</v>
      </c>
    </row>
    <row r="47" spans="1:6">
      <c r="A47" s="32">
        <v>43767</v>
      </c>
      <c r="B47" s="42">
        <v>1601.44</v>
      </c>
      <c r="C47" s="42">
        <v>1605.45</v>
      </c>
      <c r="D47" s="42">
        <v>1588.82</v>
      </c>
      <c r="E47" s="42">
        <v>1591.21</v>
      </c>
      <c r="F47" s="2">
        <v>19490000000</v>
      </c>
    </row>
    <row r="48" spans="1:6">
      <c r="A48" s="32">
        <v>43766</v>
      </c>
      <c r="B48" s="42">
        <v>1591.64</v>
      </c>
      <c r="C48" s="42">
        <v>1599.1</v>
      </c>
      <c r="D48" s="42">
        <v>1579.13</v>
      </c>
      <c r="E48" s="42">
        <v>1596.48</v>
      </c>
      <c r="F48" s="2">
        <v>20180000000</v>
      </c>
    </row>
    <row r="49" spans="1:6">
      <c r="A49" s="32">
        <v>43763</v>
      </c>
      <c r="B49" s="42">
        <v>1620.61</v>
      </c>
      <c r="C49" s="42">
        <v>1622.66</v>
      </c>
      <c r="D49" s="42">
        <v>1592.66</v>
      </c>
      <c r="E49" s="42">
        <v>1593.28</v>
      </c>
      <c r="F49" s="2">
        <v>24500000000</v>
      </c>
    </row>
    <row r="50" spans="1:6">
      <c r="A50" s="32">
        <v>43762</v>
      </c>
      <c r="B50" s="42">
        <v>1636.07</v>
      </c>
      <c r="C50" s="42">
        <v>1637.49</v>
      </c>
      <c r="D50" s="42">
        <v>1617.59</v>
      </c>
      <c r="E50" s="42">
        <v>1620.97</v>
      </c>
      <c r="F50" s="2">
        <v>19890000000</v>
      </c>
    </row>
    <row r="51" spans="1:6">
      <c r="A51" s="32">
        <v>43760</v>
      </c>
      <c r="B51" s="42">
        <v>1625.06</v>
      </c>
      <c r="C51" s="42">
        <v>1631.94</v>
      </c>
      <c r="D51" s="42">
        <v>1624.44</v>
      </c>
      <c r="E51" s="42">
        <v>1631.46</v>
      </c>
      <c r="F51" s="2">
        <v>14280000000</v>
      </c>
    </row>
    <row r="52" spans="1:6">
      <c r="A52" s="32">
        <v>43759</v>
      </c>
      <c r="B52" s="42">
        <v>1630.43</v>
      </c>
      <c r="C52" s="42">
        <v>1631.63</v>
      </c>
      <c r="D52" s="42">
        <v>1619.49</v>
      </c>
      <c r="E52" s="42">
        <v>1620.78</v>
      </c>
      <c r="F52" s="2">
        <v>16950000000</v>
      </c>
    </row>
    <row r="53" spans="1:6">
      <c r="A53" s="32">
        <v>43756</v>
      </c>
      <c r="B53" s="42">
        <v>1634.4</v>
      </c>
      <c r="C53" s="42">
        <v>1637.36</v>
      </c>
      <c r="D53" s="42">
        <v>1623.38</v>
      </c>
      <c r="E53" s="42">
        <v>1631.43</v>
      </c>
      <c r="F53" s="2">
        <v>27910000000</v>
      </c>
    </row>
    <row r="54" spans="1:6">
      <c r="A54" s="32">
        <v>43755</v>
      </c>
      <c r="B54" s="42">
        <v>1638.98</v>
      </c>
      <c r="C54" s="42">
        <v>1640.15</v>
      </c>
      <c r="D54" s="42">
        <v>1630.47</v>
      </c>
      <c r="E54" s="42">
        <v>1632.8</v>
      </c>
      <c r="F54" s="2">
        <v>18960000000</v>
      </c>
    </row>
    <row r="55" spans="1:6">
      <c r="A55" s="32">
        <v>43754</v>
      </c>
      <c r="B55" s="42">
        <v>1629.88</v>
      </c>
      <c r="C55" s="42">
        <v>1636.51</v>
      </c>
      <c r="D55" s="42">
        <v>1628.87</v>
      </c>
      <c r="E55" s="42">
        <v>1634.46</v>
      </c>
      <c r="F55" s="2">
        <v>18960000000</v>
      </c>
    </row>
    <row r="56" spans="1:6">
      <c r="A56" s="32">
        <v>43753</v>
      </c>
      <c r="B56" s="42">
        <v>1631.05</v>
      </c>
      <c r="C56" s="42">
        <v>1633.89</v>
      </c>
      <c r="D56" s="42">
        <v>1621.73</v>
      </c>
      <c r="E56" s="42">
        <v>1627.01</v>
      </c>
      <c r="F56" s="2">
        <v>19270000000</v>
      </c>
    </row>
    <row r="57" spans="1:6">
      <c r="A57" s="32">
        <v>43749</v>
      </c>
      <c r="B57" s="42">
        <v>1613.47</v>
      </c>
      <c r="C57" s="42">
        <v>1627.26</v>
      </c>
      <c r="D57" s="42">
        <v>1613.08</v>
      </c>
      <c r="E57" s="42">
        <v>1626</v>
      </c>
      <c r="F57" s="2">
        <v>20080000000</v>
      </c>
    </row>
    <row r="58" spans="1:6">
      <c r="A58" s="32">
        <v>43748</v>
      </c>
      <c r="B58" s="42">
        <v>1614.07</v>
      </c>
      <c r="C58" s="42">
        <v>1615.25</v>
      </c>
      <c r="D58" s="42">
        <v>1606.71</v>
      </c>
      <c r="E58" s="42">
        <v>1607.5</v>
      </c>
      <c r="F58" s="2">
        <v>18140000000</v>
      </c>
    </row>
    <row r="59" spans="1:6">
      <c r="A59" s="32">
        <v>43747</v>
      </c>
      <c r="B59" s="42">
        <v>1610.65</v>
      </c>
      <c r="C59" s="42">
        <v>1617.38</v>
      </c>
      <c r="D59" s="42">
        <v>1603.97</v>
      </c>
      <c r="E59" s="42">
        <v>1616.18</v>
      </c>
      <c r="F59" s="2">
        <v>16650000000</v>
      </c>
    </row>
    <row r="60" spans="1:6">
      <c r="A60" s="32">
        <v>43746</v>
      </c>
      <c r="B60" s="42">
        <v>1620.29</v>
      </c>
      <c r="C60" s="42">
        <v>1623.56</v>
      </c>
      <c r="D60" s="42">
        <v>1609.27</v>
      </c>
      <c r="E60" s="42">
        <v>1612.17</v>
      </c>
      <c r="F60" s="2">
        <v>16210000000</v>
      </c>
    </row>
    <row r="61" spans="1:6">
      <c r="A61" s="32">
        <v>43745</v>
      </c>
      <c r="B61" s="42">
        <v>1611.74</v>
      </c>
      <c r="C61" s="42">
        <v>1616.06</v>
      </c>
      <c r="D61" s="42">
        <v>1607.32</v>
      </c>
      <c r="E61" s="42">
        <v>1613.71</v>
      </c>
      <c r="F61" s="2">
        <v>15560000000</v>
      </c>
    </row>
    <row r="62" spans="1:6">
      <c r="A62" s="32">
        <v>43742</v>
      </c>
      <c r="B62" s="42">
        <v>1613.7</v>
      </c>
      <c r="C62" s="42">
        <v>1615.33</v>
      </c>
      <c r="D62" s="42">
        <v>1603.61</v>
      </c>
      <c r="E62" s="42">
        <v>1605.96</v>
      </c>
      <c r="F62" s="2">
        <v>13190000000</v>
      </c>
    </row>
    <row r="63" spans="1:6">
      <c r="A63" s="32">
        <v>43741</v>
      </c>
      <c r="B63" s="42">
        <v>1606.38</v>
      </c>
      <c r="C63" s="42">
        <v>1614.84</v>
      </c>
      <c r="D63" s="42">
        <v>1605.13</v>
      </c>
      <c r="E63" s="42">
        <v>1610.69</v>
      </c>
      <c r="F63" s="2">
        <v>13840000000</v>
      </c>
    </row>
    <row r="64" spans="1:6">
      <c r="A64" s="32">
        <v>43740</v>
      </c>
      <c r="B64" s="42">
        <v>1617.83</v>
      </c>
      <c r="C64" s="42">
        <v>1619.34</v>
      </c>
      <c r="D64" s="42">
        <v>1608.89</v>
      </c>
      <c r="E64" s="42">
        <v>1613.64</v>
      </c>
      <c r="F64" s="2">
        <v>14550000000</v>
      </c>
    </row>
    <row r="65" spans="1:6">
      <c r="A65" s="32">
        <v>43739</v>
      </c>
      <c r="B65" s="42">
        <v>1637.59</v>
      </c>
      <c r="C65" s="42">
        <v>1639.14</v>
      </c>
      <c r="D65" s="42">
        <v>1623.03</v>
      </c>
      <c r="E65" s="42">
        <v>1624.09</v>
      </c>
      <c r="F65" s="2">
        <v>14790000000</v>
      </c>
    </row>
    <row r="66" spans="1:6">
      <c r="A66" s="32">
        <v>43738</v>
      </c>
      <c r="B66" s="42">
        <v>1643.13</v>
      </c>
      <c r="C66" s="42">
        <v>1645.06</v>
      </c>
      <c r="D66" s="42">
        <v>1634.1</v>
      </c>
      <c r="E66" s="42">
        <v>1637.22</v>
      </c>
      <c r="F66" s="2">
        <v>15020000000</v>
      </c>
    </row>
    <row r="67" spans="1:6">
      <c r="A67" s="32">
        <v>43735</v>
      </c>
      <c r="B67" s="42">
        <v>1636.42</v>
      </c>
      <c r="C67" s="42">
        <v>1648.67</v>
      </c>
      <c r="D67" s="42">
        <v>1630.39</v>
      </c>
      <c r="E67" s="42">
        <v>1643.76</v>
      </c>
      <c r="F67" s="2">
        <v>14770000000</v>
      </c>
    </row>
    <row r="68" spans="1:6">
      <c r="A68" s="32">
        <v>43734</v>
      </c>
      <c r="B68" s="42">
        <v>1633.92</v>
      </c>
      <c r="C68" s="42">
        <v>1638.25</v>
      </c>
      <c r="D68" s="42">
        <v>1630.81</v>
      </c>
      <c r="E68" s="42">
        <v>1636.75</v>
      </c>
      <c r="F68" s="2">
        <v>16250000000</v>
      </c>
    </row>
    <row r="69" spans="1:6">
      <c r="A69" s="32">
        <v>43733</v>
      </c>
      <c r="B69" s="42">
        <v>1624.69</v>
      </c>
      <c r="C69" s="42">
        <v>1630.56</v>
      </c>
      <c r="D69" s="42">
        <v>1621.63</v>
      </c>
      <c r="E69" s="42">
        <v>1628.38</v>
      </c>
      <c r="F69" s="2">
        <v>16290000000</v>
      </c>
    </row>
    <row r="70" spans="1:6">
      <c r="A70" s="32">
        <v>43732</v>
      </c>
      <c r="B70" s="42">
        <v>1623.6</v>
      </c>
      <c r="C70" s="42">
        <v>1634.04</v>
      </c>
      <c r="D70" s="42">
        <v>1622.75</v>
      </c>
      <c r="E70" s="42">
        <v>1630.5</v>
      </c>
      <c r="F70" s="2">
        <v>17030000000</v>
      </c>
    </row>
    <row r="71" spans="1:6">
      <c r="A71" s="32">
        <v>43731</v>
      </c>
      <c r="B71" s="42">
        <v>1635.31</v>
      </c>
      <c r="C71" s="42">
        <v>1636.16</v>
      </c>
      <c r="D71" s="42">
        <v>1620.77</v>
      </c>
      <c r="E71" s="42">
        <v>1622.79</v>
      </c>
      <c r="F71" s="2">
        <v>14270000000</v>
      </c>
    </row>
    <row r="72" spans="1:6">
      <c r="A72" s="32">
        <v>43728</v>
      </c>
      <c r="B72" s="42">
        <v>1641.23</v>
      </c>
      <c r="C72" s="42">
        <v>1644.29</v>
      </c>
      <c r="D72" s="42">
        <v>1627.9</v>
      </c>
      <c r="E72" s="42">
        <v>1636.2</v>
      </c>
      <c r="F72" s="2">
        <v>18650000000</v>
      </c>
    </row>
    <row r="73" spans="1:6">
      <c r="A73" s="32">
        <v>43727</v>
      </c>
      <c r="B73" s="42">
        <v>1656.66</v>
      </c>
      <c r="C73" s="42">
        <v>1660.81</v>
      </c>
      <c r="D73" s="42">
        <v>1638.47</v>
      </c>
      <c r="E73" s="42">
        <v>1640.66</v>
      </c>
      <c r="F73" s="2">
        <v>18770000000</v>
      </c>
    </row>
    <row r="74" spans="1:6">
      <c r="A74" s="32">
        <v>43726</v>
      </c>
      <c r="B74" s="42">
        <v>1663.62</v>
      </c>
      <c r="C74" s="42">
        <v>1664.81</v>
      </c>
      <c r="D74" s="42">
        <v>1650.64</v>
      </c>
      <c r="E74" s="42">
        <v>1654.14</v>
      </c>
      <c r="F74" s="2">
        <v>19720000000</v>
      </c>
    </row>
    <row r="75" spans="1:6">
      <c r="A75" s="32">
        <v>43725</v>
      </c>
      <c r="B75" s="42">
        <v>1661.59</v>
      </c>
      <c r="C75" s="42">
        <v>1670.62</v>
      </c>
      <c r="D75" s="42">
        <v>1659.14</v>
      </c>
      <c r="E75" s="42">
        <v>1663.93</v>
      </c>
      <c r="F75" s="2">
        <v>20370000000</v>
      </c>
    </row>
    <row r="76" spans="1:6">
      <c r="A76" s="32">
        <v>43724</v>
      </c>
      <c r="B76" s="42">
        <v>1666.77</v>
      </c>
      <c r="C76" s="42">
        <v>1668.77</v>
      </c>
      <c r="D76" s="42">
        <v>1658.65</v>
      </c>
      <c r="E76" s="42">
        <v>1662.93</v>
      </c>
      <c r="F76" s="2">
        <v>17590000000</v>
      </c>
    </row>
    <row r="77" spans="1:6">
      <c r="A77" s="32">
        <v>43721</v>
      </c>
      <c r="B77" s="42">
        <v>1664.37</v>
      </c>
      <c r="C77" s="42">
        <v>1667.49</v>
      </c>
      <c r="D77" s="42">
        <v>1655.95</v>
      </c>
      <c r="E77" s="42">
        <v>1661.96</v>
      </c>
      <c r="F77" s="2">
        <v>20920000000</v>
      </c>
    </row>
    <row r="78" spans="1:6">
      <c r="A78" s="32">
        <v>43720</v>
      </c>
      <c r="B78" s="42">
        <v>1678.32</v>
      </c>
      <c r="C78" s="42">
        <v>1679.03</v>
      </c>
      <c r="D78" s="42">
        <v>1659.42</v>
      </c>
      <c r="E78" s="42">
        <v>1660.68</v>
      </c>
      <c r="F78" s="2">
        <v>21120000000</v>
      </c>
    </row>
    <row r="79" spans="1:6">
      <c r="A79" s="32">
        <v>43719</v>
      </c>
      <c r="B79" s="42">
        <v>1669.36</v>
      </c>
      <c r="C79" s="42">
        <v>1674.73</v>
      </c>
      <c r="D79" s="42">
        <v>1661.66</v>
      </c>
      <c r="E79" s="42">
        <v>1674.03</v>
      </c>
      <c r="F79" s="2">
        <v>19840000000</v>
      </c>
    </row>
    <row r="80" spans="1:6">
      <c r="A80" s="32">
        <v>43718</v>
      </c>
      <c r="B80" s="42">
        <v>1675.1</v>
      </c>
      <c r="C80" s="42">
        <v>1677.47</v>
      </c>
      <c r="D80" s="42">
        <v>1662.28</v>
      </c>
      <c r="E80" s="42">
        <v>1665.93</v>
      </c>
      <c r="F80" s="2">
        <v>19430000000</v>
      </c>
    </row>
    <row r="81" spans="1:6">
      <c r="A81" s="32">
        <v>43717</v>
      </c>
      <c r="B81" s="42">
        <v>1673.22</v>
      </c>
      <c r="C81" s="42">
        <v>1676.62</v>
      </c>
      <c r="D81" s="42">
        <v>1666.61</v>
      </c>
      <c r="E81" s="42">
        <v>1671.22</v>
      </c>
      <c r="F81" s="2">
        <v>16600000000</v>
      </c>
    </row>
    <row r="82" spans="1:6">
      <c r="A82" s="32">
        <v>43714</v>
      </c>
      <c r="B82" s="42">
        <v>1677.41</v>
      </c>
      <c r="C82" s="42">
        <v>1679.65</v>
      </c>
      <c r="D82" s="42">
        <v>1667.61</v>
      </c>
      <c r="E82" s="42">
        <v>1670.06</v>
      </c>
      <c r="F82" s="2">
        <v>15510000000</v>
      </c>
    </row>
    <row r="83" spans="1:6">
      <c r="A83" s="32">
        <v>43713</v>
      </c>
      <c r="B83" s="42">
        <v>1670.91</v>
      </c>
      <c r="C83" s="42">
        <v>1673.84</v>
      </c>
      <c r="D83" s="42">
        <v>1663.34</v>
      </c>
      <c r="E83" s="42">
        <v>1669.79</v>
      </c>
      <c r="F83" s="2">
        <v>17970000000</v>
      </c>
    </row>
    <row r="84" spans="1:6">
      <c r="A84" s="32">
        <v>43712</v>
      </c>
      <c r="B84" s="42">
        <v>1650.87</v>
      </c>
      <c r="C84" s="42">
        <v>1664.56</v>
      </c>
      <c r="D84" s="42">
        <v>1647.29</v>
      </c>
      <c r="E84" s="42">
        <v>1658.64</v>
      </c>
      <c r="F84" s="2">
        <v>19580000000</v>
      </c>
    </row>
    <row r="85" spans="1:6">
      <c r="A85" s="32">
        <v>43711</v>
      </c>
      <c r="B85" s="42">
        <v>1657.3</v>
      </c>
      <c r="C85" s="42">
        <v>1660.26</v>
      </c>
      <c r="D85" s="42">
        <v>1642.23</v>
      </c>
      <c r="E85" s="42">
        <v>1642.25</v>
      </c>
      <c r="F85" s="2">
        <v>19860000000</v>
      </c>
    </row>
    <row r="86" spans="1:6">
      <c r="A86" s="32">
        <v>43710</v>
      </c>
      <c r="B86" s="42">
        <v>1651.2</v>
      </c>
      <c r="C86" s="42">
        <v>1658.66</v>
      </c>
      <c r="D86" s="42">
        <v>1646.59</v>
      </c>
      <c r="E86" s="42">
        <v>1654.11</v>
      </c>
      <c r="F86" s="2">
        <v>19030000000</v>
      </c>
    </row>
    <row r="87" spans="1:6">
      <c r="A87" s="32">
        <v>43707</v>
      </c>
      <c r="B87" s="42">
        <v>1647.06</v>
      </c>
      <c r="C87" s="42">
        <v>1654.93</v>
      </c>
      <c r="D87" s="42">
        <v>1643.04</v>
      </c>
      <c r="E87" s="42">
        <v>1654.92</v>
      </c>
      <c r="F87" s="2">
        <v>20140000000</v>
      </c>
    </row>
    <row r="88" spans="1:6">
      <c r="A88" s="32">
        <v>43706</v>
      </c>
      <c r="B88" s="42">
        <v>1621.92</v>
      </c>
      <c r="C88" s="42">
        <v>1639.17</v>
      </c>
      <c r="D88" s="42">
        <v>1621.06</v>
      </c>
      <c r="E88" s="42">
        <v>1639.14</v>
      </c>
      <c r="F88" s="2">
        <v>20440000000</v>
      </c>
    </row>
    <row r="89" spans="1:6">
      <c r="A89" s="32">
        <v>43705</v>
      </c>
      <c r="B89" s="42">
        <v>1618.3</v>
      </c>
      <c r="C89" s="42">
        <v>1624.27</v>
      </c>
      <c r="D89" s="42">
        <v>1615.19</v>
      </c>
      <c r="E89" s="42">
        <v>1616.93</v>
      </c>
      <c r="F89" s="2">
        <v>15470000000</v>
      </c>
    </row>
    <row r="90" spans="1:6">
      <c r="A90" s="32">
        <v>43704</v>
      </c>
      <c r="B90" s="42">
        <v>1625.04</v>
      </c>
      <c r="C90" s="42">
        <v>1630.55</v>
      </c>
      <c r="D90" s="42">
        <v>1612.1</v>
      </c>
      <c r="E90" s="42">
        <v>1615.47</v>
      </c>
      <c r="F90" s="2">
        <v>20270000000</v>
      </c>
    </row>
    <row r="91" spans="1:6">
      <c r="A91" s="32">
        <v>43703</v>
      </c>
      <c r="B91" s="42">
        <v>1620.36</v>
      </c>
      <c r="C91" s="42">
        <v>1624.77</v>
      </c>
      <c r="D91" s="42">
        <v>1609.4</v>
      </c>
      <c r="E91" s="42">
        <v>1622.73</v>
      </c>
      <c r="F91" s="2">
        <v>24360000000</v>
      </c>
    </row>
    <row r="92" spans="1:6">
      <c r="A92" s="32">
        <v>43700</v>
      </c>
      <c r="B92" s="42">
        <v>1637.7</v>
      </c>
      <c r="C92" s="42">
        <v>1646.74</v>
      </c>
      <c r="D92" s="42">
        <v>1636.2</v>
      </c>
      <c r="E92" s="42">
        <v>1646.68</v>
      </c>
      <c r="F92" s="2">
        <v>18470000000</v>
      </c>
    </row>
    <row r="93" spans="1:6">
      <c r="A93" s="32">
        <v>43699</v>
      </c>
      <c r="B93" s="42">
        <v>1628.1</v>
      </c>
      <c r="C93" s="42">
        <v>1638.03</v>
      </c>
      <c r="D93" s="42">
        <v>1627.3</v>
      </c>
      <c r="E93" s="42">
        <v>1633.56</v>
      </c>
      <c r="F93" s="2">
        <v>21090000000</v>
      </c>
    </row>
    <row r="94" spans="1:6">
      <c r="A94" s="32">
        <v>43698</v>
      </c>
      <c r="B94" s="42">
        <v>1628.55</v>
      </c>
      <c r="C94" s="42">
        <v>1642.07</v>
      </c>
      <c r="D94" s="42">
        <v>1623.24</v>
      </c>
      <c r="E94" s="42">
        <v>1638.24</v>
      </c>
      <c r="F94" s="2">
        <v>22610000000</v>
      </c>
    </row>
    <row r="95" spans="1:6">
      <c r="A95" s="32">
        <v>43697</v>
      </c>
      <c r="B95" s="42">
        <v>1642.82</v>
      </c>
      <c r="C95" s="42">
        <v>1643.41</v>
      </c>
      <c r="D95" s="42">
        <v>1621.85</v>
      </c>
      <c r="E95" s="42">
        <v>1625.57</v>
      </c>
      <c r="F95" s="2">
        <v>20450000000</v>
      </c>
    </row>
    <row r="96" spans="1:6">
      <c r="A96" s="32">
        <v>43696</v>
      </c>
      <c r="B96" s="42">
        <v>1639.42</v>
      </c>
      <c r="C96" s="42">
        <v>1643.65</v>
      </c>
      <c r="D96" s="42">
        <v>1633.79</v>
      </c>
      <c r="E96" s="42">
        <v>1637.26</v>
      </c>
      <c r="F96" s="2">
        <v>18900000000</v>
      </c>
    </row>
    <row r="97" spans="1:6">
      <c r="A97" s="32">
        <v>43693</v>
      </c>
      <c r="B97" s="42">
        <v>1608.98</v>
      </c>
      <c r="C97" s="42">
        <v>1632.42</v>
      </c>
      <c r="D97" s="42">
        <v>1607.22</v>
      </c>
      <c r="E97" s="42">
        <v>1631.4</v>
      </c>
      <c r="F97" s="2">
        <v>23700000000</v>
      </c>
    </row>
    <row r="98" spans="1:6">
      <c r="A98" s="32">
        <v>43692</v>
      </c>
      <c r="B98" s="42">
        <v>1605</v>
      </c>
      <c r="C98" s="42">
        <v>1614.08</v>
      </c>
      <c r="D98" s="42">
        <v>1590.55</v>
      </c>
      <c r="E98" s="42">
        <v>1604.03</v>
      </c>
      <c r="F98" s="2">
        <v>23100000000</v>
      </c>
    </row>
    <row r="99" spans="1:6">
      <c r="A99" s="32">
        <v>43691</v>
      </c>
      <c r="B99" s="42">
        <v>1634.72</v>
      </c>
      <c r="C99" s="42">
        <v>1640.92</v>
      </c>
      <c r="D99" s="42">
        <v>1612.09</v>
      </c>
      <c r="E99" s="42">
        <v>1619.45</v>
      </c>
      <c r="F99" s="2">
        <v>20320000000</v>
      </c>
    </row>
    <row r="100" spans="1:6">
      <c r="A100" s="32">
        <v>43690</v>
      </c>
      <c r="B100" s="42">
        <v>1642.82</v>
      </c>
      <c r="C100" s="42">
        <v>1644.15</v>
      </c>
      <c r="D100" s="42">
        <v>1619.03</v>
      </c>
      <c r="E100" s="42">
        <v>1620.23</v>
      </c>
      <c r="F100" s="2">
        <v>18530000000</v>
      </c>
    </row>
    <row r="101" spans="1:6">
      <c r="A101" s="32">
        <v>43686</v>
      </c>
      <c r="B101" s="42">
        <v>1672.22</v>
      </c>
      <c r="C101" s="42">
        <v>1675.44</v>
      </c>
      <c r="D101" s="42">
        <v>1649.52</v>
      </c>
      <c r="E101" s="42">
        <v>1650.64</v>
      </c>
      <c r="F101" s="2">
        <v>18170000000</v>
      </c>
    </row>
    <row r="102" spans="1:6">
      <c r="A102" s="32">
        <v>43685</v>
      </c>
      <c r="B102" s="42">
        <v>1670.93</v>
      </c>
      <c r="C102" s="42">
        <v>1673.84</v>
      </c>
      <c r="D102" s="42">
        <v>1660.36</v>
      </c>
      <c r="E102" s="42">
        <v>1665.12</v>
      </c>
      <c r="F102" s="2">
        <v>18650000000</v>
      </c>
    </row>
    <row r="103" spans="1:6">
      <c r="A103" s="32">
        <v>43684</v>
      </c>
      <c r="B103" s="42">
        <v>1672.52</v>
      </c>
      <c r="C103" s="42">
        <v>1681.81</v>
      </c>
      <c r="D103" s="42">
        <v>1665.14</v>
      </c>
      <c r="E103" s="42">
        <v>1669.44</v>
      </c>
      <c r="F103" s="2">
        <v>22790000000</v>
      </c>
    </row>
    <row r="104" spans="1:6">
      <c r="A104" s="32">
        <v>43683</v>
      </c>
      <c r="B104" s="42">
        <v>1652.72</v>
      </c>
      <c r="C104" s="42">
        <v>1673.38</v>
      </c>
      <c r="D104" s="42">
        <v>1647.49</v>
      </c>
      <c r="E104" s="42">
        <v>1671.48</v>
      </c>
      <c r="F104" s="2">
        <v>22900000000</v>
      </c>
    </row>
    <row r="105" spans="1:6">
      <c r="A105" s="32">
        <v>43682</v>
      </c>
      <c r="B105" s="42">
        <v>1675.02</v>
      </c>
      <c r="C105" s="42">
        <v>1681.36</v>
      </c>
      <c r="D105" s="42">
        <v>1664.73</v>
      </c>
      <c r="E105" s="42">
        <v>1665.99</v>
      </c>
      <c r="F105" s="2">
        <v>18230000000</v>
      </c>
    </row>
    <row r="106" spans="1:6">
      <c r="A106" s="32">
        <v>43679</v>
      </c>
      <c r="B106" s="42">
        <v>1680.52</v>
      </c>
      <c r="C106" s="42">
        <v>1687.15</v>
      </c>
      <c r="D106" s="42">
        <v>1671.97</v>
      </c>
      <c r="E106" s="42">
        <v>1684.71</v>
      </c>
      <c r="F106" s="2">
        <v>22860000000</v>
      </c>
    </row>
    <row r="107" spans="1:6">
      <c r="A107" s="32">
        <v>43678</v>
      </c>
      <c r="B107" s="42">
        <v>1706.56</v>
      </c>
      <c r="C107" s="42">
        <v>1709.05</v>
      </c>
      <c r="D107" s="42">
        <v>1694.93</v>
      </c>
      <c r="E107" s="42">
        <v>1699.75</v>
      </c>
      <c r="F107" s="2">
        <v>18150000000</v>
      </c>
    </row>
    <row r="108" spans="1:6">
      <c r="A108" s="32">
        <v>43677</v>
      </c>
      <c r="B108" s="42">
        <v>1704.04</v>
      </c>
      <c r="C108" s="42">
        <v>1716.05</v>
      </c>
      <c r="D108" s="42">
        <v>1702.72</v>
      </c>
      <c r="E108" s="42">
        <v>1711.97</v>
      </c>
      <c r="F108" s="2">
        <v>17290000000</v>
      </c>
    </row>
    <row r="109" spans="1:6">
      <c r="A109" s="32">
        <v>43676</v>
      </c>
      <c r="B109" s="42">
        <v>1718.55</v>
      </c>
      <c r="C109" s="42">
        <v>1722.2</v>
      </c>
      <c r="D109" s="42">
        <v>1704.03</v>
      </c>
      <c r="E109" s="42">
        <v>1706.49</v>
      </c>
      <c r="F109" s="2">
        <v>17740000000</v>
      </c>
    </row>
    <row r="110" spans="1:6">
      <c r="A110" s="32">
        <v>43672</v>
      </c>
      <c r="B110" s="42">
        <v>1729.26</v>
      </c>
      <c r="C110" s="42">
        <v>1730.08</v>
      </c>
      <c r="D110" s="42">
        <v>1714.81</v>
      </c>
      <c r="E110" s="42">
        <v>1717.97</v>
      </c>
      <c r="F110" s="2">
        <v>20910000000</v>
      </c>
    </row>
    <row r="111" spans="1:6">
      <c r="A111" s="32">
        <v>43671</v>
      </c>
      <c r="B111" s="42">
        <v>1727.13</v>
      </c>
      <c r="C111" s="42">
        <v>1732.92</v>
      </c>
      <c r="D111" s="42">
        <v>1725.47</v>
      </c>
      <c r="E111" s="42">
        <v>1730.9</v>
      </c>
      <c r="F111" s="2">
        <v>19920000000</v>
      </c>
    </row>
    <row r="112" spans="1:6">
      <c r="A112" s="32">
        <v>43670</v>
      </c>
      <c r="B112" s="42">
        <v>1727.81</v>
      </c>
      <c r="C112" s="42">
        <v>1730.71</v>
      </c>
      <c r="D112" s="42">
        <v>1720.6</v>
      </c>
      <c r="E112" s="42">
        <v>1725.44</v>
      </c>
      <c r="F112" s="2">
        <v>19430000000</v>
      </c>
    </row>
    <row r="113" spans="1:6">
      <c r="A113" s="32">
        <v>43669</v>
      </c>
      <c r="B113" s="42">
        <v>1730.7</v>
      </c>
      <c r="C113" s="42">
        <v>1732.69</v>
      </c>
      <c r="D113" s="42">
        <v>1719.93</v>
      </c>
      <c r="E113" s="42">
        <v>1724.87</v>
      </c>
      <c r="F113" s="2">
        <v>20750000000</v>
      </c>
    </row>
    <row r="114" spans="1:6">
      <c r="A114" s="32">
        <v>43668</v>
      </c>
      <c r="B114" s="42">
        <v>1733.24</v>
      </c>
      <c r="C114" s="42">
        <v>1735.88</v>
      </c>
      <c r="D114" s="42">
        <v>1723.64</v>
      </c>
      <c r="E114" s="42">
        <v>1727.58</v>
      </c>
      <c r="F114" s="2">
        <v>18860000000</v>
      </c>
    </row>
    <row r="115" spans="1:6">
      <c r="A115" s="32">
        <v>43665</v>
      </c>
      <c r="B115" s="42">
        <v>1734.38</v>
      </c>
      <c r="C115" s="42">
        <v>1738.7</v>
      </c>
      <c r="D115" s="42">
        <v>1732.16</v>
      </c>
      <c r="E115" s="42">
        <v>1735.1</v>
      </c>
      <c r="F115" s="2">
        <v>18940000000</v>
      </c>
    </row>
    <row r="116" spans="1:6">
      <c r="A116" s="32">
        <v>43664</v>
      </c>
      <c r="B116" s="42">
        <v>1714.75</v>
      </c>
      <c r="C116" s="42">
        <v>1725.94</v>
      </c>
      <c r="D116" s="42">
        <v>1714.41</v>
      </c>
      <c r="E116" s="42">
        <v>1723.44</v>
      </c>
      <c r="F116" s="2">
        <v>16950000000</v>
      </c>
    </row>
    <row r="117" spans="1:6">
      <c r="A117" s="32">
        <v>43663</v>
      </c>
      <c r="B117" s="42">
        <v>1726.04</v>
      </c>
      <c r="C117" s="42">
        <v>1729.88</v>
      </c>
      <c r="D117" s="42">
        <v>1717.82</v>
      </c>
      <c r="E117" s="42">
        <v>1718.85</v>
      </c>
      <c r="F117" s="2">
        <v>20700000000</v>
      </c>
    </row>
    <row r="118" spans="1:6">
      <c r="A118" s="32">
        <v>43661</v>
      </c>
      <c r="B118" s="42">
        <v>1733.77</v>
      </c>
      <c r="C118" s="42">
        <v>1737.65</v>
      </c>
      <c r="D118" s="42">
        <v>1727.98</v>
      </c>
      <c r="E118" s="42">
        <v>1727.98</v>
      </c>
      <c r="F118" s="2">
        <v>22260000000</v>
      </c>
    </row>
    <row r="119" spans="1:6">
      <c r="A119" s="32">
        <v>43658</v>
      </c>
      <c r="B119" s="42">
        <v>1744.73</v>
      </c>
      <c r="C119" s="42">
        <v>1746.21</v>
      </c>
      <c r="D119" s="42">
        <v>1728.36</v>
      </c>
      <c r="E119" s="42">
        <v>1731.59</v>
      </c>
      <c r="F119" s="2">
        <v>23530000000</v>
      </c>
    </row>
    <row r="120" spans="1:6">
      <c r="A120" s="32">
        <v>43657</v>
      </c>
      <c r="B120" s="42">
        <v>1745.85</v>
      </c>
      <c r="C120" s="42">
        <v>1748.15</v>
      </c>
      <c r="D120" s="42">
        <v>1738.63</v>
      </c>
      <c r="E120" s="42">
        <v>1740.45</v>
      </c>
      <c r="F120" s="2">
        <v>20670000000</v>
      </c>
    </row>
    <row r="121" spans="1:6">
      <c r="A121" s="32">
        <v>43656</v>
      </c>
      <c r="B121" s="42">
        <v>1726.73</v>
      </c>
      <c r="C121" s="42">
        <v>1741.76</v>
      </c>
      <c r="D121" s="42">
        <v>1724.58</v>
      </c>
      <c r="E121" s="42">
        <v>1739.43</v>
      </c>
      <c r="F121" s="2">
        <v>21540000000</v>
      </c>
    </row>
    <row r="122" spans="1:6">
      <c r="A122" s="32">
        <v>43655</v>
      </c>
      <c r="B122" s="42">
        <v>1728.46</v>
      </c>
      <c r="C122" s="42">
        <v>1734.35</v>
      </c>
      <c r="D122" s="42">
        <v>1721.33</v>
      </c>
      <c r="E122" s="42">
        <v>1721.48</v>
      </c>
      <c r="F122" s="2">
        <v>24070000000</v>
      </c>
    </row>
    <row r="123" spans="1:6">
      <c r="A123" s="32">
        <v>43654</v>
      </c>
      <c r="B123" s="42">
        <v>1727.1</v>
      </c>
      <c r="C123" s="42">
        <v>1734.13</v>
      </c>
      <c r="D123" s="42">
        <v>1722.53</v>
      </c>
      <c r="E123" s="42">
        <v>1731.03</v>
      </c>
      <c r="F123" s="2">
        <v>22710000000</v>
      </c>
    </row>
    <row r="124" spans="1:6">
      <c r="A124" s="32">
        <v>43651</v>
      </c>
      <c r="B124" s="42">
        <v>1725.45</v>
      </c>
      <c r="C124" s="42">
        <v>1731.84</v>
      </c>
      <c r="D124" s="42">
        <v>1719.61</v>
      </c>
      <c r="E124" s="42">
        <v>1731.23</v>
      </c>
      <c r="F124" s="2">
        <v>21480000000</v>
      </c>
    </row>
    <row r="125" spans="1:6">
      <c r="A125" s="32">
        <v>43650</v>
      </c>
      <c r="B125" s="42">
        <v>1741.31</v>
      </c>
      <c r="C125" s="42">
        <v>1747.11</v>
      </c>
      <c r="D125" s="42">
        <v>1714.98</v>
      </c>
      <c r="E125" s="42">
        <v>1724.37</v>
      </c>
      <c r="F125" s="2">
        <v>24950000000</v>
      </c>
    </row>
    <row r="126" spans="1:6">
      <c r="A126" s="32">
        <v>43649</v>
      </c>
      <c r="B126" s="42">
        <v>1733.51</v>
      </c>
      <c r="C126" s="42">
        <v>1742.17</v>
      </c>
      <c r="D126" s="42">
        <v>1729.79</v>
      </c>
      <c r="E126" s="42">
        <v>1738.51</v>
      </c>
      <c r="F126" s="2">
        <v>20720000000</v>
      </c>
    </row>
    <row r="127" spans="1:6">
      <c r="A127" s="32">
        <v>43648</v>
      </c>
      <c r="B127" s="42">
        <v>1738.84</v>
      </c>
      <c r="C127" s="42">
        <v>1741.64</v>
      </c>
      <c r="D127" s="42">
        <v>1730.05</v>
      </c>
      <c r="E127" s="42">
        <v>1732.23</v>
      </c>
      <c r="F127" s="2">
        <v>19690000000</v>
      </c>
    </row>
    <row r="128" spans="1:6">
      <c r="A128" s="32">
        <v>43647</v>
      </c>
      <c r="B128" s="42">
        <v>1744.13</v>
      </c>
      <c r="C128" s="42">
        <v>1747.53</v>
      </c>
      <c r="D128" s="42">
        <v>1739.48</v>
      </c>
      <c r="E128" s="42">
        <v>1740.91</v>
      </c>
      <c r="F128" s="2">
        <v>21550000000</v>
      </c>
    </row>
    <row r="129" spans="1:6">
      <c r="A129" s="32">
        <v>43644</v>
      </c>
      <c r="B129" s="42">
        <v>1731.89</v>
      </c>
      <c r="C129" s="42">
        <v>1735.61</v>
      </c>
      <c r="D129" s="42">
        <v>1729.46</v>
      </c>
      <c r="E129" s="42">
        <v>1730.34</v>
      </c>
      <c r="F129" s="2">
        <v>14140000000</v>
      </c>
    </row>
    <row r="130" spans="1:6">
      <c r="A130" s="32">
        <v>43643</v>
      </c>
      <c r="B130" s="42">
        <v>1726.77</v>
      </c>
      <c r="C130" s="42">
        <v>1735.88</v>
      </c>
      <c r="D130" s="42">
        <v>1725.55</v>
      </c>
      <c r="E130" s="42">
        <v>1731.64</v>
      </c>
      <c r="F130" s="2">
        <v>17210000000</v>
      </c>
    </row>
    <row r="131" spans="1:6">
      <c r="A131" s="32">
        <v>43642</v>
      </c>
      <c r="B131" s="42">
        <v>1717.19</v>
      </c>
      <c r="C131" s="42">
        <v>1723.24</v>
      </c>
      <c r="D131" s="42">
        <v>1715.41</v>
      </c>
      <c r="E131" s="42">
        <v>1722.21</v>
      </c>
      <c r="F131" s="2">
        <v>16240000000</v>
      </c>
    </row>
    <row r="132" spans="1:6">
      <c r="A132" s="32">
        <v>43641</v>
      </c>
      <c r="B132" s="42">
        <v>1716.05</v>
      </c>
      <c r="C132" s="42">
        <v>1725.42</v>
      </c>
      <c r="D132" s="42">
        <v>1707.77</v>
      </c>
      <c r="E132" s="42">
        <v>1721.33</v>
      </c>
      <c r="F132" s="2">
        <v>18850000000</v>
      </c>
    </row>
    <row r="133" spans="1:6">
      <c r="A133" s="32">
        <v>43640</v>
      </c>
      <c r="B133" s="42">
        <v>1722.64</v>
      </c>
      <c r="C133" s="42">
        <v>1724.23</v>
      </c>
      <c r="D133" s="42">
        <v>1713.02</v>
      </c>
      <c r="E133" s="42">
        <v>1716</v>
      </c>
      <c r="F133" s="2">
        <v>15070000000</v>
      </c>
    </row>
    <row r="134" spans="1:6">
      <c r="A134" s="32">
        <v>43637</v>
      </c>
      <c r="B134" s="42">
        <v>1722.6</v>
      </c>
      <c r="C134" s="42">
        <v>1727.83</v>
      </c>
      <c r="D134" s="42">
        <v>1714.09</v>
      </c>
      <c r="E134" s="42">
        <v>1717.14</v>
      </c>
      <c r="F134" s="2">
        <v>19620000000</v>
      </c>
    </row>
    <row r="135" spans="1:6">
      <c r="A135" s="32">
        <v>43636</v>
      </c>
      <c r="B135" s="42">
        <v>1711.37</v>
      </c>
      <c r="C135" s="42">
        <v>1722.9</v>
      </c>
      <c r="D135" s="42">
        <v>1708.12</v>
      </c>
      <c r="E135" s="42">
        <v>1717.82</v>
      </c>
      <c r="F135" s="2">
        <v>20220000000</v>
      </c>
    </row>
    <row r="136" spans="1:6">
      <c r="A136" s="32">
        <v>43635</v>
      </c>
      <c r="B136" s="42">
        <v>1693.85</v>
      </c>
      <c r="C136" s="42">
        <v>1711.89</v>
      </c>
      <c r="D136" s="42">
        <v>1691.95</v>
      </c>
      <c r="E136" s="42">
        <v>1705.98</v>
      </c>
      <c r="F136" s="2">
        <v>22630000000</v>
      </c>
    </row>
    <row r="137" spans="1:6">
      <c r="A137" s="32">
        <v>43634</v>
      </c>
      <c r="B137" s="42">
        <v>1667.3</v>
      </c>
      <c r="C137" s="42">
        <v>1683.78</v>
      </c>
      <c r="D137" s="42">
        <v>1665.19</v>
      </c>
      <c r="E137" s="42">
        <v>1683.6</v>
      </c>
      <c r="F137" s="2">
        <v>18540000000</v>
      </c>
    </row>
    <row r="138" spans="1:6">
      <c r="A138" s="32">
        <v>43633</v>
      </c>
      <c r="B138" s="42">
        <v>1674.26</v>
      </c>
      <c r="C138" s="42">
        <v>1678.2</v>
      </c>
      <c r="D138" s="42">
        <v>1667.15</v>
      </c>
      <c r="E138" s="42">
        <v>1667.23</v>
      </c>
      <c r="F138" s="2">
        <v>14070000000</v>
      </c>
    </row>
    <row r="139" spans="1:6">
      <c r="A139" s="32">
        <v>43630</v>
      </c>
      <c r="B139" s="42">
        <v>1673.55</v>
      </c>
      <c r="C139" s="42">
        <v>1675.9</v>
      </c>
      <c r="D139" s="42">
        <v>1667.38</v>
      </c>
      <c r="E139" s="42">
        <v>1672.33</v>
      </c>
      <c r="F139" s="2">
        <v>12600000000</v>
      </c>
    </row>
    <row r="140" spans="1:6">
      <c r="A140" s="32">
        <v>43629</v>
      </c>
      <c r="B140" s="42">
        <v>1669.53</v>
      </c>
      <c r="C140" s="42">
        <v>1675.84</v>
      </c>
      <c r="D140" s="42">
        <v>1663.39</v>
      </c>
      <c r="E140" s="42">
        <v>1674.14</v>
      </c>
      <c r="F140" s="2">
        <v>16040000000</v>
      </c>
    </row>
    <row r="141" spans="1:6">
      <c r="A141" s="32">
        <v>43628</v>
      </c>
      <c r="B141" s="42">
        <v>1669.08</v>
      </c>
      <c r="C141" s="42">
        <v>1672.5</v>
      </c>
      <c r="D141" s="42">
        <v>1665.02</v>
      </c>
      <c r="E141" s="42">
        <v>1671.11</v>
      </c>
      <c r="F141" s="2">
        <v>12870000000</v>
      </c>
    </row>
    <row r="142" spans="1:6">
      <c r="A142" s="32">
        <v>43627</v>
      </c>
      <c r="B142" s="42">
        <v>1667.55</v>
      </c>
      <c r="C142" s="42">
        <v>1675.6</v>
      </c>
      <c r="D142" s="42">
        <v>1663.36</v>
      </c>
      <c r="E142" s="42">
        <v>1670.41</v>
      </c>
      <c r="F142" s="2">
        <v>14780000000</v>
      </c>
    </row>
    <row r="143" spans="1:6">
      <c r="A143" s="32">
        <v>43626</v>
      </c>
      <c r="B143" s="42">
        <v>1661.72</v>
      </c>
      <c r="C143" s="42">
        <v>1667.69</v>
      </c>
      <c r="D143" s="42">
        <v>1661.37</v>
      </c>
      <c r="E143" s="42">
        <v>1664.73</v>
      </c>
      <c r="F143" s="2">
        <v>14460000000</v>
      </c>
    </row>
    <row r="144" spans="1:6">
      <c r="A144" s="32">
        <v>43623</v>
      </c>
      <c r="B144" s="42">
        <v>1656.84</v>
      </c>
      <c r="C144" s="42">
        <v>1658.93</v>
      </c>
      <c r="D144" s="42">
        <v>1650.3</v>
      </c>
      <c r="E144" s="42">
        <v>1653.5</v>
      </c>
      <c r="F144" s="2">
        <v>11470000000</v>
      </c>
    </row>
    <row r="145" spans="1:6">
      <c r="A145" s="32">
        <v>43622</v>
      </c>
      <c r="B145" s="42">
        <v>1648.54</v>
      </c>
      <c r="C145" s="42">
        <v>1655.33</v>
      </c>
      <c r="D145" s="42">
        <v>1643.27</v>
      </c>
      <c r="E145" s="42">
        <v>1653.41</v>
      </c>
      <c r="F145" s="2">
        <v>14480000000</v>
      </c>
    </row>
    <row r="146" spans="1:6">
      <c r="A146" s="32">
        <v>43621</v>
      </c>
      <c r="B146" s="42">
        <v>1647.52</v>
      </c>
      <c r="C146" s="42">
        <v>1650.7</v>
      </c>
      <c r="D146" s="42">
        <v>1642.35</v>
      </c>
      <c r="E146" s="42">
        <v>1648.46</v>
      </c>
      <c r="F146" s="2">
        <v>14410000000</v>
      </c>
    </row>
    <row r="147" spans="1:6">
      <c r="A147" s="32">
        <v>43620</v>
      </c>
      <c r="B147" s="42">
        <v>1624.65</v>
      </c>
      <c r="C147" s="42">
        <v>1640.54</v>
      </c>
      <c r="D147" s="42">
        <v>1622.99</v>
      </c>
      <c r="E147" s="42">
        <v>1637.69</v>
      </c>
      <c r="F147" s="2">
        <v>17860000000</v>
      </c>
    </row>
    <row r="148" spans="1:6">
      <c r="A148" s="32">
        <v>43616</v>
      </c>
      <c r="B148" s="42">
        <v>1620.58</v>
      </c>
      <c r="C148" s="42">
        <v>1627.33</v>
      </c>
      <c r="D148" s="42">
        <v>1612.17</v>
      </c>
      <c r="E148" s="42">
        <v>1620.22</v>
      </c>
      <c r="F148" s="2">
        <v>15760000000</v>
      </c>
    </row>
    <row r="149" spans="1:6">
      <c r="A149" s="32">
        <v>43615</v>
      </c>
      <c r="B149" s="42">
        <v>1619.26</v>
      </c>
      <c r="C149" s="42">
        <v>1628.37</v>
      </c>
      <c r="D149" s="42">
        <v>1618.63</v>
      </c>
      <c r="E149" s="42">
        <v>1621.57</v>
      </c>
      <c r="F149" s="2">
        <v>14350000000</v>
      </c>
    </row>
    <row r="150" spans="1:6">
      <c r="A150" s="32">
        <v>43614</v>
      </c>
      <c r="B150" s="42">
        <v>1631.29</v>
      </c>
      <c r="C150" s="42">
        <v>1632.06</v>
      </c>
      <c r="D150" s="42">
        <v>1618.71</v>
      </c>
      <c r="E150" s="42">
        <v>1619.36</v>
      </c>
      <c r="F150" s="2">
        <v>15380000000</v>
      </c>
    </row>
    <row r="151" spans="1:6">
      <c r="A151" s="32">
        <v>43613</v>
      </c>
      <c r="B151" s="42">
        <v>1627.86</v>
      </c>
      <c r="C151" s="42">
        <v>1632.47</v>
      </c>
      <c r="D151" s="42">
        <v>1618.33</v>
      </c>
      <c r="E151" s="42">
        <v>1632.04</v>
      </c>
      <c r="F151" s="2">
        <v>20560000000</v>
      </c>
    </row>
    <row r="152" spans="1:6">
      <c r="A152" s="32">
        <v>43612</v>
      </c>
      <c r="B152" s="42">
        <v>1619.66</v>
      </c>
      <c r="C152" s="42">
        <v>1628.34</v>
      </c>
      <c r="D152" s="42">
        <v>1614.05</v>
      </c>
      <c r="E152" s="42">
        <v>1624.84</v>
      </c>
      <c r="F152" s="2">
        <v>13460000000</v>
      </c>
    </row>
    <row r="153" spans="1:6">
      <c r="A153" s="32">
        <v>43609</v>
      </c>
      <c r="B153" s="42">
        <v>1604.67</v>
      </c>
      <c r="C153" s="42">
        <v>1617.62</v>
      </c>
      <c r="D153" s="42">
        <v>1599.1</v>
      </c>
      <c r="E153" s="42">
        <v>1614.12</v>
      </c>
      <c r="F153" s="2">
        <v>14480000000</v>
      </c>
    </row>
    <row r="154" spans="1:6">
      <c r="A154" s="32">
        <v>43608</v>
      </c>
      <c r="B154" s="42">
        <v>1622.21</v>
      </c>
      <c r="C154" s="42">
        <v>1625.98</v>
      </c>
      <c r="D154" s="42">
        <v>1608.26</v>
      </c>
      <c r="E154" s="42">
        <v>1609.79</v>
      </c>
      <c r="F154" s="2">
        <v>13440000000</v>
      </c>
    </row>
    <row r="155" spans="1:6">
      <c r="A155" s="32">
        <v>43607</v>
      </c>
      <c r="B155" s="42">
        <v>1616.55</v>
      </c>
      <c r="C155" s="42">
        <v>1628.06</v>
      </c>
      <c r="D155" s="42">
        <v>1616.49</v>
      </c>
      <c r="E155" s="42">
        <v>1626.91</v>
      </c>
      <c r="F155" s="2">
        <v>14190000000</v>
      </c>
    </row>
    <row r="156" spans="1:6">
      <c r="A156" s="32">
        <v>43606</v>
      </c>
      <c r="B156" s="42">
        <v>1608.82</v>
      </c>
      <c r="C156" s="42">
        <v>1616.55</v>
      </c>
      <c r="D156" s="42">
        <v>1602.56</v>
      </c>
      <c r="E156" s="42">
        <v>1610.49</v>
      </c>
      <c r="F156" s="2">
        <v>13950000000</v>
      </c>
    </row>
    <row r="157" spans="1:6">
      <c r="A157" s="32">
        <v>43602</v>
      </c>
      <c r="B157" s="42">
        <v>1618.99</v>
      </c>
      <c r="C157" s="42">
        <v>1622.33</v>
      </c>
      <c r="D157" s="42">
        <v>1606.69</v>
      </c>
      <c r="E157" s="42">
        <v>1608.11</v>
      </c>
      <c r="F157" s="2">
        <v>14050000000</v>
      </c>
    </row>
    <row r="158" spans="1:6">
      <c r="A158" s="32">
        <v>43601</v>
      </c>
      <c r="B158" s="42">
        <v>1623.33</v>
      </c>
      <c r="C158" s="42">
        <v>1626.08</v>
      </c>
      <c r="D158" s="42">
        <v>1604.76</v>
      </c>
      <c r="E158" s="42">
        <v>1614.75</v>
      </c>
      <c r="F158" s="2">
        <v>17340000000</v>
      </c>
    </row>
    <row r="159" spans="1:6">
      <c r="A159" s="32">
        <v>43600</v>
      </c>
      <c r="B159" s="42">
        <v>1636.83</v>
      </c>
      <c r="C159" s="42">
        <v>1638.94</v>
      </c>
      <c r="D159" s="42">
        <v>1621.27</v>
      </c>
      <c r="E159" s="42">
        <v>1621.27</v>
      </c>
      <c r="F159" s="2">
        <v>13010000000</v>
      </c>
    </row>
    <row r="160" spans="1:6">
      <c r="A160" s="32">
        <v>43599</v>
      </c>
      <c r="B160" s="42">
        <v>1631.52</v>
      </c>
      <c r="C160" s="42">
        <v>1639.63</v>
      </c>
      <c r="D160" s="42">
        <v>1629.56</v>
      </c>
      <c r="E160" s="42">
        <v>1633.84</v>
      </c>
      <c r="F160" s="2">
        <v>13000000000</v>
      </c>
    </row>
    <row r="161" spans="1:6">
      <c r="A161" s="32">
        <v>43598</v>
      </c>
      <c r="B161" s="42">
        <v>1648.09</v>
      </c>
      <c r="C161" s="42">
        <v>1652.33</v>
      </c>
      <c r="D161" s="42">
        <v>1634.93</v>
      </c>
      <c r="E161" s="42">
        <v>1640.13</v>
      </c>
      <c r="F161" s="2">
        <v>11920000000</v>
      </c>
    </row>
    <row r="162" spans="1:6">
      <c r="A162" s="32">
        <v>43595</v>
      </c>
      <c r="B162" s="42">
        <v>1654.26</v>
      </c>
      <c r="C162" s="42">
        <v>1656.37</v>
      </c>
      <c r="D162" s="42">
        <v>1638.71</v>
      </c>
      <c r="E162" s="42">
        <v>1648.69</v>
      </c>
      <c r="F162" s="2">
        <v>15600000000</v>
      </c>
    </row>
    <row r="163" spans="1:6">
      <c r="A163" s="32">
        <v>43594</v>
      </c>
      <c r="B163" s="42">
        <v>1653.12</v>
      </c>
      <c r="C163" s="42">
        <v>1659.38</v>
      </c>
      <c r="D163" s="42">
        <v>1646.07</v>
      </c>
      <c r="E163" s="42">
        <v>1646.8</v>
      </c>
      <c r="F163" s="2">
        <v>13980000000</v>
      </c>
    </row>
    <row r="164" spans="1:6">
      <c r="A164" s="32">
        <v>43593</v>
      </c>
      <c r="B164" s="42">
        <v>1662.05</v>
      </c>
      <c r="C164" s="42">
        <v>1663.4</v>
      </c>
      <c r="D164" s="42">
        <v>1650.24</v>
      </c>
      <c r="E164" s="42">
        <v>1654.01</v>
      </c>
      <c r="F164" s="2">
        <v>14910000000</v>
      </c>
    </row>
    <row r="165" spans="1:6">
      <c r="A165" s="32">
        <v>43592</v>
      </c>
      <c r="B165" s="42">
        <v>1669.38</v>
      </c>
      <c r="C165" s="42">
        <v>1675.16</v>
      </c>
      <c r="D165" s="42">
        <v>1665.58</v>
      </c>
      <c r="E165" s="42">
        <v>1669.68</v>
      </c>
      <c r="F165" s="2">
        <v>13560000000</v>
      </c>
    </row>
    <row r="166" spans="1:6">
      <c r="A166" s="32">
        <v>43588</v>
      </c>
      <c r="B166" s="42">
        <v>1676.57</v>
      </c>
      <c r="C166" s="42">
        <v>1682.06</v>
      </c>
      <c r="D166" s="42">
        <v>1676.01</v>
      </c>
      <c r="E166" s="42">
        <v>1679.05</v>
      </c>
      <c r="F166" s="2">
        <v>11840000000</v>
      </c>
    </row>
    <row r="167" spans="1:6">
      <c r="A167" s="32">
        <v>43587</v>
      </c>
      <c r="B167" s="42">
        <v>1677</v>
      </c>
      <c r="C167" s="42">
        <v>1682.5</v>
      </c>
      <c r="D167" s="42">
        <v>1675.9</v>
      </c>
      <c r="E167" s="42">
        <v>1679.17</v>
      </c>
      <c r="F167" s="2">
        <v>12840000000</v>
      </c>
    </row>
    <row r="168" spans="1:6">
      <c r="A168" s="32">
        <v>43585</v>
      </c>
      <c r="B168" s="42">
        <v>1668.02</v>
      </c>
      <c r="C168" s="42">
        <v>1676.64</v>
      </c>
      <c r="D168" s="42">
        <v>1667.29</v>
      </c>
      <c r="E168" s="42">
        <v>1673.52</v>
      </c>
      <c r="F168" s="2">
        <v>11310000000</v>
      </c>
    </row>
    <row r="169" spans="1:6">
      <c r="A169" s="32">
        <v>43584</v>
      </c>
      <c r="B169" s="42">
        <v>1665.57</v>
      </c>
      <c r="C169" s="42">
        <v>1669.55</v>
      </c>
      <c r="D169" s="42">
        <v>1663.33</v>
      </c>
      <c r="E169" s="42">
        <v>1666.68</v>
      </c>
      <c r="F169" s="2">
        <v>9390000000</v>
      </c>
    </row>
    <row r="170" spans="1:6">
      <c r="A170" s="32">
        <v>43581</v>
      </c>
      <c r="B170" s="42">
        <v>1673.28</v>
      </c>
      <c r="C170" s="42">
        <v>1674.01</v>
      </c>
      <c r="D170" s="42">
        <v>1663.14</v>
      </c>
      <c r="E170" s="42">
        <v>1667.15</v>
      </c>
      <c r="F170" s="2">
        <v>10860000000</v>
      </c>
    </row>
    <row r="171" spans="1:6">
      <c r="A171" s="32">
        <v>43580</v>
      </c>
      <c r="B171" s="42">
        <v>1673.25</v>
      </c>
      <c r="C171" s="42">
        <v>1678.19</v>
      </c>
      <c r="D171" s="42">
        <v>1670.84</v>
      </c>
      <c r="E171" s="42">
        <v>1673.32</v>
      </c>
      <c r="F171" s="2">
        <v>9010000000</v>
      </c>
    </row>
    <row r="172" spans="1:6">
      <c r="A172" s="32">
        <v>43579</v>
      </c>
      <c r="B172" s="42">
        <v>1674.43</v>
      </c>
      <c r="C172" s="42">
        <v>1676.84</v>
      </c>
      <c r="D172" s="42">
        <v>1668.06</v>
      </c>
      <c r="E172" s="42">
        <v>1673.43</v>
      </c>
      <c r="F172" s="2">
        <v>10800000000</v>
      </c>
    </row>
    <row r="173" spans="1:6">
      <c r="A173" s="32">
        <v>43578</v>
      </c>
      <c r="B173" s="42">
        <v>1674.82</v>
      </c>
      <c r="C173" s="42">
        <v>1679.26</v>
      </c>
      <c r="D173" s="42">
        <v>1670.75</v>
      </c>
      <c r="E173" s="42">
        <v>1671.31</v>
      </c>
      <c r="F173" s="2">
        <v>10660000000</v>
      </c>
    </row>
    <row r="174" spans="1:6">
      <c r="A174" s="32">
        <v>43577</v>
      </c>
      <c r="B174" s="42">
        <v>1677.83</v>
      </c>
      <c r="C174" s="42">
        <v>1683.79</v>
      </c>
      <c r="D174" s="42">
        <v>1673.44</v>
      </c>
      <c r="E174" s="42">
        <v>1673.48</v>
      </c>
      <c r="F174" s="2">
        <v>12460000000</v>
      </c>
    </row>
    <row r="175" spans="1:6">
      <c r="A175" s="32">
        <v>43574</v>
      </c>
      <c r="B175" s="42">
        <v>1675.37</v>
      </c>
      <c r="C175" s="42">
        <v>1679.75</v>
      </c>
      <c r="D175" s="42">
        <v>1671.83</v>
      </c>
      <c r="E175" s="42">
        <v>1674.1</v>
      </c>
      <c r="F175" s="2">
        <v>9120000000</v>
      </c>
    </row>
    <row r="176" spans="1:6">
      <c r="A176" s="32">
        <v>43573</v>
      </c>
      <c r="B176" s="42">
        <v>1674.74</v>
      </c>
      <c r="C176" s="42">
        <v>1677.14</v>
      </c>
      <c r="D176" s="42">
        <v>1667.7</v>
      </c>
      <c r="E176" s="42">
        <v>1675</v>
      </c>
      <c r="F176" s="2">
        <v>10630000000</v>
      </c>
    </row>
    <row r="177" spans="1:6">
      <c r="A177" s="32">
        <v>43572</v>
      </c>
      <c r="B177" s="42">
        <v>1665.68</v>
      </c>
      <c r="C177" s="42">
        <v>1676</v>
      </c>
      <c r="D177" s="42">
        <v>1664.04</v>
      </c>
      <c r="E177" s="42">
        <v>1673.2</v>
      </c>
      <c r="F177" s="2">
        <v>12410000000</v>
      </c>
    </row>
    <row r="178" spans="1:6">
      <c r="A178" s="32">
        <v>43567</v>
      </c>
      <c r="B178" s="42">
        <v>1658</v>
      </c>
      <c r="C178" s="42">
        <v>1662.6</v>
      </c>
      <c r="D178" s="42">
        <v>1654.46</v>
      </c>
      <c r="E178" s="42">
        <v>1660.45</v>
      </c>
      <c r="F178" s="2">
        <v>9080000000</v>
      </c>
    </row>
    <row r="179" spans="1:6">
      <c r="A179" s="32">
        <v>43566</v>
      </c>
      <c r="B179" s="42">
        <v>1661.57</v>
      </c>
      <c r="C179" s="42">
        <v>1662.53</v>
      </c>
      <c r="D179" s="42">
        <v>1656.33</v>
      </c>
      <c r="E179" s="42">
        <v>1659.09</v>
      </c>
      <c r="F179" s="2">
        <v>9340000000</v>
      </c>
    </row>
    <row r="180" spans="1:6">
      <c r="A180" s="32">
        <v>43565</v>
      </c>
      <c r="B180" s="42">
        <v>1659.29</v>
      </c>
      <c r="C180" s="42">
        <v>1664.68</v>
      </c>
      <c r="D180" s="42">
        <v>1658.26</v>
      </c>
      <c r="E180" s="42">
        <v>1662.13</v>
      </c>
      <c r="F180" s="2">
        <v>9970000000</v>
      </c>
    </row>
    <row r="181" spans="1:6">
      <c r="A181" s="32">
        <v>43564</v>
      </c>
      <c r="B181" s="42">
        <v>1650.55</v>
      </c>
      <c r="C181" s="42">
        <v>1660.31</v>
      </c>
      <c r="D181" s="42">
        <v>1648.23</v>
      </c>
      <c r="E181" s="42">
        <v>1657.74</v>
      </c>
      <c r="F181" s="2">
        <v>11020000000</v>
      </c>
    </row>
    <row r="182" spans="1:6">
      <c r="A182" s="32">
        <v>43560</v>
      </c>
      <c r="B182" s="42">
        <v>1646.03</v>
      </c>
      <c r="C182" s="42">
        <v>1649.99</v>
      </c>
      <c r="D182" s="42">
        <v>1643.13</v>
      </c>
      <c r="E182" s="42">
        <v>1646.18</v>
      </c>
      <c r="F182" s="2">
        <v>8160000000</v>
      </c>
    </row>
    <row r="183" spans="1:6">
      <c r="A183" s="32">
        <v>43559</v>
      </c>
      <c r="B183" s="42">
        <v>1649.39</v>
      </c>
      <c r="C183" s="42">
        <v>1650.75</v>
      </c>
      <c r="D183" s="42">
        <v>1640.01</v>
      </c>
      <c r="E183" s="42">
        <v>1644.22</v>
      </c>
      <c r="F183" s="2">
        <v>9790000000</v>
      </c>
    </row>
    <row r="184" spans="1:6">
      <c r="A184" s="32">
        <v>43558</v>
      </c>
      <c r="B184" s="42">
        <v>1653.08</v>
      </c>
      <c r="C184" s="42">
        <v>1654.02</v>
      </c>
      <c r="D184" s="42">
        <v>1646.01</v>
      </c>
      <c r="E184" s="42">
        <v>1649.06</v>
      </c>
      <c r="F184" s="2">
        <v>14500000000</v>
      </c>
    </row>
    <row r="185" spans="1:6">
      <c r="A185" s="32">
        <v>43557</v>
      </c>
      <c r="B185" s="42">
        <v>1650.54</v>
      </c>
      <c r="C185" s="42">
        <v>1655.09</v>
      </c>
      <c r="D185" s="42">
        <v>1647.93</v>
      </c>
      <c r="E185" s="42">
        <v>1651.48</v>
      </c>
      <c r="F185" s="2">
        <v>10510000000</v>
      </c>
    </row>
    <row r="186" spans="1:6">
      <c r="A186" s="32">
        <v>43556</v>
      </c>
      <c r="B186" s="42">
        <v>1645.37</v>
      </c>
      <c r="C186" s="42">
        <v>1651.14</v>
      </c>
      <c r="D186" s="42">
        <v>1644.22</v>
      </c>
      <c r="E186" s="42">
        <v>1644.64</v>
      </c>
      <c r="F186" s="2">
        <v>11050000000</v>
      </c>
    </row>
    <row r="187" spans="1:6">
      <c r="A187" s="32">
        <v>43553</v>
      </c>
      <c r="B187" s="42">
        <v>1639.31</v>
      </c>
      <c r="C187" s="42">
        <v>1644.27</v>
      </c>
      <c r="D187" s="42">
        <v>1635.24</v>
      </c>
      <c r="E187" s="42">
        <v>1638.65</v>
      </c>
      <c r="F187" s="2">
        <v>11080000000</v>
      </c>
    </row>
    <row r="188" spans="1:6">
      <c r="A188" s="32">
        <v>43552</v>
      </c>
      <c r="B188" s="42">
        <v>1626.6</v>
      </c>
      <c r="C188" s="42">
        <v>1637.6</v>
      </c>
      <c r="D188" s="42">
        <v>1625.77</v>
      </c>
      <c r="E188" s="42">
        <v>1634.25</v>
      </c>
      <c r="F188" s="2">
        <v>15460000000</v>
      </c>
    </row>
    <row r="189" spans="1:6">
      <c r="A189" s="32">
        <v>43551</v>
      </c>
      <c r="B189" s="42">
        <v>1632.27</v>
      </c>
      <c r="C189" s="42">
        <v>1635.43</v>
      </c>
      <c r="D189" s="42">
        <v>1624.26</v>
      </c>
      <c r="E189" s="42">
        <v>1629.4</v>
      </c>
      <c r="F189" s="2">
        <v>14080000000</v>
      </c>
    </row>
    <row r="190" spans="1:6">
      <c r="A190" s="32">
        <v>43550</v>
      </c>
      <c r="B190" s="42">
        <v>1626.89</v>
      </c>
      <c r="C190" s="42">
        <v>1634.19</v>
      </c>
      <c r="D190" s="42">
        <v>1622.94</v>
      </c>
      <c r="E190" s="42">
        <v>1632.32</v>
      </c>
      <c r="F190" s="2">
        <v>13040000000</v>
      </c>
    </row>
    <row r="191" spans="1:6">
      <c r="A191" s="32">
        <v>43549</v>
      </c>
      <c r="B191" s="42">
        <v>1632.03</v>
      </c>
      <c r="C191" s="42">
        <v>1636.93</v>
      </c>
      <c r="D191" s="42">
        <v>1617.89</v>
      </c>
      <c r="E191" s="42">
        <v>1625.91</v>
      </c>
      <c r="F191" s="2">
        <v>13720000000</v>
      </c>
    </row>
    <row r="192" spans="1:6">
      <c r="A192" s="32">
        <v>43546</v>
      </c>
      <c r="B192" s="42">
        <v>1636.69</v>
      </c>
      <c r="C192" s="42">
        <v>1646.94</v>
      </c>
      <c r="D192" s="42">
        <v>1633.67</v>
      </c>
      <c r="E192" s="42">
        <v>1646.29</v>
      </c>
      <c r="F192" s="2">
        <v>13680000000</v>
      </c>
    </row>
    <row r="193" spans="1:6">
      <c r="A193" s="32">
        <v>43545</v>
      </c>
      <c r="B193" s="42">
        <v>1631.79</v>
      </c>
      <c r="C193" s="42">
        <v>1640.04</v>
      </c>
      <c r="D193" s="42">
        <v>1631.41</v>
      </c>
      <c r="E193" s="42">
        <v>1634</v>
      </c>
      <c r="F193" s="2">
        <v>12440000000</v>
      </c>
    </row>
    <row r="194" spans="1:6">
      <c r="A194" s="32">
        <v>43544</v>
      </c>
      <c r="B194" s="42">
        <v>1631.44</v>
      </c>
      <c r="C194" s="42">
        <v>1635.42</v>
      </c>
      <c r="D194" s="42">
        <v>1626.97</v>
      </c>
      <c r="E194" s="42">
        <v>1627.62</v>
      </c>
      <c r="F194" s="2">
        <v>12320000000</v>
      </c>
    </row>
    <row r="195" spans="1:6">
      <c r="A195" s="32">
        <v>43543</v>
      </c>
      <c r="B195" s="42">
        <v>1617.87</v>
      </c>
      <c r="C195" s="42">
        <v>1633.26</v>
      </c>
      <c r="D195" s="42">
        <v>1617.01</v>
      </c>
      <c r="E195" s="42">
        <v>1630.09</v>
      </c>
      <c r="F195" s="2">
        <v>13410000000</v>
      </c>
    </row>
    <row r="196" spans="1:6">
      <c r="A196" s="32">
        <v>43542</v>
      </c>
      <c r="B196" s="42">
        <v>1628.85</v>
      </c>
      <c r="C196" s="42">
        <v>1630.45</v>
      </c>
      <c r="D196" s="42">
        <v>1612.85</v>
      </c>
      <c r="E196" s="42">
        <v>1617.57</v>
      </c>
      <c r="F196" s="2">
        <v>13550000000</v>
      </c>
    </row>
    <row r="197" spans="1:6">
      <c r="A197" s="32">
        <v>43539</v>
      </c>
      <c r="B197" s="42">
        <v>1636.82</v>
      </c>
      <c r="C197" s="42">
        <v>1639.1</v>
      </c>
      <c r="D197" s="42">
        <v>1625.41</v>
      </c>
      <c r="E197" s="42">
        <v>1625.57</v>
      </c>
      <c r="F197" s="2">
        <v>13570000000</v>
      </c>
    </row>
    <row r="198" spans="1:6">
      <c r="A198" s="32">
        <v>43538</v>
      </c>
      <c r="B198" s="42">
        <v>1642.36</v>
      </c>
      <c r="C198" s="42">
        <v>1643.56</v>
      </c>
      <c r="D198" s="42">
        <v>1634.7</v>
      </c>
      <c r="E198" s="42">
        <v>1635.88</v>
      </c>
      <c r="F198" s="2">
        <v>12730000000</v>
      </c>
    </row>
    <row r="199" spans="1:6">
      <c r="A199" s="32">
        <v>43537</v>
      </c>
      <c r="B199" s="42">
        <v>1626.42</v>
      </c>
      <c r="C199" s="42">
        <v>1639.69</v>
      </c>
      <c r="D199" s="42">
        <v>1623.75</v>
      </c>
      <c r="E199" s="42">
        <v>1639.67</v>
      </c>
      <c r="F199" s="2">
        <v>12900000000</v>
      </c>
    </row>
    <row r="200" spans="1:6">
      <c r="A200" s="32">
        <v>43536</v>
      </c>
      <c r="B200" s="42">
        <v>1631.88</v>
      </c>
      <c r="C200" s="42">
        <v>1633.97</v>
      </c>
      <c r="D200" s="42">
        <v>1624.55</v>
      </c>
      <c r="E200" s="42">
        <v>1627.59</v>
      </c>
      <c r="F200" s="2">
        <v>12350000000</v>
      </c>
    </row>
    <row r="201" spans="1:6">
      <c r="A201" s="32">
        <v>43535</v>
      </c>
      <c r="B201" s="42">
        <v>1633.45</v>
      </c>
      <c r="C201" s="42">
        <v>1636.2</v>
      </c>
      <c r="D201" s="42">
        <v>1625.06</v>
      </c>
      <c r="E201" s="42">
        <v>1627.43</v>
      </c>
      <c r="F201" s="2">
        <v>10920000000</v>
      </c>
    </row>
    <row r="202" spans="1:6">
      <c r="A202" s="32">
        <v>43532</v>
      </c>
      <c r="B202" s="42">
        <v>1631.69</v>
      </c>
      <c r="C202" s="42">
        <v>1637.46</v>
      </c>
      <c r="D202" s="42">
        <v>1626.33</v>
      </c>
      <c r="E202" s="42">
        <v>1630.12</v>
      </c>
      <c r="F202" s="2">
        <v>12500000000</v>
      </c>
    </row>
    <row r="203" spans="1:6">
      <c r="A203" s="32">
        <v>43531</v>
      </c>
      <c r="B203" s="42">
        <v>1624.76</v>
      </c>
      <c r="C203" s="42">
        <v>1635.77</v>
      </c>
      <c r="D203" s="42">
        <v>1623.32</v>
      </c>
      <c r="E203" s="42">
        <v>1633.21</v>
      </c>
      <c r="F203" s="2">
        <v>12830000000</v>
      </c>
    </row>
    <row r="204" spans="1:6">
      <c r="A204" s="32">
        <v>43530</v>
      </c>
      <c r="B204" s="42">
        <v>1636.68</v>
      </c>
      <c r="C204" s="42">
        <v>1639.42</v>
      </c>
      <c r="D204" s="42">
        <v>1624.68</v>
      </c>
      <c r="E204" s="42">
        <v>1625.51</v>
      </c>
      <c r="F204" s="2">
        <v>14350000000</v>
      </c>
    </row>
    <row r="205" spans="1:6">
      <c r="A205" s="32">
        <v>43529</v>
      </c>
      <c r="B205" s="42">
        <v>1633.51</v>
      </c>
      <c r="C205" s="42">
        <v>1641.56</v>
      </c>
      <c r="D205" s="42">
        <v>1629.55</v>
      </c>
      <c r="E205" s="42">
        <v>1639</v>
      </c>
      <c r="F205" s="2">
        <v>12920000000</v>
      </c>
    </row>
    <row r="206" spans="1:6">
      <c r="A206" s="32">
        <v>43528</v>
      </c>
      <c r="B206" s="42">
        <v>1641.32</v>
      </c>
      <c r="C206" s="42">
        <v>1643.53</v>
      </c>
      <c r="D206" s="42">
        <v>1632.83</v>
      </c>
      <c r="E206" s="42">
        <v>1635.3</v>
      </c>
      <c r="F206" s="2">
        <v>16040000000</v>
      </c>
    </row>
    <row r="207" spans="1:6">
      <c r="A207" s="32">
        <v>43525</v>
      </c>
      <c r="B207" s="42">
        <v>1655.27</v>
      </c>
      <c r="C207" s="42">
        <v>1656.64</v>
      </c>
      <c r="D207" s="42">
        <v>1640.57</v>
      </c>
      <c r="E207" s="42">
        <v>1641.44</v>
      </c>
      <c r="F207" s="2">
        <v>15180000000</v>
      </c>
    </row>
    <row r="208" spans="1:6">
      <c r="A208" s="32">
        <v>43524</v>
      </c>
      <c r="B208" s="42">
        <v>1666.33</v>
      </c>
      <c r="C208" s="42">
        <v>1666.74</v>
      </c>
      <c r="D208" s="42">
        <v>1652.71</v>
      </c>
      <c r="E208" s="42">
        <v>1653.48</v>
      </c>
      <c r="F208" s="2">
        <v>14370000000</v>
      </c>
    </row>
    <row r="209" spans="1:6">
      <c r="A209" s="32">
        <v>43523</v>
      </c>
      <c r="B209" s="42">
        <v>1663.92</v>
      </c>
      <c r="C209" s="42">
        <v>1668.61</v>
      </c>
      <c r="D209" s="42">
        <v>1659.62</v>
      </c>
      <c r="E209" s="42">
        <v>1665.27</v>
      </c>
      <c r="F209" s="2">
        <v>14820000000</v>
      </c>
    </row>
    <row r="210" spans="1:6">
      <c r="A210" s="32">
        <v>43522</v>
      </c>
      <c r="B210" s="42">
        <v>1665.89</v>
      </c>
      <c r="C210" s="42">
        <v>1670.77</v>
      </c>
      <c r="D210" s="42">
        <v>1662.81</v>
      </c>
      <c r="E210" s="42">
        <v>1663.56</v>
      </c>
      <c r="F210" s="2">
        <v>14780000000</v>
      </c>
    </row>
    <row r="211" spans="1:6">
      <c r="A211" s="32">
        <v>43521</v>
      </c>
      <c r="B211" s="42">
        <v>1665.3</v>
      </c>
      <c r="C211" s="42">
        <v>1674.54</v>
      </c>
      <c r="D211" s="42">
        <v>1664.92</v>
      </c>
      <c r="E211" s="42">
        <v>1671.75</v>
      </c>
      <c r="F211" s="2">
        <v>14260000000</v>
      </c>
    </row>
    <row r="212" spans="1:6">
      <c r="A212" s="32">
        <v>43518</v>
      </c>
      <c r="B212" s="42">
        <v>1645.33</v>
      </c>
      <c r="C212" s="42">
        <v>1661.09</v>
      </c>
      <c r="D212" s="42">
        <v>1644.51</v>
      </c>
      <c r="E212" s="42">
        <v>1659.2</v>
      </c>
      <c r="F212" s="2">
        <v>13640000000</v>
      </c>
    </row>
    <row r="213" spans="1:6">
      <c r="A213" s="32">
        <v>43517</v>
      </c>
      <c r="B213" s="42">
        <v>1646.96</v>
      </c>
      <c r="C213" s="42">
        <v>1651.8</v>
      </c>
      <c r="D213" s="42">
        <v>1642.49</v>
      </c>
      <c r="E213" s="42">
        <v>1647.32</v>
      </c>
      <c r="F213" s="2">
        <v>11950000000</v>
      </c>
    </row>
    <row r="214" spans="1:6">
      <c r="A214" s="32">
        <v>43516</v>
      </c>
      <c r="B214" s="42">
        <v>1639.16</v>
      </c>
      <c r="C214" s="42">
        <v>1647.21</v>
      </c>
      <c r="D214" s="42">
        <v>1636.12</v>
      </c>
      <c r="E214" s="42">
        <v>1645.38</v>
      </c>
      <c r="F214" s="2">
        <v>12470000000</v>
      </c>
    </row>
    <row r="215" spans="1:6">
      <c r="A215" s="32">
        <v>43514</v>
      </c>
      <c r="B215" s="42">
        <v>1644.99</v>
      </c>
      <c r="C215" s="42">
        <v>1647.74</v>
      </c>
      <c r="D215" s="42">
        <v>1635.71</v>
      </c>
      <c r="E215" s="42">
        <v>1635.71</v>
      </c>
      <c r="F215" s="2">
        <v>10600000000</v>
      </c>
    </row>
    <row r="216" spans="1:6">
      <c r="A216" s="32">
        <v>43511</v>
      </c>
      <c r="B216" s="42">
        <v>1651.1</v>
      </c>
      <c r="C216" s="42">
        <v>1652.06</v>
      </c>
      <c r="D216" s="42">
        <v>1634.87</v>
      </c>
      <c r="E216" s="42">
        <v>1636.94</v>
      </c>
      <c r="F216" s="2">
        <v>14860000000</v>
      </c>
    </row>
    <row r="217" spans="1:6">
      <c r="A217" s="32">
        <v>43510</v>
      </c>
      <c r="B217" s="42">
        <v>1658.41</v>
      </c>
      <c r="C217" s="42">
        <v>1659.52</v>
      </c>
      <c r="D217" s="42">
        <v>1650.13</v>
      </c>
      <c r="E217" s="42">
        <v>1652.64</v>
      </c>
      <c r="F217" s="2">
        <v>12780000000</v>
      </c>
    </row>
    <row r="218" spans="1:6">
      <c r="A218" s="32">
        <v>43509</v>
      </c>
      <c r="B218" s="42">
        <v>1649.09</v>
      </c>
      <c r="C218" s="42">
        <v>1657.12</v>
      </c>
      <c r="D218" s="42">
        <v>1645.84</v>
      </c>
      <c r="E218" s="42">
        <v>1655.73</v>
      </c>
      <c r="F218" s="2">
        <v>13090000000</v>
      </c>
    </row>
    <row r="219" spans="1:6">
      <c r="A219" s="32">
        <v>43508</v>
      </c>
      <c r="B219" s="42">
        <v>1637.48</v>
      </c>
      <c r="C219" s="42">
        <v>1645.63</v>
      </c>
      <c r="D219" s="42">
        <v>1635.54</v>
      </c>
      <c r="E219" s="42">
        <v>1642.49</v>
      </c>
      <c r="F219" s="2">
        <v>10870000000</v>
      </c>
    </row>
    <row r="220" spans="1:6">
      <c r="A220" s="32">
        <v>43507</v>
      </c>
      <c r="B220" s="42">
        <v>1644.75</v>
      </c>
      <c r="C220" s="42">
        <v>1647.49</v>
      </c>
      <c r="D220" s="42">
        <v>1632.82</v>
      </c>
      <c r="E220" s="42">
        <v>1638</v>
      </c>
      <c r="F220" s="2">
        <v>13050000000</v>
      </c>
    </row>
    <row r="221" spans="1:6">
      <c r="A221" s="32">
        <v>43504</v>
      </c>
      <c r="B221" s="42">
        <v>1647.63</v>
      </c>
      <c r="C221" s="42">
        <v>1657.58</v>
      </c>
      <c r="D221" s="42">
        <v>1637.58</v>
      </c>
      <c r="E221" s="42">
        <v>1651.68</v>
      </c>
      <c r="F221" s="2">
        <v>17340000000</v>
      </c>
    </row>
    <row r="222" spans="1:6">
      <c r="A222" s="32">
        <v>43503</v>
      </c>
      <c r="B222" s="42">
        <v>1659.94</v>
      </c>
      <c r="C222" s="42">
        <v>1667.01</v>
      </c>
      <c r="D222" s="42">
        <v>1649.5</v>
      </c>
      <c r="E222" s="42">
        <v>1653.11</v>
      </c>
      <c r="F222" s="2">
        <v>14230000000</v>
      </c>
    </row>
    <row r="223" spans="1:6">
      <c r="A223" s="32">
        <v>43502</v>
      </c>
      <c r="B223" s="42">
        <v>1655.14</v>
      </c>
      <c r="C223" s="42">
        <v>1663.49</v>
      </c>
      <c r="D223" s="42">
        <v>1653</v>
      </c>
      <c r="E223" s="42">
        <v>1658.71</v>
      </c>
      <c r="F223" s="2">
        <v>11170000000</v>
      </c>
    </row>
    <row r="224" spans="1:6">
      <c r="A224" s="32">
        <v>43501</v>
      </c>
      <c r="B224" s="42">
        <v>1653.53</v>
      </c>
      <c r="C224" s="42">
        <v>1654.98</v>
      </c>
      <c r="D224" s="42">
        <v>1645.57</v>
      </c>
      <c r="E224" s="42">
        <v>1653.09</v>
      </c>
      <c r="F224" s="2">
        <v>8180000000</v>
      </c>
    </row>
    <row r="225" spans="1:6">
      <c r="A225" s="32">
        <v>43500</v>
      </c>
      <c r="B225" s="42">
        <v>1655.42</v>
      </c>
      <c r="C225" s="42">
        <v>1659.26</v>
      </c>
      <c r="D225" s="42">
        <v>1652.14</v>
      </c>
      <c r="E225" s="42">
        <v>1653.62</v>
      </c>
      <c r="F225" s="2">
        <v>9650000000</v>
      </c>
    </row>
    <row r="226" spans="1:6">
      <c r="A226" s="32">
        <v>43497</v>
      </c>
      <c r="B226" s="42">
        <v>1644.61</v>
      </c>
      <c r="C226" s="42">
        <v>1655.34</v>
      </c>
      <c r="D226" s="42">
        <v>1642.24</v>
      </c>
      <c r="E226" s="42">
        <v>1651.4</v>
      </c>
      <c r="F226" s="2">
        <v>12020000000</v>
      </c>
    </row>
    <row r="227" spans="1:6">
      <c r="A227" s="32">
        <v>43496</v>
      </c>
      <c r="B227" s="42">
        <v>1640.34</v>
      </c>
      <c r="C227" s="42">
        <v>1649.85</v>
      </c>
      <c r="D227" s="42">
        <v>1639.9</v>
      </c>
      <c r="E227" s="42">
        <v>1641.73</v>
      </c>
      <c r="F227" s="2">
        <v>13670000000</v>
      </c>
    </row>
    <row r="228" spans="1:6">
      <c r="A228" s="32">
        <v>43495</v>
      </c>
      <c r="B228" s="42">
        <v>1626.55</v>
      </c>
      <c r="C228" s="42">
        <v>1632.83</v>
      </c>
      <c r="D228" s="42">
        <v>1622.59</v>
      </c>
      <c r="E228" s="42">
        <v>1632.6</v>
      </c>
      <c r="F228" s="2">
        <v>11900000000</v>
      </c>
    </row>
    <row r="229" spans="1:6">
      <c r="A229" s="32">
        <v>43494</v>
      </c>
      <c r="B229" s="42">
        <v>1623</v>
      </c>
      <c r="C229" s="42">
        <v>1625.36</v>
      </c>
      <c r="D229" s="42">
        <v>1616.45</v>
      </c>
      <c r="E229" s="42">
        <v>1624.05</v>
      </c>
      <c r="F229" s="2">
        <v>12730000000</v>
      </c>
    </row>
    <row r="230" spans="1:6">
      <c r="A230" s="32">
        <v>43493</v>
      </c>
      <c r="B230" s="42">
        <v>1627.71</v>
      </c>
      <c r="C230" s="42">
        <v>1634.7</v>
      </c>
      <c r="D230" s="42">
        <v>1622.58</v>
      </c>
      <c r="E230" s="42">
        <v>1625.03</v>
      </c>
      <c r="F230" s="2">
        <v>12350000000</v>
      </c>
    </row>
    <row r="231" spans="1:6">
      <c r="A231" s="32">
        <v>43490</v>
      </c>
      <c r="B231" s="42">
        <v>1625.59</v>
      </c>
      <c r="C231" s="42">
        <v>1628.62</v>
      </c>
      <c r="D231" s="42">
        <v>1617.78</v>
      </c>
      <c r="E231" s="42">
        <v>1623.62</v>
      </c>
      <c r="F231" s="2">
        <v>13250000000</v>
      </c>
    </row>
    <row r="232" spans="1:6">
      <c r="A232" s="32">
        <v>43489</v>
      </c>
      <c r="B232" s="42">
        <v>1619.12</v>
      </c>
      <c r="C232" s="42">
        <v>1628.21</v>
      </c>
      <c r="D232" s="42">
        <v>1614.56</v>
      </c>
      <c r="E232" s="42">
        <v>1620.53</v>
      </c>
      <c r="F232" s="2">
        <v>14530000000</v>
      </c>
    </row>
    <row r="233" spans="1:6">
      <c r="A233" s="32">
        <v>43488</v>
      </c>
      <c r="B233" s="42">
        <v>1601.72</v>
      </c>
      <c r="C233" s="42">
        <v>1620.51</v>
      </c>
      <c r="D233" s="42">
        <v>1600.35</v>
      </c>
      <c r="E233" s="42">
        <v>1617.38</v>
      </c>
      <c r="F233" s="2">
        <v>17190000000</v>
      </c>
    </row>
    <row r="234" spans="1:6">
      <c r="A234" s="32">
        <v>43487</v>
      </c>
      <c r="B234" s="42">
        <v>1587.82</v>
      </c>
      <c r="C234" s="42">
        <v>1601.8</v>
      </c>
      <c r="D234" s="42">
        <v>1586.19</v>
      </c>
      <c r="E234" s="42">
        <v>1601.77</v>
      </c>
      <c r="F234" s="2">
        <v>12680000000</v>
      </c>
    </row>
    <row r="235" spans="1:6">
      <c r="A235" s="32">
        <v>43486</v>
      </c>
      <c r="B235" s="42">
        <v>1586.72</v>
      </c>
      <c r="C235" s="42">
        <v>1595.16</v>
      </c>
      <c r="D235" s="42">
        <v>1585.24</v>
      </c>
      <c r="E235" s="42">
        <v>1588.38</v>
      </c>
      <c r="F235" s="2">
        <v>11690000000</v>
      </c>
    </row>
    <row r="236" spans="1:6">
      <c r="A236" s="32">
        <v>43483</v>
      </c>
      <c r="B236" s="42">
        <v>1585.07</v>
      </c>
      <c r="C236" s="42">
        <v>1588.75</v>
      </c>
      <c r="D236" s="42">
        <v>1577.86</v>
      </c>
      <c r="E236" s="42">
        <v>1583.77</v>
      </c>
      <c r="F236" s="2">
        <v>12080000000</v>
      </c>
    </row>
    <row r="237" spans="1:6">
      <c r="A237" s="32">
        <v>43482</v>
      </c>
      <c r="B237" s="42">
        <v>1578.14</v>
      </c>
      <c r="C237" s="42">
        <v>1586.88</v>
      </c>
      <c r="D237" s="42">
        <v>1576.84</v>
      </c>
      <c r="E237" s="42">
        <v>1580.3</v>
      </c>
      <c r="F237" s="2">
        <v>12520000000</v>
      </c>
    </row>
    <row r="238" spans="1:6">
      <c r="A238" s="32">
        <v>43481</v>
      </c>
      <c r="B238" s="42">
        <v>1581.37</v>
      </c>
      <c r="C238" s="42">
        <v>1582.44</v>
      </c>
      <c r="D238" s="42">
        <v>1565.48</v>
      </c>
      <c r="E238" s="42">
        <v>1577.41</v>
      </c>
      <c r="F238" s="2">
        <v>16490000000</v>
      </c>
    </row>
    <row r="239" spans="1:6">
      <c r="A239" s="32">
        <v>43480</v>
      </c>
      <c r="B239" s="42">
        <v>1587.17</v>
      </c>
      <c r="C239" s="42">
        <v>1590.15</v>
      </c>
      <c r="D239" s="42">
        <v>1574.37</v>
      </c>
      <c r="E239" s="42">
        <v>1577</v>
      </c>
      <c r="F239" s="2">
        <v>12270000000</v>
      </c>
    </row>
    <row r="240" spans="1:6">
      <c r="A240" s="32">
        <v>43479</v>
      </c>
      <c r="B240" s="42">
        <v>1592.58</v>
      </c>
      <c r="C240" s="42">
        <v>1594.06</v>
      </c>
      <c r="D240" s="42">
        <v>1580.56</v>
      </c>
      <c r="E240" s="42">
        <v>1582.57</v>
      </c>
      <c r="F240" s="2">
        <v>12260000000</v>
      </c>
    </row>
    <row r="241" spans="1:6">
      <c r="A241" s="32">
        <v>43476</v>
      </c>
      <c r="B241" s="42">
        <v>1591.21</v>
      </c>
      <c r="C241" s="42">
        <v>1597.18</v>
      </c>
      <c r="D241" s="42">
        <v>1586.93</v>
      </c>
      <c r="E241" s="42">
        <v>1597.04</v>
      </c>
      <c r="F241" s="2">
        <v>12090000000</v>
      </c>
    </row>
    <row r="242" spans="1:6">
      <c r="A242" s="32">
        <v>43475</v>
      </c>
      <c r="B242" s="42">
        <v>1590.07</v>
      </c>
      <c r="C242" s="42">
        <v>1599.1</v>
      </c>
      <c r="D242" s="42">
        <v>1579.2</v>
      </c>
      <c r="E242" s="42">
        <v>1587.63</v>
      </c>
      <c r="F242" s="2">
        <v>14420000000</v>
      </c>
    </row>
    <row r="243" spans="1:6">
      <c r="A243" s="32">
        <v>43474</v>
      </c>
      <c r="B243" s="42">
        <v>1604.21</v>
      </c>
      <c r="C243" s="42">
        <v>1609.39</v>
      </c>
      <c r="D243" s="42">
        <v>1587.53</v>
      </c>
      <c r="E243" s="42">
        <v>1590.5</v>
      </c>
      <c r="F243" s="2">
        <v>11740000000</v>
      </c>
    </row>
    <row r="244" spans="1:6">
      <c r="A244" s="32">
        <v>43473</v>
      </c>
      <c r="B244" s="42">
        <v>1594.07</v>
      </c>
      <c r="C244" s="42">
        <v>1597.35</v>
      </c>
      <c r="D244" s="42">
        <v>1587.47</v>
      </c>
      <c r="E244" s="42">
        <v>1594</v>
      </c>
      <c r="F244" s="2">
        <v>10790000000</v>
      </c>
    </row>
    <row r="245" spans="1:6">
      <c r="A245" s="32">
        <v>43472</v>
      </c>
      <c r="B245" s="42">
        <v>1584.74</v>
      </c>
      <c r="C245" s="42">
        <v>1596.97</v>
      </c>
      <c r="D245" s="42">
        <v>1582.69</v>
      </c>
      <c r="E245" s="42">
        <v>1592.72</v>
      </c>
      <c r="F245" s="2">
        <v>11990000000</v>
      </c>
    </row>
    <row r="246" spans="1:6">
      <c r="A246" s="32">
        <v>43469</v>
      </c>
      <c r="B246" s="42">
        <v>1559.63</v>
      </c>
      <c r="C246" s="42">
        <v>1575.13</v>
      </c>
      <c r="D246" s="42">
        <v>1550.22</v>
      </c>
      <c r="E246" s="42">
        <v>1575.13</v>
      </c>
      <c r="F246" s="2">
        <v>13890000000</v>
      </c>
    </row>
    <row r="247" spans="1:6">
      <c r="A247" s="32">
        <v>43468</v>
      </c>
      <c r="B247" s="42">
        <v>1571.48</v>
      </c>
      <c r="C247" s="42">
        <v>1578.17</v>
      </c>
      <c r="D247" s="42">
        <v>1556.77</v>
      </c>
      <c r="E247" s="42">
        <v>1560.03</v>
      </c>
      <c r="F247" s="2">
        <v>11330000000</v>
      </c>
    </row>
    <row r="248" spans="1:6">
      <c r="A248" s="32">
        <v>43467</v>
      </c>
      <c r="B248" s="42">
        <v>1567.09</v>
      </c>
      <c r="C248" s="42">
        <v>1575.22</v>
      </c>
      <c r="D248" s="42">
        <v>1563.66</v>
      </c>
      <c r="E248" s="42">
        <v>1565.94</v>
      </c>
      <c r="F248" s="2">
        <v>10190000000</v>
      </c>
    </row>
    <row r="249" spans="1:6">
      <c r="A249" s="32">
        <v>43462</v>
      </c>
      <c r="B249" s="42">
        <v>1550.87</v>
      </c>
      <c r="C249" s="42">
        <v>1564.02</v>
      </c>
      <c r="D249" s="42">
        <v>1549.7</v>
      </c>
      <c r="E249" s="42">
        <v>1563.88</v>
      </c>
      <c r="F249" s="2">
        <v>10430000000</v>
      </c>
    </row>
    <row r="250" spans="1:6">
      <c r="A250" s="32">
        <v>43461</v>
      </c>
      <c r="B250" s="42">
        <v>1582.22</v>
      </c>
      <c r="C250" s="42">
        <v>1585.77</v>
      </c>
      <c r="D250" s="42">
        <v>1546.62</v>
      </c>
      <c r="E250" s="42">
        <v>1548.37</v>
      </c>
      <c r="F250" s="2">
        <v>13740000000</v>
      </c>
    </row>
    <row r="251" spans="1:6">
      <c r="A251" s="32">
        <v>43460</v>
      </c>
      <c r="B251" s="42">
        <v>1556.95</v>
      </c>
      <c r="C251" s="42">
        <v>1562</v>
      </c>
      <c r="D251" s="42">
        <v>1548.99</v>
      </c>
      <c r="E251" s="42">
        <v>1556.93</v>
      </c>
      <c r="F251" s="2">
        <v>11270000000</v>
      </c>
    </row>
    <row r="252" spans="1:6">
      <c r="A252" s="32">
        <v>43459</v>
      </c>
      <c r="B252" s="42">
        <v>1576.4</v>
      </c>
      <c r="C252" s="42">
        <v>1576.75</v>
      </c>
      <c r="D252" s="42">
        <v>1555</v>
      </c>
      <c r="E252" s="42">
        <v>1556.65</v>
      </c>
      <c r="F252" s="2">
        <v>11280000000</v>
      </c>
    </row>
    <row r="253" spans="1:6">
      <c r="A253" s="32">
        <v>43458</v>
      </c>
      <c r="B253" s="42">
        <v>1589.69</v>
      </c>
      <c r="C253" s="42">
        <v>1599.89</v>
      </c>
      <c r="D253" s="42">
        <v>1588.56</v>
      </c>
      <c r="E253" s="42">
        <v>1591.29</v>
      </c>
      <c r="F253" s="2">
        <v>9810000000</v>
      </c>
    </row>
    <row r="254" spans="1:6">
      <c r="A254" s="32">
        <v>43455</v>
      </c>
      <c r="B254" s="42">
        <v>1588.99</v>
      </c>
      <c r="C254" s="42">
        <v>1601.58</v>
      </c>
      <c r="D254" s="42">
        <v>1586.35</v>
      </c>
      <c r="E254" s="42">
        <v>1595.33</v>
      </c>
      <c r="F254" s="2">
        <v>12790000000</v>
      </c>
    </row>
    <row r="255" spans="1:6">
      <c r="A255" s="32">
        <v>43454</v>
      </c>
      <c r="B255" s="42">
        <v>1594.86</v>
      </c>
      <c r="C255" s="42">
        <v>1599.2</v>
      </c>
      <c r="D255" s="42">
        <v>1583.11</v>
      </c>
      <c r="E255" s="42">
        <v>1596.1</v>
      </c>
      <c r="F255" s="2">
        <v>11520000000</v>
      </c>
    </row>
    <row r="256" spans="1:6">
      <c r="A256" s="32">
        <v>43453</v>
      </c>
      <c r="B256" s="42">
        <v>1582.58</v>
      </c>
      <c r="C256" s="42">
        <v>1601.17</v>
      </c>
      <c r="D256" s="42">
        <v>1578.64</v>
      </c>
      <c r="E256" s="42">
        <v>1601.12</v>
      </c>
      <c r="F256" s="2">
        <v>13700000000</v>
      </c>
    </row>
    <row r="257" spans="1:6">
      <c r="A257" s="32">
        <v>43452</v>
      </c>
      <c r="B257" s="42">
        <v>1594.1</v>
      </c>
      <c r="C257" s="42">
        <v>1595.32</v>
      </c>
      <c r="D257" s="42">
        <v>1580.58</v>
      </c>
      <c r="E257" s="42">
        <v>1583.19</v>
      </c>
      <c r="F257" s="2">
        <v>11970000000</v>
      </c>
    </row>
    <row r="258" spans="1:6">
      <c r="A258" s="32">
        <v>43451</v>
      </c>
      <c r="B258" s="42">
        <v>1612.87</v>
      </c>
      <c r="C258" s="42">
        <v>1615.63</v>
      </c>
      <c r="D258" s="42">
        <v>1593.37</v>
      </c>
      <c r="E258" s="42">
        <v>1601.48</v>
      </c>
      <c r="F258" s="2">
        <v>14310000000</v>
      </c>
    </row>
    <row r="259" spans="1:6">
      <c r="A259" s="32">
        <v>43448</v>
      </c>
      <c r="B259" s="42">
        <v>1613.23</v>
      </c>
      <c r="C259" s="42">
        <v>1620.6</v>
      </c>
      <c r="D259" s="42">
        <v>1602.42</v>
      </c>
      <c r="E259" s="42">
        <v>1609.45</v>
      </c>
      <c r="F259" s="2">
        <v>12610000000</v>
      </c>
    </row>
    <row r="260" spans="1:6">
      <c r="A260" s="32">
        <v>43447</v>
      </c>
      <c r="B260" s="42">
        <v>1638.96</v>
      </c>
      <c r="C260" s="42">
        <v>1642.2</v>
      </c>
      <c r="D260" s="42">
        <v>1612.91</v>
      </c>
      <c r="E260" s="42">
        <v>1614.99</v>
      </c>
      <c r="F260" s="2">
        <v>12400000000</v>
      </c>
    </row>
    <row r="261" spans="1:6">
      <c r="A261" s="32">
        <v>43446</v>
      </c>
      <c r="B261" s="42">
        <v>1642.42</v>
      </c>
      <c r="C261" s="42">
        <v>1644.9</v>
      </c>
      <c r="D261" s="42">
        <v>1632.34</v>
      </c>
      <c r="E261" s="42">
        <v>1634.88</v>
      </c>
      <c r="F261" s="2">
        <v>9590000000</v>
      </c>
    </row>
    <row r="262" spans="1:6">
      <c r="A262" s="32">
        <v>43445</v>
      </c>
      <c r="B262" s="42">
        <v>1646.87</v>
      </c>
      <c r="C262" s="42">
        <v>1647.88</v>
      </c>
      <c r="D262" s="42">
        <v>1633.11</v>
      </c>
      <c r="E262" s="42">
        <v>1633.62</v>
      </c>
      <c r="F262" s="2">
        <v>12200000000</v>
      </c>
    </row>
    <row r="263" spans="1:6">
      <c r="A263" s="32">
        <v>43441</v>
      </c>
      <c r="B263" s="42">
        <v>1656.11</v>
      </c>
      <c r="C263" s="42">
        <v>1659.45</v>
      </c>
      <c r="D263" s="42">
        <v>1648.33</v>
      </c>
      <c r="E263" s="42">
        <v>1649.99</v>
      </c>
      <c r="F263" s="2">
        <v>10340000000</v>
      </c>
    </row>
    <row r="264" spans="1:6">
      <c r="A264" s="32">
        <v>43440</v>
      </c>
      <c r="B264" s="42">
        <v>1653.09</v>
      </c>
      <c r="C264" s="42">
        <v>1658.64</v>
      </c>
      <c r="D264" s="42">
        <v>1649.23</v>
      </c>
      <c r="E264" s="42">
        <v>1653.73</v>
      </c>
      <c r="F264" s="2">
        <v>10940000000</v>
      </c>
    </row>
    <row r="265" spans="1:6">
      <c r="A265" s="32">
        <v>43438</v>
      </c>
      <c r="B265" s="42">
        <v>1674.53</v>
      </c>
      <c r="C265" s="42">
        <v>1677.99</v>
      </c>
      <c r="D265" s="42">
        <v>1669.1</v>
      </c>
      <c r="E265" s="42">
        <v>1672.32</v>
      </c>
      <c r="F265" s="2">
        <v>10600000000</v>
      </c>
    </row>
    <row r="266" spans="1:6">
      <c r="A266" s="32">
        <v>43437</v>
      </c>
      <c r="B266" s="42">
        <v>1662.15</v>
      </c>
      <c r="C266" s="42">
        <v>1675.43</v>
      </c>
      <c r="D266" s="42">
        <v>1660.05</v>
      </c>
      <c r="E266" s="42">
        <v>1672.61</v>
      </c>
      <c r="F266" s="2">
        <v>12970000000</v>
      </c>
    </row>
    <row r="267" spans="1:6">
      <c r="A267" s="32">
        <v>43434</v>
      </c>
      <c r="B267" s="42">
        <v>1640.7</v>
      </c>
      <c r="C267" s="42">
        <v>1647.89</v>
      </c>
      <c r="D267" s="42">
        <v>1633.44</v>
      </c>
      <c r="E267" s="42">
        <v>1641.8</v>
      </c>
      <c r="F267" s="2">
        <v>10160000000</v>
      </c>
    </row>
    <row r="268" spans="1:6">
      <c r="A268" s="32">
        <v>43433</v>
      </c>
      <c r="B268" s="42">
        <v>1646.62</v>
      </c>
      <c r="C268" s="42">
        <v>1650.69</v>
      </c>
      <c r="D268" s="42">
        <v>1635.19</v>
      </c>
      <c r="E268" s="42">
        <v>1636.49</v>
      </c>
      <c r="F268" s="2">
        <v>10440000000</v>
      </c>
    </row>
    <row r="269" spans="1:6">
      <c r="A269" s="32">
        <v>43432</v>
      </c>
      <c r="B269" s="42">
        <v>1636.59</v>
      </c>
      <c r="C269" s="42">
        <v>1644.27</v>
      </c>
      <c r="D269" s="42">
        <v>1635.37</v>
      </c>
      <c r="E269" s="42">
        <v>1640.63</v>
      </c>
      <c r="F269" s="2">
        <v>9870000000</v>
      </c>
    </row>
    <row r="270" spans="1:6">
      <c r="A270" s="32">
        <v>43431</v>
      </c>
      <c r="B270" s="42">
        <v>1630.08</v>
      </c>
      <c r="C270" s="42">
        <v>1636.89</v>
      </c>
      <c r="D270" s="42">
        <v>1627.54</v>
      </c>
      <c r="E270" s="42">
        <v>1634.27</v>
      </c>
      <c r="F270" s="2">
        <v>14990000000</v>
      </c>
    </row>
    <row r="271" spans="1:6">
      <c r="A271" s="32">
        <v>43430</v>
      </c>
      <c r="B271" s="42">
        <v>1621.99</v>
      </c>
      <c r="C271" s="42">
        <v>1631.74</v>
      </c>
      <c r="D271" s="42">
        <v>1616.97</v>
      </c>
      <c r="E271" s="42">
        <v>1630.77</v>
      </c>
      <c r="F271" s="2">
        <v>10550000000</v>
      </c>
    </row>
    <row r="272" spans="1:6">
      <c r="A272" s="32">
        <v>43427</v>
      </c>
      <c r="B272" s="42">
        <v>1607.11</v>
      </c>
      <c r="C272" s="42">
        <v>1623.01</v>
      </c>
      <c r="D272" s="42">
        <v>1600.63</v>
      </c>
      <c r="E272" s="42">
        <v>1622.1</v>
      </c>
      <c r="F272" s="2">
        <v>12000000000</v>
      </c>
    </row>
    <row r="273" spans="1:6">
      <c r="A273" s="32">
        <v>43426</v>
      </c>
      <c r="B273" s="42">
        <v>1616.95</v>
      </c>
      <c r="C273" s="42">
        <v>1622.01</v>
      </c>
      <c r="D273" s="42">
        <v>1603</v>
      </c>
      <c r="E273" s="42">
        <v>1604.4</v>
      </c>
      <c r="F273" s="2">
        <v>10360000000</v>
      </c>
    </row>
    <row r="274" spans="1:6">
      <c r="A274" s="32">
        <v>43425</v>
      </c>
      <c r="B274" s="42">
        <v>1603.73</v>
      </c>
      <c r="C274" s="42">
        <v>1622.14</v>
      </c>
      <c r="D274" s="42">
        <v>1598.57</v>
      </c>
      <c r="E274" s="42">
        <v>1617.33</v>
      </c>
      <c r="F274" s="2">
        <v>13550000000</v>
      </c>
    </row>
    <row r="275" spans="1:6">
      <c r="A275" s="32">
        <v>43424</v>
      </c>
      <c r="B275" s="42">
        <v>1631.81</v>
      </c>
      <c r="C275" s="42">
        <v>1632.23</v>
      </c>
      <c r="D275" s="42">
        <v>1610.18</v>
      </c>
      <c r="E275" s="42">
        <v>1612.03</v>
      </c>
      <c r="F275" s="2">
        <v>11190000000</v>
      </c>
    </row>
    <row r="276" spans="1:6">
      <c r="A276" s="32">
        <v>43423</v>
      </c>
      <c r="B276" s="42">
        <v>1634.1</v>
      </c>
      <c r="C276" s="42">
        <v>1640.53</v>
      </c>
      <c r="D276" s="42">
        <v>1630.96</v>
      </c>
      <c r="E276" s="42">
        <v>1636.48</v>
      </c>
      <c r="F276" s="2">
        <v>9530000000</v>
      </c>
    </row>
    <row r="277" spans="1:6">
      <c r="A277" s="32">
        <v>43420</v>
      </c>
      <c r="B277" s="42">
        <v>1640.47</v>
      </c>
      <c r="C277" s="42">
        <v>1646.46</v>
      </c>
      <c r="D277" s="42">
        <v>1632.94</v>
      </c>
      <c r="E277" s="42">
        <v>1635</v>
      </c>
      <c r="F277" s="2">
        <v>11410000000</v>
      </c>
    </row>
    <row r="278" spans="1:6">
      <c r="A278" s="32">
        <v>43419</v>
      </c>
      <c r="B278" s="42">
        <v>1656.6</v>
      </c>
      <c r="C278" s="42">
        <v>1658.02</v>
      </c>
      <c r="D278" s="42">
        <v>1638.67</v>
      </c>
      <c r="E278" s="42">
        <v>1638.83</v>
      </c>
      <c r="F278" s="2">
        <v>12750000000</v>
      </c>
    </row>
    <row r="279" spans="1:6">
      <c r="A279" s="32">
        <v>43418</v>
      </c>
      <c r="B279" s="42">
        <v>1655.09</v>
      </c>
      <c r="C279" s="42">
        <v>1660.74</v>
      </c>
      <c r="D279" s="42">
        <v>1646.24</v>
      </c>
      <c r="E279" s="42">
        <v>1652.3</v>
      </c>
      <c r="F279" s="2">
        <v>11810000000</v>
      </c>
    </row>
    <row r="280" spans="1:6">
      <c r="A280" s="32">
        <v>43417</v>
      </c>
      <c r="B280" s="42">
        <v>1645.42</v>
      </c>
      <c r="C280" s="42">
        <v>1664.51</v>
      </c>
      <c r="D280" s="42">
        <v>1642.83</v>
      </c>
      <c r="E280" s="42">
        <v>1659.78</v>
      </c>
      <c r="F280" s="2">
        <v>15350000000</v>
      </c>
    </row>
    <row r="281" spans="1:6">
      <c r="A281" s="32">
        <v>43416</v>
      </c>
      <c r="B281" s="42">
        <v>1672.85</v>
      </c>
      <c r="C281" s="42">
        <v>1673.42</v>
      </c>
      <c r="D281" s="42">
        <v>1654.8</v>
      </c>
      <c r="E281" s="42">
        <v>1654.85</v>
      </c>
      <c r="F281" s="2">
        <v>10120000000</v>
      </c>
    </row>
    <row r="282" spans="1:6">
      <c r="A282" s="32">
        <v>43413</v>
      </c>
      <c r="B282" s="42">
        <v>1675.84</v>
      </c>
      <c r="C282" s="42">
        <v>1677.51</v>
      </c>
      <c r="D282" s="42">
        <v>1664.85</v>
      </c>
      <c r="E282" s="42">
        <v>1668.52</v>
      </c>
      <c r="F282" s="2">
        <v>11110000000</v>
      </c>
    </row>
    <row r="283" spans="1:6">
      <c r="A283" s="32">
        <v>43412</v>
      </c>
      <c r="B283" s="42">
        <v>1685.29</v>
      </c>
      <c r="C283" s="42">
        <v>1688.9</v>
      </c>
      <c r="D283" s="42">
        <v>1681.25</v>
      </c>
      <c r="E283" s="42">
        <v>1681.73</v>
      </c>
      <c r="F283" s="2">
        <v>11760000000</v>
      </c>
    </row>
    <row r="284" spans="1:6">
      <c r="A284" s="32">
        <v>43411</v>
      </c>
      <c r="B284" s="42">
        <v>1673.65</v>
      </c>
      <c r="C284" s="42">
        <v>1676.09</v>
      </c>
      <c r="D284" s="42">
        <v>1656.51</v>
      </c>
      <c r="E284" s="42">
        <v>1675.33</v>
      </c>
      <c r="F284" s="2">
        <v>15120000000</v>
      </c>
    </row>
    <row r="285" spans="1:6">
      <c r="A285" s="32">
        <v>43410</v>
      </c>
      <c r="B285" s="42">
        <v>1677.45</v>
      </c>
      <c r="C285" s="42">
        <v>1684.44</v>
      </c>
      <c r="D285" s="42">
        <v>1669.22</v>
      </c>
      <c r="E285" s="42">
        <v>1669.33</v>
      </c>
      <c r="F285" s="2">
        <v>10610000000</v>
      </c>
    </row>
    <row r="286" spans="1:6">
      <c r="A286" s="32">
        <v>43409</v>
      </c>
      <c r="B286" s="42">
        <v>1670.46</v>
      </c>
      <c r="C286" s="42">
        <v>1673.01</v>
      </c>
      <c r="D286" s="42">
        <v>1666.5</v>
      </c>
      <c r="E286" s="42">
        <v>1670.58</v>
      </c>
      <c r="F286" s="2">
        <v>9700000000</v>
      </c>
    </row>
    <row r="287" spans="1:6">
      <c r="A287" s="32">
        <v>43406</v>
      </c>
      <c r="B287" s="42">
        <v>1675.09</v>
      </c>
      <c r="C287" s="42">
        <v>1687.76</v>
      </c>
      <c r="D287" s="42">
        <v>1672.09</v>
      </c>
      <c r="E287" s="42">
        <v>1681.84</v>
      </c>
      <c r="F287" s="2">
        <v>15330000000</v>
      </c>
    </row>
    <row r="288" spans="1:6">
      <c r="A288" s="32">
        <v>43405</v>
      </c>
      <c r="B288" s="42">
        <v>1672.14</v>
      </c>
      <c r="C288" s="42">
        <v>1674.87</v>
      </c>
      <c r="D288" s="42">
        <v>1660.11</v>
      </c>
      <c r="E288" s="42">
        <v>1667.55</v>
      </c>
      <c r="F288" s="2">
        <v>15040000000</v>
      </c>
    </row>
    <row r="289" spans="1:6">
      <c r="A289" s="32">
        <v>43404</v>
      </c>
      <c r="B289" s="42">
        <v>1651.07</v>
      </c>
      <c r="C289" s="42">
        <v>1669.27</v>
      </c>
      <c r="D289" s="42">
        <v>1649.27</v>
      </c>
      <c r="E289" s="42">
        <v>1669.09</v>
      </c>
      <c r="F289" s="2">
        <v>13490000000</v>
      </c>
    </row>
    <row r="290" spans="1:6">
      <c r="A290" s="32">
        <v>43403</v>
      </c>
      <c r="B290" s="42">
        <v>1638.83</v>
      </c>
      <c r="C290" s="42">
        <v>1645.31</v>
      </c>
      <c r="D290" s="42">
        <v>1633.73</v>
      </c>
      <c r="E290" s="42">
        <v>1638.51</v>
      </c>
      <c r="F290" s="2">
        <v>11270000000</v>
      </c>
    </row>
    <row r="291" spans="1:6">
      <c r="A291" s="32">
        <v>43402</v>
      </c>
      <c r="B291" s="42">
        <v>1632.26</v>
      </c>
      <c r="C291" s="42">
        <v>1645.98</v>
      </c>
      <c r="D291" s="42">
        <v>1630.73</v>
      </c>
      <c r="E291" s="42">
        <v>1636.88</v>
      </c>
      <c r="F291" s="2">
        <v>11620000000</v>
      </c>
    </row>
    <row r="292" spans="1:6">
      <c r="A292" s="32">
        <v>43399</v>
      </c>
      <c r="B292" s="42">
        <v>1637.48</v>
      </c>
      <c r="C292" s="42">
        <v>1639.67</v>
      </c>
      <c r="D292" s="42">
        <v>1625.33</v>
      </c>
      <c r="E292" s="42">
        <v>1628.96</v>
      </c>
      <c r="F292" s="2">
        <v>13380000000</v>
      </c>
    </row>
    <row r="293" spans="1:6">
      <c r="A293" s="32">
        <v>43398</v>
      </c>
      <c r="B293" s="42">
        <v>1605.91</v>
      </c>
      <c r="C293" s="42">
        <v>1645.91</v>
      </c>
      <c r="D293" s="42">
        <v>1596.4</v>
      </c>
      <c r="E293" s="42">
        <v>1644.33</v>
      </c>
      <c r="F293" s="2">
        <v>20310000000</v>
      </c>
    </row>
    <row r="294" spans="1:6">
      <c r="A294" s="32">
        <v>43397</v>
      </c>
      <c r="B294" s="42">
        <v>1641.61</v>
      </c>
      <c r="C294" s="42">
        <v>1647.9</v>
      </c>
      <c r="D294" s="42">
        <v>1618.82</v>
      </c>
      <c r="E294" s="42">
        <v>1623.37</v>
      </c>
      <c r="F294" s="2">
        <v>18450000000</v>
      </c>
    </row>
    <row r="295" spans="1:6">
      <c r="A295" s="32">
        <v>43395</v>
      </c>
      <c r="B295" s="42">
        <v>1669.82</v>
      </c>
      <c r="C295" s="42">
        <v>1674.25</v>
      </c>
      <c r="D295" s="42">
        <v>1654.9</v>
      </c>
      <c r="E295" s="42">
        <v>1658.56</v>
      </c>
      <c r="F295" s="2">
        <v>12750000000</v>
      </c>
    </row>
    <row r="296" spans="1:6">
      <c r="A296" s="32">
        <v>43392</v>
      </c>
      <c r="B296" s="42">
        <v>1680.12</v>
      </c>
      <c r="C296" s="42">
        <v>1681.92</v>
      </c>
      <c r="D296" s="42">
        <v>1664.09</v>
      </c>
      <c r="E296" s="42">
        <v>1667.91</v>
      </c>
      <c r="F296" s="2">
        <v>14600000000</v>
      </c>
    </row>
    <row r="297" spans="1:6">
      <c r="A297" s="32">
        <v>43391</v>
      </c>
      <c r="B297" s="42">
        <v>1692.15</v>
      </c>
      <c r="C297" s="42">
        <v>1694.67</v>
      </c>
      <c r="D297" s="42">
        <v>1681.24</v>
      </c>
      <c r="E297" s="42">
        <v>1682.91</v>
      </c>
      <c r="F297" s="2">
        <v>12810000000</v>
      </c>
    </row>
    <row r="298" spans="1:6">
      <c r="A298" s="32">
        <v>43390</v>
      </c>
      <c r="B298" s="42">
        <v>1708.09</v>
      </c>
      <c r="C298" s="42">
        <v>1710.39</v>
      </c>
      <c r="D298" s="42">
        <v>1695.04</v>
      </c>
      <c r="E298" s="42">
        <v>1695.04</v>
      </c>
      <c r="F298" s="2">
        <v>11130000000</v>
      </c>
    </row>
    <row r="299" spans="1:6">
      <c r="A299" s="32">
        <v>43389</v>
      </c>
      <c r="B299" s="42">
        <v>1697.56</v>
      </c>
      <c r="C299" s="42">
        <v>1701.57</v>
      </c>
      <c r="D299" s="42">
        <v>1689.83</v>
      </c>
      <c r="E299" s="42">
        <v>1697.87</v>
      </c>
      <c r="F299" s="2">
        <v>10040000000</v>
      </c>
    </row>
    <row r="300" spans="1:6">
      <c r="A300" s="32">
        <v>43385</v>
      </c>
      <c r="B300" s="42">
        <v>1690.28</v>
      </c>
      <c r="C300" s="42">
        <v>1699.6</v>
      </c>
      <c r="D300" s="42">
        <v>1688.44</v>
      </c>
      <c r="E300" s="42">
        <v>1696.16</v>
      </c>
      <c r="F300" s="2">
        <v>10380000000</v>
      </c>
    </row>
    <row r="301" spans="1:6">
      <c r="A301" s="32">
        <v>43384</v>
      </c>
      <c r="B301" s="42">
        <v>1679.27</v>
      </c>
      <c r="C301" s="42">
        <v>1688.63</v>
      </c>
      <c r="D301" s="42">
        <v>1673.59</v>
      </c>
      <c r="E301" s="42">
        <v>1682.89</v>
      </c>
      <c r="F301" s="2">
        <v>16930000000</v>
      </c>
    </row>
    <row r="302" spans="1:6">
      <c r="A302" s="32">
        <v>43383</v>
      </c>
      <c r="B302" s="42">
        <v>1709.34</v>
      </c>
      <c r="C302" s="42">
        <v>1721.82</v>
      </c>
      <c r="D302" s="42">
        <v>1707.63</v>
      </c>
      <c r="E302" s="42">
        <v>1721.82</v>
      </c>
      <c r="F302" s="2">
        <v>12720000000</v>
      </c>
    </row>
    <row r="303" spans="1:6">
      <c r="A303" s="32">
        <v>43382</v>
      </c>
      <c r="B303" s="42">
        <v>1699.99</v>
      </c>
      <c r="C303" s="42">
        <v>1708.72</v>
      </c>
      <c r="D303" s="42">
        <v>1690.92</v>
      </c>
      <c r="E303" s="42">
        <v>1696.92</v>
      </c>
      <c r="F303" s="2">
        <v>14110000000</v>
      </c>
    </row>
    <row r="304" spans="1:6">
      <c r="A304" s="32">
        <v>43381</v>
      </c>
      <c r="B304" s="42">
        <v>1719.71</v>
      </c>
      <c r="C304" s="42">
        <v>1728.24</v>
      </c>
      <c r="D304" s="42">
        <v>1696.2</v>
      </c>
      <c r="E304" s="42">
        <v>1696.22</v>
      </c>
      <c r="F304" s="2">
        <v>17410000000</v>
      </c>
    </row>
    <row r="305" spans="1:6">
      <c r="A305" s="32">
        <v>43378</v>
      </c>
      <c r="B305" s="42">
        <v>1726.41</v>
      </c>
      <c r="C305" s="42">
        <v>1732.36</v>
      </c>
      <c r="D305" s="42">
        <v>1718.12</v>
      </c>
      <c r="E305" s="42">
        <v>1720.52</v>
      </c>
      <c r="F305" s="2">
        <v>11970000000</v>
      </c>
    </row>
    <row r="306" spans="1:6">
      <c r="A306" s="32">
        <v>43377</v>
      </c>
      <c r="B306" s="42">
        <v>1735.74</v>
      </c>
      <c r="C306" s="42">
        <v>1740.59</v>
      </c>
      <c r="D306" s="42">
        <v>1720.13</v>
      </c>
      <c r="E306" s="42">
        <v>1729.4</v>
      </c>
      <c r="F306" s="2">
        <v>14670000000</v>
      </c>
    </row>
    <row r="307" spans="1:6">
      <c r="A307" s="32">
        <v>43376</v>
      </c>
      <c r="B307" s="42">
        <v>1753.79</v>
      </c>
      <c r="C307" s="42">
        <v>1757.43</v>
      </c>
      <c r="D307" s="42">
        <v>1741.96</v>
      </c>
      <c r="E307" s="42">
        <v>1741.96</v>
      </c>
      <c r="F307" s="2">
        <v>13810000000</v>
      </c>
    </row>
    <row r="308" spans="1:6">
      <c r="A308" s="32">
        <v>43375</v>
      </c>
      <c r="B308" s="42">
        <v>1757.33</v>
      </c>
      <c r="C308" s="42">
        <v>1762.24</v>
      </c>
      <c r="D308" s="42">
        <v>1746.06</v>
      </c>
      <c r="E308" s="42">
        <v>1748.09</v>
      </c>
      <c r="F308" s="2">
        <v>15100000000</v>
      </c>
    </row>
    <row r="309" spans="1:6">
      <c r="A309" s="32">
        <v>43374</v>
      </c>
      <c r="B309" s="42">
        <v>1762.3</v>
      </c>
      <c r="C309" s="42">
        <v>1765.06</v>
      </c>
      <c r="D309" s="42">
        <v>1757.74</v>
      </c>
      <c r="E309" s="42">
        <v>1760.47</v>
      </c>
      <c r="F309" s="2">
        <v>12270000000</v>
      </c>
    </row>
    <row r="310" spans="1:6">
      <c r="A310" s="32">
        <v>43371</v>
      </c>
      <c r="B310" s="42">
        <v>1757.6</v>
      </c>
      <c r="C310" s="42">
        <v>1758.95</v>
      </c>
      <c r="D310" s="42">
        <v>1751.09</v>
      </c>
      <c r="E310" s="42">
        <v>1756.41</v>
      </c>
      <c r="F310" s="2">
        <v>11260000000</v>
      </c>
    </row>
    <row r="311" spans="1:6">
      <c r="A311" s="32">
        <v>43370</v>
      </c>
      <c r="B311" s="42">
        <v>1751.7</v>
      </c>
      <c r="C311" s="42">
        <v>1753.16</v>
      </c>
      <c r="D311" s="42">
        <v>1735.58</v>
      </c>
      <c r="E311" s="42">
        <v>1752.95</v>
      </c>
      <c r="F311" s="2">
        <v>14090000000</v>
      </c>
    </row>
    <row r="312" spans="1:6">
      <c r="A312" s="32">
        <v>43369</v>
      </c>
      <c r="B312" s="42">
        <v>1752.52</v>
      </c>
      <c r="C312" s="42">
        <v>1755.57</v>
      </c>
      <c r="D312" s="42">
        <v>1746.99</v>
      </c>
      <c r="E312" s="42">
        <v>1749.93</v>
      </c>
      <c r="F312" s="2">
        <v>11120000000</v>
      </c>
    </row>
    <row r="313" spans="1:6">
      <c r="A313" s="32">
        <v>43368</v>
      </c>
      <c r="B313" s="42">
        <v>1753.66</v>
      </c>
      <c r="C313" s="42">
        <v>1756.85</v>
      </c>
      <c r="D313" s="42">
        <v>1745.73</v>
      </c>
      <c r="E313" s="42">
        <v>1747.99</v>
      </c>
      <c r="F313" s="2">
        <v>12140000000</v>
      </c>
    </row>
    <row r="314" spans="1:6">
      <c r="A314" s="32">
        <v>43367</v>
      </c>
      <c r="B314" s="42">
        <v>1751.29</v>
      </c>
      <c r="C314" s="42">
        <v>1759.51</v>
      </c>
      <c r="D314" s="42">
        <v>1748.52</v>
      </c>
      <c r="E314" s="42">
        <v>1749.42</v>
      </c>
      <c r="F314" s="2">
        <v>12970000000</v>
      </c>
    </row>
    <row r="315" spans="1:6">
      <c r="A315" s="32">
        <v>43364</v>
      </c>
      <c r="B315" s="42">
        <v>1758.8</v>
      </c>
      <c r="C315" s="42">
        <v>1766.62</v>
      </c>
      <c r="D315" s="42">
        <v>1753.32</v>
      </c>
      <c r="E315" s="42">
        <v>1756.12</v>
      </c>
      <c r="F315" s="2">
        <v>18370000000</v>
      </c>
    </row>
    <row r="316" spans="1:6">
      <c r="A316" s="32">
        <v>43363</v>
      </c>
      <c r="B316" s="42">
        <v>1757.42</v>
      </c>
      <c r="C316" s="42">
        <v>1762.17</v>
      </c>
      <c r="D316" s="42">
        <v>1749.72</v>
      </c>
      <c r="E316" s="42">
        <v>1752.11</v>
      </c>
      <c r="F316" s="2">
        <v>20670000000</v>
      </c>
    </row>
    <row r="317" spans="1:6">
      <c r="A317" s="32">
        <v>43362</v>
      </c>
      <c r="B317" s="42">
        <v>1749.63</v>
      </c>
      <c r="C317" s="42">
        <v>1762.72</v>
      </c>
      <c r="D317" s="42">
        <v>1747.47</v>
      </c>
      <c r="E317" s="42">
        <v>1749.8</v>
      </c>
      <c r="F317" s="2">
        <v>21990000000</v>
      </c>
    </row>
    <row r="318" spans="1:6">
      <c r="A318" s="32">
        <v>43361</v>
      </c>
      <c r="B318" s="42">
        <v>1718.49</v>
      </c>
      <c r="C318" s="42">
        <v>1748.76</v>
      </c>
      <c r="D318" s="42">
        <v>1716.75</v>
      </c>
      <c r="E318" s="42">
        <v>1744.42</v>
      </c>
      <c r="F318" s="2">
        <v>18570000000</v>
      </c>
    </row>
    <row r="319" spans="1:6">
      <c r="A319" s="32">
        <v>43360</v>
      </c>
      <c r="B319" s="42">
        <v>1717.99</v>
      </c>
      <c r="C319" s="42">
        <v>1725.03</v>
      </c>
      <c r="D319" s="42">
        <v>1711.57</v>
      </c>
      <c r="E319" s="42">
        <v>1718.39</v>
      </c>
      <c r="F319" s="2">
        <v>13540000000</v>
      </c>
    </row>
    <row r="320" spans="1:6">
      <c r="A320" s="32">
        <v>43357</v>
      </c>
      <c r="B320" s="42">
        <v>1724.83</v>
      </c>
      <c r="C320" s="42">
        <v>1727.83</v>
      </c>
      <c r="D320" s="42">
        <v>1718.11</v>
      </c>
      <c r="E320" s="42">
        <v>1722.21</v>
      </c>
      <c r="F320" s="2">
        <v>13600000000</v>
      </c>
    </row>
    <row r="321" spans="1:6">
      <c r="A321" s="32">
        <v>43356</v>
      </c>
      <c r="B321" s="42">
        <v>1691.04</v>
      </c>
      <c r="C321" s="42">
        <v>1723.48</v>
      </c>
      <c r="D321" s="42">
        <v>1690.84</v>
      </c>
      <c r="E321" s="42">
        <v>1717.96</v>
      </c>
      <c r="F321" s="2">
        <v>18820000000</v>
      </c>
    </row>
    <row r="322" spans="1:6">
      <c r="A322" s="32">
        <v>43355</v>
      </c>
      <c r="B322" s="42">
        <v>1672.04</v>
      </c>
      <c r="C322" s="42">
        <v>1680.54</v>
      </c>
      <c r="D322" s="42">
        <v>1666.07</v>
      </c>
      <c r="E322" s="42">
        <v>1679.39</v>
      </c>
      <c r="F322" s="2">
        <v>17220000000</v>
      </c>
    </row>
    <row r="323" spans="1:6">
      <c r="A323" s="32">
        <v>43354</v>
      </c>
      <c r="B323" s="42">
        <v>1690.65</v>
      </c>
      <c r="C323" s="42">
        <v>1694.86</v>
      </c>
      <c r="D323" s="42">
        <v>1672.4</v>
      </c>
      <c r="E323" s="42">
        <v>1672.42</v>
      </c>
      <c r="F323" s="2">
        <v>12260000000</v>
      </c>
    </row>
    <row r="324" spans="1:6">
      <c r="A324" s="32">
        <v>43353</v>
      </c>
      <c r="B324" s="42">
        <v>1686.78</v>
      </c>
      <c r="C324" s="42">
        <v>1692.16</v>
      </c>
      <c r="D324" s="42">
        <v>1680.5</v>
      </c>
      <c r="E324" s="42">
        <v>1691.51</v>
      </c>
      <c r="F324" s="2">
        <v>10780000000</v>
      </c>
    </row>
    <row r="325" spans="1:6">
      <c r="A325" s="32">
        <v>43350</v>
      </c>
      <c r="B325" s="42">
        <v>1687.95</v>
      </c>
      <c r="C325" s="42">
        <v>1694.56</v>
      </c>
      <c r="D325" s="42">
        <v>1683.58</v>
      </c>
      <c r="E325" s="42">
        <v>1689.49</v>
      </c>
      <c r="F325" s="2">
        <v>9750000000</v>
      </c>
    </row>
    <row r="326" spans="1:6">
      <c r="A326" s="32">
        <v>43349</v>
      </c>
      <c r="B326" s="42">
        <v>1685.38</v>
      </c>
      <c r="C326" s="42">
        <v>1694.05</v>
      </c>
      <c r="D326" s="42">
        <v>1676.67</v>
      </c>
      <c r="E326" s="42">
        <v>1693.94</v>
      </c>
      <c r="F326" s="2">
        <v>13020000000</v>
      </c>
    </row>
    <row r="327" spans="1:6">
      <c r="A327" s="32">
        <v>43348</v>
      </c>
      <c r="B327" s="42">
        <v>1709.26</v>
      </c>
      <c r="C327" s="42">
        <v>1711.37</v>
      </c>
      <c r="D327" s="42">
        <v>1685.95</v>
      </c>
      <c r="E327" s="42">
        <v>1686.37</v>
      </c>
      <c r="F327" s="2">
        <v>13140000000</v>
      </c>
    </row>
    <row r="328" spans="1:6">
      <c r="A328" s="32">
        <v>43347</v>
      </c>
      <c r="B328" s="42">
        <v>1722.56</v>
      </c>
      <c r="C328" s="42">
        <v>1724.86</v>
      </c>
      <c r="D328" s="42">
        <v>1713.96</v>
      </c>
      <c r="E328" s="42">
        <v>1714.41</v>
      </c>
      <c r="F328" s="2">
        <v>12020000000</v>
      </c>
    </row>
    <row r="329" spans="1:6">
      <c r="A329" s="32">
        <v>43346</v>
      </c>
      <c r="B329" s="42">
        <v>1721.94</v>
      </c>
      <c r="C329" s="42">
        <v>1726.3</v>
      </c>
      <c r="D329" s="42">
        <v>1718.87</v>
      </c>
      <c r="E329" s="42">
        <v>1721.21</v>
      </c>
      <c r="F329" s="2">
        <v>9890000000</v>
      </c>
    </row>
    <row r="330" spans="1:6">
      <c r="A330" s="32">
        <v>43343</v>
      </c>
      <c r="B330" s="42">
        <v>1714.48</v>
      </c>
      <c r="C330" s="42">
        <v>1721.99</v>
      </c>
      <c r="D330" s="42">
        <v>1712.92</v>
      </c>
      <c r="E330" s="42">
        <v>1721.58</v>
      </c>
      <c r="F330" s="2">
        <v>13720000000</v>
      </c>
    </row>
    <row r="331" spans="1:6">
      <c r="A331" s="32">
        <v>43342</v>
      </c>
      <c r="B331" s="42">
        <v>1726.28</v>
      </c>
      <c r="C331" s="42">
        <v>1730.65</v>
      </c>
      <c r="D331" s="42">
        <v>1720.41</v>
      </c>
      <c r="E331" s="42">
        <v>1720.43</v>
      </c>
      <c r="F331" s="2">
        <v>12030000000</v>
      </c>
    </row>
    <row r="332" spans="1:6">
      <c r="A332" s="32">
        <v>43341</v>
      </c>
      <c r="B332" s="42">
        <v>1721.36</v>
      </c>
      <c r="C332" s="42">
        <v>1723.03</v>
      </c>
      <c r="D332" s="42">
        <v>1714.14</v>
      </c>
      <c r="E332" s="42">
        <v>1722.26</v>
      </c>
      <c r="F332" s="2">
        <v>9490000000</v>
      </c>
    </row>
    <row r="333" spans="1:6">
      <c r="A333" s="32">
        <v>43340</v>
      </c>
      <c r="B333" s="42">
        <v>1723.96</v>
      </c>
      <c r="C333" s="42">
        <v>1728.22</v>
      </c>
      <c r="D333" s="42">
        <v>1716.57</v>
      </c>
      <c r="E333" s="42">
        <v>1718.15</v>
      </c>
      <c r="F333" s="2">
        <v>10240000000</v>
      </c>
    </row>
    <row r="334" spans="1:6">
      <c r="A334" s="32">
        <v>43339</v>
      </c>
      <c r="B334" s="42">
        <v>1710.04</v>
      </c>
      <c r="C334" s="42">
        <v>1717.45</v>
      </c>
      <c r="D334" s="42">
        <v>1708.94</v>
      </c>
      <c r="E334" s="42">
        <v>1717.24</v>
      </c>
      <c r="F334" s="2">
        <v>10290000000</v>
      </c>
    </row>
    <row r="335" spans="1:6">
      <c r="A335" s="32">
        <v>43336</v>
      </c>
      <c r="B335" s="42">
        <v>1701.31</v>
      </c>
      <c r="C335" s="42">
        <v>1704.59</v>
      </c>
      <c r="D335" s="42">
        <v>1697.59</v>
      </c>
      <c r="E335" s="42">
        <v>1703.82</v>
      </c>
      <c r="F335" s="2">
        <v>19840000000</v>
      </c>
    </row>
    <row r="336" spans="1:6">
      <c r="A336" s="32">
        <v>43335</v>
      </c>
      <c r="B336" s="42">
        <v>1705.63</v>
      </c>
      <c r="C336" s="42">
        <v>1709.9</v>
      </c>
      <c r="D336" s="42">
        <v>1701.3</v>
      </c>
      <c r="E336" s="42">
        <v>1704.8</v>
      </c>
      <c r="F336" s="2">
        <v>9910000000</v>
      </c>
    </row>
    <row r="337" spans="1:6">
      <c r="A337" s="32">
        <v>43334</v>
      </c>
      <c r="B337" s="42">
        <v>1695.94</v>
      </c>
      <c r="C337" s="42">
        <v>1705.91</v>
      </c>
      <c r="D337" s="42">
        <v>1695.34</v>
      </c>
      <c r="E337" s="42">
        <v>1698.3</v>
      </c>
      <c r="F337" s="2">
        <v>10510000000</v>
      </c>
    </row>
    <row r="338" spans="1:6">
      <c r="A338" s="32">
        <v>43333</v>
      </c>
      <c r="B338" s="42">
        <v>1703.82</v>
      </c>
      <c r="C338" s="42">
        <v>1707.63</v>
      </c>
      <c r="D338" s="42">
        <v>1688.59</v>
      </c>
      <c r="E338" s="42">
        <v>1694.63</v>
      </c>
      <c r="F338" s="2">
        <v>12460000000</v>
      </c>
    </row>
    <row r="339" spans="1:6">
      <c r="A339" s="32">
        <v>43332</v>
      </c>
      <c r="B339" s="42">
        <v>1698.97</v>
      </c>
      <c r="C339" s="42">
        <v>1705.33</v>
      </c>
      <c r="D339" s="42">
        <v>1693.9</v>
      </c>
      <c r="E339" s="42">
        <v>1701.42</v>
      </c>
      <c r="F339" s="2">
        <v>11130000000</v>
      </c>
    </row>
    <row r="340" spans="1:6">
      <c r="A340" s="32">
        <v>43329</v>
      </c>
      <c r="B340" s="42">
        <v>1688.01</v>
      </c>
      <c r="C340" s="42">
        <v>1694.39</v>
      </c>
      <c r="D340" s="42">
        <v>1687.03</v>
      </c>
      <c r="E340" s="42">
        <v>1690.04</v>
      </c>
      <c r="F340" s="2">
        <v>11990000000</v>
      </c>
    </row>
    <row r="341" spans="1:6">
      <c r="A341" s="32">
        <v>43328</v>
      </c>
      <c r="B341" s="42">
        <v>1673.33</v>
      </c>
      <c r="C341" s="42">
        <v>1682.43</v>
      </c>
      <c r="D341" s="42">
        <v>1664.9</v>
      </c>
      <c r="E341" s="42">
        <v>1680.96</v>
      </c>
      <c r="F341" s="2">
        <v>14190000000</v>
      </c>
    </row>
    <row r="342" spans="1:6">
      <c r="A342" s="32">
        <v>43327</v>
      </c>
      <c r="B342" s="42">
        <v>1688.64</v>
      </c>
      <c r="C342" s="42">
        <v>1690.24</v>
      </c>
      <c r="D342" s="42">
        <v>1673.77</v>
      </c>
      <c r="E342" s="42">
        <v>1676.29</v>
      </c>
      <c r="F342" s="2">
        <v>14450000000</v>
      </c>
    </row>
    <row r="343" spans="1:6">
      <c r="A343" s="32">
        <v>43326</v>
      </c>
      <c r="B343" s="42">
        <v>1692.77</v>
      </c>
      <c r="C343" s="42">
        <v>1697.06</v>
      </c>
      <c r="D343" s="42">
        <v>1684</v>
      </c>
      <c r="E343" s="42">
        <v>1695.35</v>
      </c>
      <c r="F343" s="2">
        <v>13090000000</v>
      </c>
    </row>
    <row r="344" spans="1:6">
      <c r="A344" s="32">
        <v>43322</v>
      </c>
      <c r="B344" s="42">
        <v>1718.5</v>
      </c>
      <c r="C344" s="42">
        <v>1719.03</v>
      </c>
      <c r="D344" s="42">
        <v>1705.2</v>
      </c>
      <c r="E344" s="42">
        <v>1705.96</v>
      </c>
      <c r="F344" s="2">
        <v>13790000000</v>
      </c>
    </row>
    <row r="345" spans="1:6">
      <c r="A345" s="32">
        <v>43321</v>
      </c>
      <c r="B345" s="42">
        <v>1722.69</v>
      </c>
      <c r="C345" s="42">
        <v>1729.42</v>
      </c>
      <c r="D345" s="42">
        <v>1716.9</v>
      </c>
      <c r="E345" s="42">
        <v>1722.48</v>
      </c>
      <c r="F345" s="2">
        <v>11960000000</v>
      </c>
    </row>
    <row r="346" spans="1:6">
      <c r="A346" s="32">
        <v>43320</v>
      </c>
      <c r="B346" s="42">
        <v>1709.16</v>
      </c>
      <c r="C346" s="42">
        <v>1723.5</v>
      </c>
      <c r="D346" s="42">
        <v>1707.59</v>
      </c>
      <c r="E346" s="42">
        <v>1721.64</v>
      </c>
      <c r="F346" s="2">
        <v>13340000000</v>
      </c>
    </row>
    <row r="347" spans="1:6">
      <c r="A347" s="32">
        <v>43319</v>
      </c>
      <c r="B347" s="42">
        <v>1701.01</v>
      </c>
      <c r="C347" s="42">
        <v>1710.75</v>
      </c>
      <c r="D347" s="42">
        <v>1692.01</v>
      </c>
      <c r="E347" s="42">
        <v>1707.26</v>
      </c>
      <c r="F347" s="2">
        <v>12790000000</v>
      </c>
    </row>
    <row r="348" spans="1:6">
      <c r="A348" s="32">
        <v>43318</v>
      </c>
      <c r="B348" s="42">
        <v>1718</v>
      </c>
      <c r="C348" s="42">
        <v>1721.05</v>
      </c>
      <c r="D348" s="42">
        <v>1694.98</v>
      </c>
      <c r="E348" s="42">
        <v>1696.24</v>
      </c>
      <c r="F348" s="2">
        <v>13140000000</v>
      </c>
    </row>
    <row r="349" spans="1:6">
      <c r="A349" s="32">
        <v>43315</v>
      </c>
      <c r="B349" s="42">
        <v>1708.19</v>
      </c>
      <c r="C349" s="42">
        <v>1715.48</v>
      </c>
      <c r="D349" s="42">
        <v>1706.54</v>
      </c>
      <c r="E349" s="42">
        <v>1712.09</v>
      </c>
      <c r="F349" s="2">
        <v>12000000000</v>
      </c>
    </row>
    <row r="350" spans="1:6">
      <c r="A350" s="32">
        <v>43314</v>
      </c>
      <c r="B350" s="42">
        <v>1716.33</v>
      </c>
      <c r="C350" s="42">
        <v>1718.41</v>
      </c>
      <c r="D350" s="42">
        <v>1700.69</v>
      </c>
      <c r="E350" s="42">
        <v>1708.28</v>
      </c>
      <c r="F350" s="2">
        <v>13440000000</v>
      </c>
    </row>
    <row r="351" spans="1:6">
      <c r="A351" s="32">
        <v>43313</v>
      </c>
      <c r="B351" s="42">
        <v>1705.48</v>
      </c>
      <c r="C351" s="42">
        <v>1722.72</v>
      </c>
      <c r="D351" s="42">
        <v>1703.39</v>
      </c>
      <c r="E351" s="42">
        <v>1722.01</v>
      </c>
      <c r="F351" s="2">
        <v>12960000000</v>
      </c>
    </row>
    <row r="352" spans="1:6">
      <c r="A352" s="32">
        <v>43312</v>
      </c>
      <c r="B352" s="42">
        <v>1704.04</v>
      </c>
      <c r="C352" s="42">
        <v>1709.58</v>
      </c>
      <c r="D352" s="42">
        <v>1695.59</v>
      </c>
      <c r="E352" s="42">
        <v>1701.79</v>
      </c>
      <c r="F352" s="2">
        <v>12260000000</v>
      </c>
    </row>
    <row r="353" spans="1:6">
      <c r="A353" s="32">
        <v>43307</v>
      </c>
      <c r="B353" s="42">
        <v>1700.53</v>
      </c>
      <c r="C353" s="42">
        <v>1702.3</v>
      </c>
      <c r="D353" s="42">
        <v>1689.69</v>
      </c>
      <c r="E353" s="42">
        <v>1701.87</v>
      </c>
      <c r="F353" s="2">
        <v>11820000000</v>
      </c>
    </row>
    <row r="354" spans="1:6">
      <c r="A354" s="32">
        <v>43306</v>
      </c>
      <c r="B354" s="42">
        <v>1678.63</v>
      </c>
      <c r="C354" s="42">
        <v>1695.2</v>
      </c>
      <c r="D354" s="42">
        <v>1678.09</v>
      </c>
      <c r="E354" s="42">
        <v>1690.08</v>
      </c>
      <c r="F354" s="2">
        <v>14300000000</v>
      </c>
    </row>
    <row r="355" spans="1:6">
      <c r="A355" s="32">
        <v>43305</v>
      </c>
      <c r="B355" s="42">
        <v>1684.2</v>
      </c>
      <c r="C355" s="42">
        <v>1686.81</v>
      </c>
      <c r="D355" s="42">
        <v>1667.95</v>
      </c>
      <c r="E355" s="42">
        <v>1674.22</v>
      </c>
      <c r="F355" s="2">
        <v>14040000000</v>
      </c>
    </row>
    <row r="356" spans="1:6">
      <c r="A356" s="32">
        <v>43304</v>
      </c>
      <c r="B356" s="42">
        <v>1672.11</v>
      </c>
      <c r="C356" s="42">
        <v>1681.74</v>
      </c>
      <c r="D356" s="42">
        <v>1665.92</v>
      </c>
      <c r="E356" s="42">
        <v>1675.75</v>
      </c>
      <c r="F356" s="2">
        <v>12530000000</v>
      </c>
    </row>
    <row r="357" spans="1:6">
      <c r="A357" s="32">
        <v>43301</v>
      </c>
      <c r="B357" s="42">
        <v>1651.36</v>
      </c>
      <c r="C357" s="42">
        <v>1674.32</v>
      </c>
      <c r="D357" s="42">
        <v>1648.44</v>
      </c>
      <c r="E357" s="42">
        <v>1671.06</v>
      </c>
      <c r="F357" s="2">
        <v>15740000000</v>
      </c>
    </row>
    <row r="358" spans="1:6">
      <c r="A358" s="32">
        <v>43300</v>
      </c>
      <c r="B358" s="42">
        <v>1641.22</v>
      </c>
      <c r="C358" s="42">
        <v>1650.85</v>
      </c>
      <c r="D358" s="42">
        <v>1637.2</v>
      </c>
      <c r="E358" s="42">
        <v>1646.89</v>
      </c>
      <c r="F358" s="2">
        <v>10080000000</v>
      </c>
    </row>
    <row r="359" spans="1:6">
      <c r="A359" s="32">
        <v>43299</v>
      </c>
      <c r="B359" s="42">
        <v>1632.17</v>
      </c>
      <c r="C359" s="42">
        <v>1638.52</v>
      </c>
      <c r="D359" s="42">
        <v>1630.04</v>
      </c>
      <c r="E359" s="42">
        <v>1635.85</v>
      </c>
      <c r="F359" s="2">
        <v>10140000000</v>
      </c>
    </row>
    <row r="360" spans="1:6">
      <c r="A360" s="32">
        <v>43298</v>
      </c>
      <c r="B360" s="42">
        <v>1624.68</v>
      </c>
      <c r="C360" s="42">
        <v>1629.18</v>
      </c>
      <c r="D360" s="42">
        <v>1616.59</v>
      </c>
      <c r="E360" s="42">
        <v>1626.07</v>
      </c>
      <c r="F360" s="2">
        <v>11190000000</v>
      </c>
    </row>
    <row r="361" spans="1:6">
      <c r="A361" s="32">
        <v>43297</v>
      </c>
      <c r="B361" s="42">
        <v>1638.35</v>
      </c>
      <c r="C361" s="42">
        <v>1640.74</v>
      </c>
      <c r="D361" s="42">
        <v>1623.42</v>
      </c>
      <c r="E361" s="42">
        <v>1627.69</v>
      </c>
      <c r="F361" s="2">
        <v>9960000000</v>
      </c>
    </row>
    <row r="362" spans="1:6">
      <c r="A362" s="32">
        <v>43294</v>
      </c>
      <c r="B362" s="42">
        <v>1645.33</v>
      </c>
      <c r="C362" s="42">
        <v>1649.66</v>
      </c>
      <c r="D362" s="42">
        <v>1639.49</v>
      </c>
      <c r="E362" s="42">
        <v>1643.52</v>
      </c>
      <c r="F362" s="2">
        <v>10420000000</v>
      </c>
    </row>
    <row r="363" spans="1:6">
      <c r="A363" s="32">
        <v>43293</v>
      </c>
      <c r="B363" s="42">
        <v>1634.73</v>
      </c>
      <c r="C363" s="42">
        <v>1646.12</v>
      </c>
      <c r="D363" s="42">
        <v>1633.53</v>
      </c>
      <c r="E363" s="42">
        <v>1640.93</v>
      </c>
      <c r="F363" s="2">
        <v>12130000000</v>
      </c>
    </row>
    <row r="364" spans="1:6">
      <c r="A364" s="32">
        <v>43292</v>
      </c>
      <c r="B364" s="42">
        <v>1631.63</v>
      </c>
      <c r="C364" s="42">
        <v>1641.34</v>
      </c>
      <c r="D364" s="42">
        <v>1628.03</v>
      </c>
      <c r="E364" s="42">
        <v>1636.63</v>
      </c>
      <c r="F364" s="2">
        <v>11550000000</v>
      </c>
    </row>
    <row r="365" spans="1:6">
      <c r="A365" s="32">
        <v>43291</v>
      </c>
      <c r="B365" s="42">
        <v>1629.01</v>
      </c>
      <c r="C365" s="42">
        <v>1643.76</v>
      </c>
      <c r="D365" s="42">
        <v>1617.51</v>
      </c>
      <c r="E365" s="42">
        <v>1643.6</v>
      </c>
      <c r="F365" s="2">
        <v>13390000000</v>
      </c>
    </row>
    <row r="366" spans="1:6">
      <c r="A366" s="32">
        <v>43290</v>
      </c>
      <c r="B366" s="42">
        <v>1626.11</v>
      </c>
      <c r="C366" s="42">
        <v>1629.21</v>
      </c>
      <c r="D366" s="42">
        <v>1620.92</v>
      </c>
      <c r="E366" s="42">
        <v>1622.96</v>
      </c>
      <c r="F366" s="2">
        <v>10820000000</v>
      </c>
    </row>
    <row r="367" spans="1:6">
      <c r="A367" s="32">
        <v>43287</v>
      </c>
      <c r="B367" s="42">
        <v>1598.76</v>
      </c>
      <c r="C367" s="42">
        <v>1618.36</v>
      </c>
      <c r="D367" s="42">
        <v>1587.94</v>
      </c>
      <c r="E367" s="42">
        <v>1614.76</v>
      </c>
      <c r="F367" s="2">
        <v>15560000000</v>
      </c>
    </row>
    <row r="368" spans="1:6">
      <c r="A368" s="32">
        <v>43286</v>
      </c>
      <c r="B368" s="42">
        <v>1626.78</v>
      </c>
      <c r="C368" s="42">
        <v>1628.79</v>
      </c>
      <c r="D368" s="42">
        <v>1596.55</v>
      </c>
      <c r="E368" s="42">
        <v>1601.42</v>
      </c>
      <c r="F368" s="2">
        <v>13750000000</v>
      </c>
    </row>
    <row r="369" spans="1:6">
      <c r="A369" s="32">
        <v>43285</v>
      </c>
      <c r="B369" s="42">
        <v>1625.17</v>
      </c>
      <c r="C369" s="42">
        <v>1632.43</v>
      </c>
      <c r="D369" s="42">
        <v>1615.9</v>
      </c>
      <c r="E369" s="42">
        <v>1629.2</v>
      </c>
      <c r="F369" s="2">
        <v>14480000000</v>
      </c>
    </row>
    <row r="370" spans="1:6">
      <c r="A370" s="32">
        <v>43284</v>
      </c>
      <c r="B370" s="42">
        <v>1607.2</v>
      </c>
      <c r="C370" s="42">
        <v>1628.3</v>
      </c>
      <c r="D370" s="42">
        <v>1600.71</v>
      </c>
      <c r="E370" s="42">
        <v>1626.62</v>
      </c>
      <c r="F370" s="2">
        <v>15300000000</v>
      </c>
    </row>
    <row r="371" spans="1:6">
      <c r="A371" s="32">
        <v>43283</v>
      </c>
      <c r="B371" s="42">
        <v>1597.01</v>
      </c>
      <c r="C371" s="42">
        <v>1607.41</v>
      </c>
      <c r="D371" s="42">
        <v>1586.34</v>
      </c>
      <c r="E371" s="42">
        <v>1607.27</v>
      </c>
      <c r="F371" s="2">
        <v>12100000000</v>
      </c>
    </row>
    <row r="372" spans="1:6">
      <c r="A372" s="32">
        <v>43280</v>
      </c>
      <c r="B372" s="42">
        <v>1604.51</v>
      </c>
      <c r="C372" s="42">
        <v>1609.86</v>
      </c>
      <c r="D372" s="42">
        <v>1584.68</v>
      </c>
      <c r="E372" s="42">
        <v>1595.58</v>
      </c>
      <c r="F372" s="2">
        <v>13850000000</v>
      </c>
    </row>
    <row r="373" spans="1:6">
      <c r="A373" s="32">
        <v>43279</v>
      </c>
      <c r="B373" s="42">
        <v>1623.67</v>
      </c>
      <c r="C373" s="42">
        <v>1624.97</v>
      </c>
      <c r="D373" s="42">
        <v>1599.44</v>
      </c>
      <c r="E373" s="42">
        <v>1599.54</v>
      </c>
      <c r="F373" s="2">
        <v>14050000000</v>
      </c>
    </row>
    <row r="374" spans="1:6">
      <c r="A374" s="32">
        <v>43278</v>
      </c>
      <c r="B374" s="42">
        <v>1631.39</v>
      </c>
      <c r="C374" s="42">
        <v>1638.73</v>
      </c>
      <c r="D374" s="42">
        <v>1615.38</v>
      </c>
      <c r="E374" s="42">
        <v>1618.66</v>
      </c>
      <c r="F374" s="2">
        <v>12530000000</v>
      </c>
    </row>
    <row r="375" spans="1:6">
      <c r="A375" s="32">
        <v>43277</v>
      </c>
      <c r="B375" s="42">
        <v>1615.79</v>
      </c>
      <c r="C375" s="42">
        <v>1629.02</v>
      </c>
      <c r="D375" s="42">
        <v>1608.24</v>
      </c>
      <c r="E375" s="42">
        <v>1623.98</v>
      </c>
      <c r="F375" s="2">
        <v>11340000000</v>
      </c>
    </row>
    <row r="376" spans="1:6">
      <c r="A376" s="32">
        <v>43276</v>
      </c>
      <c r="B376" s="42">
        <v>1641.02</v>
      </c>
      <c r="C376" s="42">
        <v>1646.37</v>
      </c>
      <c r="D376" s="42">
        <v>1621.12</v>
      </c>
      <c r="E376" s="42">
        <v>1622.28</v>
      </c>
      <c r="F376" s="2">
        <v>10430000000</v>
      </c>
    </row>
    <row r="377" spans="1:6">
      <c r="A377" s="32">
        <v>43273</v>
      </c>
      <c r="B377" s="42">
        <v>1641.58</v>
      </c>
      <c r="C377" s="42">
        <v>1648.74</v>
      </c>
      <c r="D377" s="42">
        <v>1628.16</v>
      </c>
      <c r="E377" s="42">
        <v>1634.98</v>
      </c>
      <c r="F377" s="2">
        <v>12830000000</v>
      </c>
    </row>
    <row r="378" spans="1:6">
      <c r="A378" s="32">
        <v>43272</v>
      </c>
      <c r="B378" s="42">
        <v>1663.63</v>
      </c>
      <c r="C378" s="42">
        <v>1664.97</v>
      </c>
      <c r="D378" s="42">
        <v>1629.26</v>
      </c>
      <c r="E378" s="42">
        <v>1634.44</v>
      </c>
      <c r="F378" s="2">
        <v>12470000000</v>
      </c>
    </row>
    <row r="379" spans="1:6">
      <c r="A379" s="32">
        <v>43271</v>
      </c>
      <c r="B379" s="42">
        <v>1647.22</v>
      </c>
      <c r="C379" s="42">
        <v>1665.27</v>
      </c>
      <c r="D379" s="42">
        <v>1640.13</v>
      </c>
      <c r="E379" s="42">
        <v>1664.26</v>
      </c>
      <c r="F379" s="2">
        <v>11880000000</v>
      </c>
    </row>
    <row r="380" spans="1:6">
      <c r="A380" s="32">
        <v>43270</v>
      </c>
      <c r="B380" s="42">
        <v>1667.47</v>
      </c>
      <c r="C380" s="42">
        <v>1674.28</v>
      </c>
      <c r="D380" s="42">
        <v>1633.72</v>
      </c>
      <c r="E380" s="42">
        <v>1639.54</v>
      </c>
      <c r="F380" s="2">
        <v>16030000000</v>
      </c>
    </row>
    <row r="381" spans="1:6">
      <c r="A381" s="32">
        <v>43269</v>
      </c>
      <c r="B381" s="42">
        <v>1694.24</v>
      </c>
      <c r="C381" s="42">
        <v>1695.44</v>
      </c>
      <c r="D381" s="42">
        <v>1679.48</v>
      </c>
      <c r="E381" s="42">
        <v>1679.68</v>
      </c>
      <c r="F381" s="2">
        <v>10290000000</v>
      </c>
    </row>
    <row r="382" spans="1:6">
      <c r="A382" s="32">
        <v>43266</v>
      </c>
      <c r="B382" s="42">
        <v>1706.52</v>
      </c>
      <c r="C382" s="42">
        <v>1711.4</v>
      </c>
      <c r="D382" s="42">
        <v>1695.39</v>
      </c>
      <c r="E382" s="42">
        <v>1704.82</v>
      </c>
      <c r="F382" s="2">
        <v>12040000000</v>
      </c>
    </row>
    <row r="383" spans="1:6">
      <c r="A383" s="32">
        <v>43265</v>
      </c>
      <c r="B383" s="42">
        <v>1714.52</v>
      </c>
      <c r="C383" s="42">
        <v>1715.65</v>
      </c>
      <c r="D383" s="42">
        <v>1699.66</v>
      </c>
      <c r="E383" s="42">
        <v>1709.86</v>
      </c>
      <c r="F383" s="2">
        <v>12040000000</v>
      </c>
    </row>
    <row r="384" spans="1:6">
      <c r="A384" s="32">
        <v>43264</v>
      </c>
      <c r="B384" s="42">
        <v>1726.47</v>
      </c>
      <c r="C384" s="42">
        <v>1728.54</v>
      </c>
      <c r="D384" s="42">
        <v>1716.38</v>
      </c>
      <c r="E384" s="42">
        <v>1718.34</v>
      </c>
      <c r="F384" s="2">
        <v>10210000000</v>
      </c>
    </row>
    <row r="385" spans="1:6">
      <c r="A385" s="32">
        <v>43263</v>
      </c>
      <c r="B385" s="42">
        <v>1725.91</v>
      </c>
      <c r="C385" s="42">
        <v>1735.84</v>
      </c>
      <c r="D385" s="42">
        <v>1724.71</v>
      </c>
      <c r="E385" s="42">
        <v>1727.29</v>
      </c>
      <c r="F385" s="2">
        <v>13790000000</v>
      </c>
    </row>
    <row r="386" spans="1:6">
      <c r="A386" s="32">
        <v>43262</v>
      </c>
      <c r="B386" s="42">
        <v>1723.8</v>
      </c>
      <c r="C386" s="42">
        <v>1727.63</v>
      </c>
      <c r="D386" s="42">
        <v>1716.25</v>
      </c>
      <c r="E386" s="42">
        <v>1723.11</v>
      </c>
      <c r="F386" s="2">
        <v>9200000000</v>
      </c>
    </row>
    <row r="387" spans="1:6">
      <c r="A387" s="32">
        <v>43259</v>
      </c>
      <c r="B387" s="42">
        <v>1735.78</v>
      </c>
      <c r="C387" s="42">
        <v>1736</v>
      </c>
      <c r="D387" s="42">
        <v>1721.88</v>
      </c>
      <c r="E387" s="42">
        <v>1722.04</v>
      </c>
      <c r="F387" s="2">
        <v>10470000000</v>
      </c>
    </row>
    <row r="388" spans="1:6">
      <c r="A388" s="32">
        <v>43258</v>
      </c>
      <c r="B388" s="42">
        <v>1743.63</v>
      </c>
      <c r="C388" s="42">
        <v>1746.5</v>
      </c>
      <c r="D388" s="42">
        <v>1733.01</v>
      </c>
      <c r="E388" s="42">
        <v>1733.05</v>
      </c>
      <c r="F388" s="2">
        <v>11530000000</v>
      </c>
    </row>
    <row r="389" spans="1:6">
      <c r="A389" s="32">
        <v>43257</v>
      </c>
      <c r="B389" s="42">
        <v>1737.23</v>
      </c>
      <c r="C389" s="42">
        <v>1744.48</v>
      </c>
      <c r="D389" s="42">
        <v>1731.98</v>
      </c>
      <c r="E389" s="42">
        <v>1738.7</v>
      </c>
      <c r="F389" s="2">
        <v>12710000000</v>
      </c>
    </row>
    <row r="390" spans="1:6">
      <c r="A390" s="32">
        <v>43256</v>
      </c>
      <c r="B390" s="42">
        <v>1722.38</v>
      </c>
      <c r="C390" s="42">
        <v>1734.32</v>
      </c>
      <c r="D390" s="42">
        <v>1710.81</v>
      </c>
      <c r="E390" s="42">
        <v>1732.71</v>
      </c>
      <c r="F390" s="2">
        <v>15590000000</v>
      </c>
    </row>
    <row r="391" spans="1:6">
      <c r="A391" s="32">
        <v>43255</v>
      </c>
      <c r="B391" s="42">
        <v>1718.92</v>
      </c>
      <c r="C391" s="42">
        <v>1724.71</v>
      </c>
      <c r="D391" s="42">
        <v>1715.82</v>
      </c>
      <c r="E391" s="42">
        <v>1721.29</v>
      </c>
      <c r="F391" s="2">
        <v>15000000000</v>
      </c>
    </row>
    <row r="392" spans="1:6">
      <c r="A392" s="32">
        <v>43252</v>
      </c>
      <c r="B392" s="42">
        <v>1726.85</v>
      </c>
      <c r="C392" s="42">
        <v>1729.88</v>
      </c>
      <c r="D392" s="42">
        <v>1714.62</v>
      </c>
      <c r="E392" s="42">
        <v>1719.82</v>
      </c>
      <c r="F392" s="2">
        <v>16830000000</v>
      </c>
    </row>
    <row r="393" spans="1:6">
      <c r="A393" s="32">
        <v>43251</v>
      </c>
      <c r="B393" s="42">
        <v>1730.02</v>
      </c>
      <c r="C393" s="42">
        <v>1734.28</v>
      </c>
      <c r="D393" s="42">
        <v>1720.31</v>
      </c>
      <c r="E393" s="42">
        <v>1726.97</v>
      </c>
      <c r="F393" s="2">
        <v>16040000000</v>
      </c>
    </row>
    <row r="394" spans="1:6">
      <c r="A394" s="32">
        <v>43250</v>
      </c>
      <c r="B394" s="42">
        <v>1717.5</v>
      </c>
      <c r="C394" s="42">
        <v>1726.65</v>
      </c>
      <c r="D394" s="42">
        <v>1711.73</v>
      </c>
      <c r="E394" s="42">
        <v>1725.14</v>
      </c>
      <c r="F394" s="2">
        <v>15880000000</v>
      </c>
    </row>
    <row r="395" spans="1:6">
      <c r="A395" s="32">
        <v>43248</v>
      </c>
      <c r="B395" s="42">
        <v>1735.81</v>
      </c>
      <c r="C395" s="42">
        <v>1738.92</v>
      </c>
      <c r="D395" s="42">
        <v>1729.66</v>
      </c>
      <c r="E395" s="42">
        <v>1734.54</v>
      </c>
      <c r="F395" s="2">
        <v>11840000000</v>
      </c>
    </row>
    <row r="396" spans="1:6">
      <c r="A396" s="32">
        <v>43245</v>
      </c>
      <c r="B396" s="42">
        <v>1735.95</v>
      </c>
      <c r="C396" s="42">
        <v>1741.23</v>
      </c>
      <c r="D396" s="42">
        <v>1725.06</v>
      </c>
      <c r="E396" s="42">
        <v>1741.21</v>
      </c>
      <c r="F396" s="2">
        <v>12350000000</v>
      </c>
    </row>
    <row r="397" spans="1:6">
      <c r="A397" s="32">
        <v>43244</v>
      </c>
      <c r="B397" s="42">
        <v>1747.17</v>
      </c>
      <c r="C397" s="42">
        <v>1751.04</v>
      </c>
      <c r="D397" s="42">
        <v>1729.95</v>
      </c>
      <c r="E397" s="42">
        <v>1732.51</v>
      </c>
      <c r="F397" s="2">
        <v>14240000000</v>
      </c>
    </row>
    <row r="398" spans="1:6">
      <c r="A398" s="32">
        <v>43243</v>
      </c>
      <c r="B398" s="42">
        <v>1756.2</v>
      </c>
      <c r="C398" s="42">
        <v>1761.61</v>
      </c>
      <c r="D398" s="42">
        <v>1747.75</v>
      </c>
      <c r="E398" s="42">
        <v>1753.6</v>
      </c>
      <c r="F398" s="2">
        <v>24690000000</v>
      </c>
    </row>
    <row r="399" spans="1:6">
      <c r="A399" s="32">
        <v>43242</v>
      </c>
      <c r="B399" s="42">
        <v>1769.23</v>
      </c>
      <c r="C399" s="42">
        <v>1771.16</v>
      </c>
      <c r="D399" s="42">
        <v>1754.82</v>
      </c>
      <c r="E399" s="42">
        <v>1760.71</v>
      </c>
      <c r="F399" s="2">
        <v>12230000000</v>
      </c>
    </row>
    <row r="400" spans="1:6">
      <c r="A400" s="32">
        <v>43241</v>
      </c>
      <c r="B400" s="42">
        <v>1761.04</v>
      </c>
      <c r="C400" s="42">
        <v>1770.13</v>
      </c>
      <c r="D400" s="42">
        <v>1758.47</v>
      </c>
      <c r="E400" s="42">
        <v>1768.31</v>
      </c>
      <c r="F400" s="2">
        <v>12150000000</v>
      </c>
    </row>
    <row r="401" spans="1:6">
      <c r="A401" s="32">
        <v>43238</v>
      </c>
      <c r="B401" s="42">
        <v>1752.57</v>
      </c>
      <c r="C401" s="42">
        <v>1755.53</v>
      </c>
      <c r="D401" s="42">
        <v>1745.9</v>
      </c>
      <c r="E401" s="42">
        <v>1754.17</v>
      </c>
      <c r="F401" s="2">
        <v>11680000000</v>
      </c>
    </row>
    <row r="402" spans="1:6">
      <c r="A402" s="32">
        <v>43237</v>
      </c>
      <c r="B402" s="42">
        <v>1752.24</v>
      </c>
      <c r="C402" s="42">
        <v>1757.97</v>
      </c>
      <c r="D402" s="42">
        <v>1745.45</v>
      </c>
      <c r="E402" s="42">
        <v>1751.2</v>
      </c>
      <c r="F402" s="2">
        <v>14040000000</v>
      </c>
    </row>
    <row r="403" spans="1:6">
      <c r="A403" s="32">
        <v>43236</v>
      </c>
      <c r="B403" s="42">
        <v>1757.9</v>
      </c>
      <c r="C403" s="42">
        <v>1761.06</v>
      </c>
      <c r="D403" s="42">
        <v>1747.32</v>
      </c>
      <c r="E403" s="42">
        <v>1750.62</v>
      </c>
      <c r="F403" s="2">
        <v>13970000000</v>
      </c>
    </row>
    <row r="404" spans="1:6">
      <c r="A404" s="32">
        <v>43235</v>
      </c>
      <c r="B404" s="42">
        <v>1773.41</v>
      </c>
      <c r="C404" s="42">
        <v>1774.71</v>
      </c>
      <c r="D404" s="42">
        <v>1759.22</v>
      </c>
      <c r="E404" s="42">
        <v>1766.86</v>
      </c>
      <c r="F404" s="2">
        <v>15130000000</v>
      </c>
    </row>
    <row r="405" spans="1:6">
      <c r="A405" s="32">
        <v>43234</v>
      </c>
      <c r="B405" s="42">
        <v>1770.32</v>
      </c>
      <c r="C405" s="42">
        <v>1774.82</v>
      </c>
      <c r="D405" s="42">
        <v>1767.23</v>
      </c>
      <c r="E405" s="42">
        <v>1773.1</v>
      </c>
      <c r="F405" s="2">
        <v>15510000000</v>
      </c>
    </row>
    <row r="406" spans="1:6">
      <c r="A406" s="32">
        <v>43231</v>
      </c>
      <c r="B406" s="42">
        <v>1749.94</v>
      </c>
      <c r="C406" s="42">
        <v>1765.94</v>
      </c>
      <c r="D406" s="42">
        <v>1746.03</v>
      </c>
      <c r="E406" s="42">
        <v>1765.93</v>
      </c>
      <c r="F406" s="2">
        <v>22330000000</v>
      </c>
    </row>
    <row r="407" spans="1:6">
      <c r="A407" s="32">
        <v>43230</v>
      </c>
      <c r="B407" s="42">
        <v>1762.33</v>
      </c>
      <c r="C407" s="42">
        <v>1763.06</v>
      </c>
      <c r="D407" s="42">
        <v>1744.55</v>
      </c>
      <c r="E407" s="42">
        <v>1746.89</v>
      </c>
      <c r="F407" s="2">
        <v>12550000000</v>
      </c>
    </row>
    <row r="408" spans="1:6">
      <c r="A408" s="32">
        <v>43229</v>
      </c>
      <c r="B408" s="42">
        <v>1761.19</v>
      </c>
      <c r="C408" s="42">
        <v>1763.25</v>
      </c>
      <c r="D408" s="42">
        <v>1751.22</v>
      </c>
      <c r="E408" s="42">
        <v>1756.9</v>
      </c>
      <c r="F408" s="2">
        <v>12670000000</v>
      </c>
    </row>
    <row r="409" spans="1:6">
      <c r="A409" s="32">
        <v>43228</v>
      </c>
      <c r="B409" s="42">
        <v>1780.49</v>
      </c>
      <c r="C409" s="42">
        <v>1782.08</v>
      </c>
      <c r="D409" s="42">
        <v>1756.72</v>
      </c>
      <c r="E409" s="42">
        <v>1760.25</v>
      </c>
      <c r="F409" s="2">
        <v>13720000000</v>
      </c>
    </row>
    <row r="410" spans="1:6">
      <c r="A410" s="32">
        <v>43227</v>
      </c>
      <c r="B410" s="42">
        <v>1785.65</v>
      </c>
      <c r="C410" s="42">
        <v>1789.77</v>
      </c>
      <c r="D410" s="42">
        <v>1776.32</v>
      </c>
      <c r="E410" s="42">
        <v>1779.8</v>
      </c>
      <c r="F410" s="2">
        <v>9980000000</v>
      </c>
    </row>
    <row r="411" spans="1:6">
      <c r="A411" s="32">
        <v>43224</v>
      </c>
      <c r="B411" s="42">
        <v>1786.87</v>
      </c>
      <c r="C411" s="42">
        <v>1792.22</v>
      </c>
      <c r="D411" s="42">
        <v>1777.1</v>
      </c>
      <c r="E411" s="42">
        <v>1779.87</v>
      </c>
      <c r="F411" s="2">
        <v>11940000000</v>
      </c>
    </row>
    <row r="412" spans="1:6">
      <c r="A412" s="32">
        <v>43223</v>
      </c>
      <c r="B412" s="42">
        <v>1786.55</v>
      </c>
      <c r="C412" s="42">
        <v>1797.56</v>
      </c>
      <c r="D412" s="42">
        <v>1786</v>
      </c>
      <c r="E412" s="42">
        <v>1790.8</v>
      </c>
      <c r="F412" s="2">
        <v>12280000000</v>
      </c>
    </row>
    <row r="413" spans="1:6">
      <c r="A413" s="32">
        <v>43222</v>
      </c>
      <c r="B413" s="42">
        <v>1777.27</v>
      </c>
      <c r="C413" s="42">
        <v>1791.14</v>
      </c>
      <c r="D413" s="42">
        <v>1771.65</v>
      </c>
      <c r="E413" s="42">
        <v>1791.13</v>
      </c>
      <c r="F413" s="2">
        <v>11080000000</v>
      </c>
    </row>
    <row r="414" spans="1:6">
      <c r="A414" s="32">
        <v>43220</v>
      </c>
      <c r="B414" s="42">
        <v>1782.1</v>
      </c>
      <c r="C414" s="42">
        <v>1784.5</v>
      </c>
      <c r="D414" s="42">
        <v>1776.94</v>
      </c>
      <c r="E414" s="42">
        <v>1780.11</v>
      </c>
      <c r="F414" s="2">
        <v>9940000000</v>
      </c>
    </row>
    <row r="415" spans="1:6">
      <c r="A415" s="32">
        <v>43217</v>
      </c>
      <c r="B415" s="42">
        <v>1777.38</v>
      </c>
      <c r="C415" s="42">
        <v>1779.8</v>
      </c>
      <c r="D415" s="42">
        <v>1767.12</v>
      </c>
      <c r="E415" s="42">
        <v>1778.02</v>
      </c>
      <c r="F415" s="2">
        <v>11070000000</v>
      </c>
    </row>
    <row r="416" spans="1:6">
      <c r="A416" s="32">
        <v>43216</v>
      </c>
      <c r="B416" s="42">
        <v>1780.01</v>
      </c>
      <c r="C416" s="42">
        <v>1785.28</v>
      </c>
      <c r="D416" s="42">
        <v>1770.34</v>
      </c>
      <c r="E416" s="42">
        <v>1773.2</v>
      </c>
      <c r="F416" s="2">
        <v>11710000000</v>
      </c>
    </row>
    <row r="417" spans="1:6">
      <c r="A417" s="32">
        <v>43215</v>
      </c>
      <c r="B417" s="42">
        <v>1781.28</v>
      </c>
      <c r="C417" s="42">
        <v>1787</v>
      </c>
      <c r="D417" s="42">
        <v>1772.35</v>
      </c>
      <c r="E417" s="42">
        <v>1779.52</v>
      </c>
      <c r="F417" s="2">
        <v>12480000000</v>
      </c>
    </row>
    <row r="418" spans="1:6">
      <c r="A418" s="32">
        <v>43214</v>
      </c>
      <c r="B418" s="42">
        <v>1796.5</v>
      </c>
      <c r="C418" s="42">
        <v>1803.21</v>
      </c>
      <c r="D418" s="42">
        <v>1784.48</v>
      </c>
      <c r="E418" s="42">
        <v>1788.2</v>
      </c>
      <c r="F418" s="2">
        <v>13650000000</v>
      </c>
    </row>
    <row r="419" spans="1:6">
      <c r="A419" s="32">
        <v>43213</v>
      </c>
      <c r="B419" s="42">
        <v>1800.78</v>
      </c>
      <c r="C419" s="42">
        <v>1805.78</v>
      </c>
      <c r="D419" s="42">
        <v>1789.02</v>
      </c>
      <c r="E419" s="42">
        <v>1790.14</v>
      </c>
      <c r="F419" s="2">
        <v>12340000000</v>
      </c>
    </row>
    <row r="420" spans="1:6">
      <c r="A420" s="32">
        <v>43210</v>
      </c>
      <c r="B420" s="42">
        <v>1797.31</v>
      </c>
      <c r="C420" s="42">
        <v>1805.73</v>
      </c>
      <c r="D420" s="42">
        <v>1787.95</v>
      </c>
      <c r="E420" s="42">
        <v>1801.28</v>
      </c>
      <c r="F420" s="2">
        <v>12670000000</v>
      </c>
    </row>
    <row r="421" spans="1:6">
      <c r="A421" s="32">
        <v>43209</v>
      </c>
      <c r="B421" s="42">
        <v>1778.2</v>
      </c>
      <c r="C421" s="42">
        <v>1795.3</v>
      </c>
      <c r="D421" s="42">
        <v>1776.81</v>
      </c>
      <c r="E421" s="42">
        <v>1794.94</v>
      </c>
      <c r="F421" s="2">
        <v>13710000000</v>
      </c>
    </row>
    <row r="422" spans="1:6">
      <c r="A422" s="32">
        <v>43208</v>
      </c>
      <c r="B422" s="42">
        <v>1761.83</v>
      </c>
      <c r="C422" s="42">
        <v>1772.27</v>
      </c>
      <c r="D422" s="42">
        <v>1760.67</v>
      </c>
      <c r="E422" s="42">
        <v>1771.56</v>
      </c>
      <c r="F422" s="2">
        <v>10750000000</v>
      </c>
    </row>
    <row r="423" spans="1:6">
      <c r="A423" s="32">
        <v>43207</v>
      </c>
      <c r="B423" s="42">
        <v>1766.82</v>
      </c>
      <c r="C423" s="42">
        <v>1768.38</v>
      </c>
      <c r="D423" s="42">
        <v>1752.43</v>
      </c>
      <c r="E423" s="42">
        <v>1755.53</v>
      </c>
      <c r="F423" s="2">
        <v>9350000000</v>
      </c>
    </row>
    <row r="424" spans="1:6">
      <c r="A424" s="32">
        <v>43202</v>
      </c>
      <c r="B424" s="42">
        <v>1764.2</v>
      </c>
      <c r="C424" s="42">
        <v>1770.01</v>
      </c>
      <c r="D424" s="42">
        <v>1757.76</v>
      </c>
      <c r="E424" s="42">
        <v>1767.17</v>
      </c>
      <c r="F424" s="2">
        <v>9070000000</v>
      </c>
    </row>
    <row r="425" spans="1:6">
      <c r="A425" s="32">
        <v>43201</v>
      </c>
      <c r="B425" s="42">
        <v>1763.31</v>
      </c>
      <c r="C425" s="42">
        <v>1770.47</v>
      </c>
      <c r="D425" s="42">
        <v>1756.4</v>
      </c>
      <c r="E425" s="42">
        <v>1763.22</v>
      </c>
      <c r="F425" s="2">
        <v>10380000000</v>
      </c>
    </row>
    <row r="426" spans="1:6">
      <c r="A426" s="32">
        <v>43200</v>
      </c>
      <c r="B426" s="42">
        <v>1757</v>
      </c>
      <c r="C426" s="42">
        <v>1761.76</v>
      </c>
      <c r="D426" s="42">
        <v>1744.73</v>
      </c>
      <c r="E426" s="42">
        <v>1760.95</v>
      </c>
      <c r="F426" s="2">
        <v>11310000000</v>
      </c>
    </row>
    <row r="427" spans="1:6">
      <c r="A427" s="32">
        <v>43199</v>
      </c>
      <c r="B427" s="42">
        <v>1737.08</v>
      </c>
      <c r="C427" s="42">
        <v>1752.91</v>
      </c>
      <c r="D427" s="42">
        <v>1735.38</v>
      </c>
      <c r="E427" s="42">
        <v>1751.27</v>
      </c>
      <c r="F427" s="2">
        <v>11430000000</v>
      </c>
    </row>
    <row r="428" spans="1:6">
      <c r="A428" s="32">
        <v>43195</v>
      </c>
      <c r="B428" s="42">
        <v>1735.74</v>
      </c>
      <c r="C428" s="42">
        <v>1740.84</v>
      </c>
      <c r="D428" s="42">
        <v>1724.88</v>
      </c>
      <c r="E428" s="42">
        <v>1739.92</v>
      </c>
      <c r="F428" s="2">
        <v>12910000000</v>
      </c>
    </row>
    <row r="429" spans="1:6">
      <c r="A429" s="32">
        <v>43194</v>
      </c>
      <c r="B429" s="42">
        <v>1767.46</v>
      </c>
      <c r="C429" s="42">
        <v>1771.58</v>
      </c>
      <c r="D429" s="42">
        <v>1724.9</v>
      </c>
      <c r="E429" s="42">
        <v>1724.98</v>
      </c>
      <c r="F429" s="2">
        <v>17120000000</v>
      </c>
    </row>
    <row r="430" spans="1:6">
      <c r="A430" s="32">
        <v>43193</v>
      </c>
      <c r="B430" s="42">
        <v>1773.7</v>
      </c>
      <c r="C430" s="42">
        <v>1779.04</v>
      </c>
      <c r="D430" s="42">
        <v>1764.18</v>
      </c>
      <c r="E430" s="42">
        <v>1765.24</v>
      </c>
      <c r="F430" s="2">
        <v>11080000000</v>
      </c>
    </row>
    <row r="431" spans="1:6">
      <c r="A431" s="32">
        <v>43192</v>
      </c>
      <c r="B431" s="42">
        <v>1774.72</v>
      </c>
      <c r="C431" s="42">
        <v>1783.73</v>
      </c>
      <c r="D431" s="42">
        <v>1771.58</v>
      </c>
      <c r="E431" s="42">
        <v>1782.28</v>
      </c>
      <c r="F431" s="2">
        <v>9090000000</v>
      </c>
    </row>
    <row r="432" spans="1:6">
      <c r="A432" s="32">
        <v>43189</v>
      </c>
      <c r="B432" s="42">
        <v>1774.34</v>
      </c>
      <c r="C432" s="42">
        <v>1777.06</v>
      </c>
      <c r="D432" s="42">
        <v>1753.93</v>
      </c>
      <c r="E432" s="42">
        <v>1776.26</v>
      </c>
      <c r="F432" s="2">
        <v>13030000000</v>
      </c>
    </row>
    <row r="433" spans="1:6">
      <c r="A433" s="32">
        <v>43188</v>
      </c>
      <c r="B433" s="42">
        <v>1783.72</v>
      </c>
      <c r="C433" s="42">
        <v>1789</v>
      </c>
      <c r="D433" s="42">
        <v>1756.62</v>
      </c>
      <c r="E433" s="42">
        <v>1766.92</v>
      </c>
      <c r="F433" s="2">
        <v>12450000000</v>
      </c>
    </row>
    <row r="434" spans="1:6">
      <c r="A434" s="32">
        <v>43187</v>
      </c>
      <c r="B434" s="42">
        <v>1797.84</v>
      </c>
      <c r="C434" s="42">
        <v>1802.71</v>
      </c>
      <c r="D434" s="42">
        <v>1782.07</v>
      </c>
      <c r="E434" s="42">
        <v>1784.99</v>
      </c>
      <c r="F434" s="2">
        <v>10550000000</v>
      </c>
    </row>
    <row r="435" spans="1:6">
      <c r="A435" s="32">
        <v>43186</v>
      </c>
      <c r="B435" s="42">
        <v>1807.79</v>
      </c>
      <c r="C435" s="42">
        <v>1810.53</v>
      </c>
      <c r="D435" s="42">
        <v>1799.88</v>
      </c>
      <c r="E435" s="42">
        <v>1802.58</v>
      </c>
      <c r="F435" s="2">
        <v>10510000000</v>
      </c>
    </row>
    <row r="436" spans="1:6">
      <c r="A436" s="32">
        <v>43185</v>
      </c>
      <c r="B436" s="42">
        <v>1797.27</v>
      </c>
      <c r="C436" s="42">
        <v>1801.5</v>
      </c>
      <c r="D436" s="42">
        <v>1792.99</v>
      </c>
      <c r="E436" s="42">
        <v>1801.1</v>
      </c>
      <c r="F436" s="2">
        <v>7920000000</v>
      </c>
    </row>
    <row r="437" spans="1:6">
      <c r="A437" s="32">
        <v>43182</v>
      </c>
      <c r="B437" s="42">
        <v>1780.88</v>
      </c>
      <c r="C437" s="42">
        <v>1794.21</v>
      </c>
      <c r="D437" s="42">
        <v>1779.73</v>
      </c>
      <c r="E437" s="42">
        <v>1794.21</v>
      </c>
      <c r="F437" s="2">
        <v>10880000000</v>
      </c>
    </row>
    <row r="438" spans="1:6">
      <c r="A438" s="32">
        <v>43181</v>
      </c>
      <c r="B438" s="42">
        <v>1809</v>
      </c>
      <c r="C438" s="42">
        <v>1813.64</v>
      </c>
      <c r="D438" s="42">
        <v>1796.75</v>
      </c>
      <c r="E438" s="42">
        <v>1798.55</v>
      </c>
      <c r="F438" s="2">
        <v>10250000000</v>
      </c>
    </row>
    <row r="439" spans="1:6">
      <c r="A439" s="32">
        <v>43180</v>
      </c>
      <c r="B439" s="42">
        <v>1806.92</v>
      </c>
      <c r="C439" s="42">
        <v>1808.85</v>
      </c>
      <c r="D439" s="42">
        <v>1796.35</v>
      </c>
      <c r="E439" s="42">
        <v>1801.43</v>
      </c>
      <c r="F439" s="2">
        <v>9940000000</v>
      </c>
    </row>
    <row r="440" spans="1:6">
      <c r="A440" s="32">
        <v>43179</v>
      </c>
      <c r="B440" s="42">
        <v>1793.62</v>
      </c>
      <c r="C440" s="42">
        <v>1803.84</v>
      </c>
      <c r="D440" s="42">
        <v>1793.09</v>
      </c>
      <c r="E440" s="42">
        <v>1799.84</v>
      </c>
      <c r="F440" s="2">
        <v>9550000000</v>
      </c>
    </row>
    <row r="441" spans="1:6">
      <c r="A441" s="32">
        <v>43178</v>
      </c>
      <c r="B441" s="42">
        <v>1812.33</v>
      </c>
      <c r="C441" s="42">
        <v>1812.94</v>
      </c>
      <c r="D441" s="42">
        <v>1797.58</v>
      </c>
      <c r="E441" s="42">
        <v>1799.79</v>
      </c>
      <c r="F441" s="2">
        <v>10510000000</v>
      </c>
    </row>
    <row r="442" spans="1:6">
      <c r="A442" s="32">
        <v>43175</v>
      </c>
      <c r="B442" s="42">
        <v>1813</v>
      </c>
      <c r="C442" s="42">
        <v>1818.53</v>
      </c>
      <c r="D442" s="42">
        <v>1809.41</v>
      </c>
      <c r="E442" s="42">
        <v>1811.76</v>
      </c>
      <c r="F442" s="2">
        <v>11820000000</v>
      </c>
    </row>
    <row r="443" spans="1:6">
      <c r="A443" s="32">
        <v>43174</v>
      </c>
      <c r="B443" s="42">
        <v>1815.12</v>
      </c>
      <c r="C443" s="42">
        <v>1820.51</v>
      </c>
      <c r="D443" s="42">
        <v>1809.94</v>
      </c>
      <c r="E443" s="42">
        <v>1816.08</v>
      </c>
      <c r="F443" s="2">
        <v>12410000000</v>
      </c>
    </row>
    <row r="444" spans="1:6">
      <c r="A444" s="32">
        <v>43173</v>
      </c>
      <c r="B444" s="42">
        <v>1805.22</v>
      </c>
      <c r="C444" s="42">
        <v>1817.36</v>
      </c>
      <c r="D444" s="42">
        <v>1803.6</v>
      </c>
      <c r="E444" s="42">
        <v>1813.4</v>
      </c>
      <c r="F444" s="2">
        <v>14920000000</v>
      </c>
    </row>
    <row r="445" spans="1:6">
      <c r="A445" s="32">
        <v>43172</v>
      </c>
      <c r="B445" s="42">
        <v>1797.8</v>
      </c>
      <c r="C445" s="42">
        <v>1809.9</v>
      </c>
      <c r="D445" s="42">
        <v>1793.78</v>
      </c>
      <c r="E445" s="42">
        <v>1809.9</v>
      </c>
      <c r="F445" s="2">
        <v>14740000000</v>
      </c>
    </row>
    <row r="446" spans="1:6">
      <c r="A446" s="32">
        <v>43171</v>
      </c>
      <c r="B446" s="42">
        <v>1789.16</v>
      </c>
      <c r="C446" s="42">
        <v>1800.33</v>
      </c>
      <c r="D446" s="42">
        <v>1784.39</v>
      </c>
      <c r="E446" s="42">
        <v>1800.32</v>
      </c>
      <c r="F446" s="2">
        <v>11130000000</v>
      </c>
    </row>
    <row r="447" spans="1:6">
      <c r="A447" s="32">
        <v>43168</v>
      </c>
      <c r="B447" s="42">
        <v>1784.88</v>
      </c>
      <c r="C447" s="42">
        <v>1786.43</v>
      </c>
      <c r="D447" s="42">
        <v>1761.63</v>
      </c>
      <c r="E447" s="42">
        <v>1775.37</v>
      </c>
      <c r="F447" s="2">
        <v>13750000000</v>
      </c>
    </row>
    <row r="448" spans="1:6">
      <c r="A448" s="32">
        <v>43167</v>
      </c>
      <c r="B448" s="42">
        <v>1785.44</v>
      </c>
      <c r="C448" s="42">
        <v>1794.18</v>
      </c>
      <c r="D448" s="42">
        <v>1772.79</v>
      </c>
      <c r="E448" s="42">
        <v>1778.9</v>
      </c>
      <c r="F448" s="2">
        <v>12930000000</v>
      </c>
    </row>
    <row r="449" spans="1:6">
      <c r="A449" s="32">
        <v>43166</v>
      </c>
      <c r="B449" s="42">
        <v>1797.04</v>
      </c>
      <c r="C449" s="42">
        <v>1798.13</v>
      </c>
      <c r="D449" s="42">
        <v>1780.12</v>
      </c>
      <c r="E449" s="42">
        <v>1781.64</v>
      </c>
      <c r="F449" s="2">
        <v>14630000000</v>
      </c>
    </row>
    <row r="450" spans="1:6">
      <c r="A450" s="32">
        <v>43165</v>
      </c>
      <c r="B450" s="42">
        <v>1812.27</v>
      </c>
      <c r="C450" s="42">
        <v>1817.93</v>
      </c>
      <c r="D450" s="42">
        <v>1795.34</v>
      </c>
      <c r="E450" s="42">
        <v>1799.06</v>
      </c>
      <c r="F450" s="2">
        <v>13780000000</v>
      </c>
    </row>
    <row r="451" spans="1:6">
      <c r="A451" s="32">
        <v>43164</v>
      </c>
      <c r="B451" s="42">
        <v>1812.27</v>
      </c>
      <c r="C451" s="42">
        <v>1817.08</v>
      </c>
      <c r="D451" s="42">
        <v>1792.14</v>
      </c>
      <c r="E451" s="42">
        <v>1808.89</v>
      </c>
      <c r="F451" s="2">
        <v>13920000000</v>
      </c>
    </row>
    <row r="452" spans="1:6">
      <c r="A452" s="32">
        <v>43161</v>
      </c>
      <c r="B452" s="42">
        <v>1821.17</v>
      </c>
      <c r="C452" s="42">
        <v>1825.63</v>
      </c>
      <c r="D452" s="42">
        <v>1806.84</v>
      </c>
      <c r="E452" s="42">
        <v>1811.98</v>
      </c>
      <c r="F452" s="2">
        <v>10600000000</v>
      </c>
    </row>
    <row r="453" spans="1:6">
      <c r="A453" s="32">
        <v>43159</v>
      </c>
      <c r="B453" s="42">
        <v>1828.62</v>
      </c>
      <c r="C453" s="42">
        <v>1840.06</v>
      </c>
      <c r="D453" s="42">
        <v>1825.67</v>
      </c>
      <c r="E453" s="42">
        <v>1830.13</v>
      </c>
      <c r="F453" s="2">
        <v>12070000000</v>
      </c>
    </row>
    <row r="454" spans="1:6">
      <c r="A454" s="32">
        <v>43158</v>
      </c>
      <c r="B454" s="42">
        <v>1842.92</v>
      </c>
      <c r="C454" s="42">
        <v>1852.51</v>
      </c>
      <c r="D454" s="42">
        <v>1830.03</v>
      </c>
      <c r="E454" s="42">
        <v>1830.39</v>
      </c>
      <c r="F454" s="2">
        <v>15920000000</v>
      </c>
    </row>
    <row r="455" spans="1:6">
      <c r="A455" s="32">
        <v>43157</v>
      </c>
      <c r="B455" s="42">
        <v>1811.54</v>
      </c>
      <c r="C455" s="42">
        <v>1834.21</v>
      </c>
      <c r="D455" s="42">
        <v>1809.33</v>
      </c>
      <c r="E455" s="42">
        <v>1834.18</v>
      </c>
      <c r="F455" s="2">
        <v>11050000000</v>
      </c>
    </row>
    <row r="456" spans="1:6">
      <c r="A456" s="32">
        <v>43154</v>
      </c>
      <c r="B456" s="42">
        <v>1792.83</v>
      </c>
      <c r="C456" s="42">
        <v>1809.3</v>
      </c>
      <c r="D456" s="42">
        <v>1790.28</v>
      </c>
      <c r="E456" s="42">
        <v>1808.06</v>
      </c>
      <c r="F456" s="2">
        <v>19010000000</v>
      </c>
    </row>
    <row r="457" spans="1:6">
      <c r="A457" s="32">
        <v>43153</v>
      </c>
      <c r="B457" s="42">
        <v>1801.08</v>
      </c>
      <c r="C457" s="42">
        <v>1808.58</v>
      </c>
      <c r="D457" s="42">
        <v>1787.7</v>
      </c>
      <c r="E457" s="42">
        <v>1788.63</v>
      </c>
      <c r="F457" s="2">
        <v>16030000000</v>
      </c>
    </row>
    <row r="458" spans="1:6">
      <c r="A458" s="32">
        <v>43152</v>
      </c>
      <c r="B458" s="42">
        <v>1812.49</v>
      </c>
      <c r="C458" s="42">
        <v>1814.83</v>
      </c>
      <c r="D458" s="42">
        <v>1797.79</v>
      </c>
      <c r="E458" s="42">
        <v>1801.16</v>
      </c>
      <c r="F458" s="2">
        <v>12100000000</v>
      </c>
    </row>
    <row r="459" spans="1:6">
      <c r="A459" s="32">
        <v>43151</v>
      </c>
      <c r="B459" s="42">
        <v>1811.16</v>
      </c>
      <c r="C459" s="42">
        <v>1815.33</v>
      </c>
      <c r="D459" s="42">
        <v>1801.02</v>
      </c>
      <c r="E459" s="42">
        <v>1801.02</v>
      </c>
      <c r="F459" s="2">
        <v>8520000000</v>
      </c>
    </row>
    <row r="460" spans="1:6">
      <c r="A460" s="32">
        <v>43150</v>
      </c>
      <c r="B460" s="42">
        <v>1812.36</v>
      </c>
      <c r="C460" s="42">
        <v>1819.36</v>
      </c>
      <c r="D460" s="42">
        <v>1809.14</v>
      </c>
      <c r="E460" s="42">
        <v>1809.67</v>
      </c>
      <c r="F460" s="2">
        <v>9530000000</v>
      </c>
    </row>
    <row r="461" spans="1:6">
      <c r="A461" s="32">
        <v>43147</v>
      </c>
      <c r="B461" s="42">
        <v>1804.6</v>
      </c>
      <c r="C461" s="42">
        <v>1809.75</v>
      </c>
      <c r="D461" s="42">
        <v>1802.39</v>
      </c>
      <c r="E461" s="42">
        <v>1805.89</v>
      </c>
      <c r="F461" s="2">
        <v>6890000000</v>
      </c>
    </row>
    <row r="462" spans="1:6">
      <c r="A462" s="32">
        <v>43146</v>
      </c>
      <c r="B462" s="42">
        <v>1799.69</v>
      </c>
      <c r="C462" s="42">
        <v>1801.95</v>
      </c>
      <c r="D462" s="42">
        <v>1790.8</v>
      </c>
      <c r="E462" s="42">
        <v>1800.86</v>
      </c>
      <c r="F462" s="2">
        <v>8690000000</v>
      </c>
    </row>
    <row r="463" spans="1:6">
      <c r="A463" s="32">
        <v>43145</v>
      </c>
      <c r="B463" s="42">
        <v>1805.68</v>
      </c>
      <c r="C463" s="42">
        <v>1806.78</v>
      </c>
      <c r="D463" s="42">
        <v>1792</v>
      </c>
      <c r="E463" s="42">
        <v>1792.09</v>
      </c>
      <c r="F463" s="2">
        <v>9840000000</v>
      </c>
    </row>
    <row r="464" spans="1:6">
      <c r="A464" s="32">
        <v>43144</v>
      </c>
      <c r="B464" s="42">
        <v>1804.64</v>
      </c>
      <c r="C464" s="42">
        <v>1806.11</v>
      </c>
      <c r="D464" s="42">
        <v>1797.29</v>
      </c>
      <c r="E464" s="42">
        <v>1800.03</v>
      </c>
      <c r="F464" s="2">
        <v>9700000000</v>
      </c>
    </row>
    <row r="465" spans="1:6">
      <c r="A465" s="32">
        <v>43143</v>
      </c>
      <c r="B465" s="42">
        <v>1790</v>
      </c>
      <c r="C465" s="42">
        <v>1799.45</v>
      </c>
      <c r="D465" s="42">
        <v>1786.25</v>
      </c>
      <c r="E465" s="42">
        <v>1799.45</v>
      </c>
      <c r="F465" s="2">
        <v>9110000000</v>
      </c>
    </row>
    <row r="466" spans="1:6">
      <c r="A466" s="32">
        <v>43140</v>
      </c>
      <c r="B466" s="42">
        <v>1767.31</v>
      </c>
      <c r="C466" s="42">
        <v>1788.01</v>
      </c>
      <c r="D466" s="42">
        <v>1766.82</v>
      </c>
      <c r="E466" s="42">
        <v>1786.45</v>
      </c>
      <c r="F466" s="2">
        <v>11580000000</v>
      </c>
    </row>
    <row r="467" spans="1:6">
      <c r="A467" s="32">
        <v>43139</v>
      </c>
      <c r="B467" s="42">
        <v>1787.24</v>
      </c>
      <c r="C467" s="42">
        <v>1796.07</v>
      </c>
      <c r="D467" s="42">
        <v>1781.18</v>
      </c>
      <c r="E467" s="42">
        <v>1786.66</v>
      </c>
      <c r="F467" s="2">
        <v>9390000000</v>
      </c>
    </row>
    <row r="468" spans="1:6">
      <c r="A468" s="32">
        <v>43138</v>
      </c>
      <c r="B468" s="42">
        <v>1801.94</v>
      </c>
      <c r="C468" s="42">
        <v>1804.75</v>
      </c>
      <c r="D468" s="42">
        <v>1782.94</v>
      </c>
      <c r="E468" s="42">
        <v>1785.44</v>
      </c>
      <c r="F468" s="2">
        <v>11260000000</v>
      </c>
    </row>
    <row r="469" spans="1:6">
      <c r="A469" s="32">
        <v>43137</v>
      </c>
      <c r="B469" s="42">
        <v>1775.42</v>
      </c>
      <c r="C469" s="42">
        <v>1792.17</v>
      </c>
      <c r="D469" s="42">
        <v>1758.31</v>
      </c>
      <c r="E469" s="42">
        <v>1788.43</v>
      </c>
      <c r="F469" s="2">
        <v>17560000000</v>
      </c>
    </row>
    <row r="470" spans="1:6">
      <c r="A470" s="32">
        <v>43136</v>
      </c>
      <c r="B470" s="42">
        <v>1798.42</v>
      </c>
      <c r="C470" s="42">
        <v>1813.94</v>
      </c>
      <c r="D470" s="42">
        <v>1796.93</v>
      </c>
      <c r="E470" s="42">
        <v>1810.32</v>
      </c>
      <c r="F470" s="2">
        <v>12660000000</v>
      </c>
    </row>
    <row r="471" spans="1:6">
      <c r="A471" s="32">
        <v>43133</v>
      </c>
      <c r="B471" s="42">
        <v>1838.98</v>
      </c>
      <c r="C471" s="42">
        <v>1841.94</v>
      </c>
      <c r="D471" s="42">
        <v>1822.72</v>
      </c>
      <c r="E471" s="42">
        <v>1827.35</v>
      </c>
      <c r="F471" s="2">
        <v>10930000000</v>
      </c>
    </row>
    <row r="472" spans="1:6">
      <c r="A472" s="32">
        <v>43132</v>
      </c>
      <c r="B472" s="42">
        <v>1833.53</v>
      </c>
      <c r="C472" s="42">
        <v>1837.86</v>
      </c>
      <c r="D472" s="42">
        <v>1830.55</v>
      </c>
      <c r="E472" s="42">
        <v>1833.6</v>
      </c>
      <c r="F472" s="2">
        <v>10700000000</v>
      </c>
    </row>
    <row r="473" spans="1:6">
      <c r="A473" s="32">
        <v>43131</v>
      </c>
      <c r="B473" s="42">
        <v>1820.35</v>
      </c>
      <c r="C473" s="42">
        <v>1834.26</v>
      </c>
      <c r="D473" s="42">
        <v>1819.5</v>
      </c>
      <c r="E473" s="42">
        <v>1826.86</v>
      </c>
      <c r="F473" s="2">
        <v>10760000000</v>
      </c>
    </row>
    <row r="474" spans="1:6">
      <c r="A474" s="32">
        <v>43130</v>
      </c>
      <c r="B474" s="42">
        <v>1834.37</v>
      </c>
      <c r="C474" s="42">
        <v>1835.59</v>
      </c>
      <c r="D474" s="42">
        <v>1821.4</v>
      </c>
      <c r="E474" s="42">
        <v>1826.61</v>
      </c>
      <c r="F474" s="2">
        <v>10950000000</v>
      </c>
    </row>
    <row r="475" spans="1:6">
      <c r="A475" s="32">
        <v>43129</v>
      </c>
      <c r="B475" s="42">
        <v>1835.9</v>
      </c>
      <c r="C475" s="42">
        <v>1839.85</v>
      </c>
      <c r="D475" s="42">
        <v>1831.15</v>
      </c>
      <c r="E475" s="42">
        <v>1837.49</v>
      </c>
      <c r="F475" s="2">
        <v>10340000000</v>
      </c>
    </row>
    <row r="476" spans="1:6">
      <c r="A476" s="32">
        <v>43126</v>
      </c>
      <c r="B476" s="42">
        <v>1819.45</v>
      </c>
      <c r="C476" s="42">
        <v>1829.07</v>
      </c>
      <c r="D476" s="42">
        <v>1806.13</v>
      </c>
      <c r="E476" s="42">
        <v>1828.88</v>
      </c>
      <c r="F476" s="2">
        <v>13330000000</v>
      </c>
    </row>
    <row r="477" spans="1:6">
      <c r="A477" s="32">
        <v>43125</v>
      </c>
      <c r="B477" s="42">
        <v>1843.3</v>
      </c>
      <c r="C477" s="42">
        <v>1848.07</v>
      </c>
      <c r="D477" s="42">
        <v>1819.29</v>
      </c>
      <c r="E477" s="42">
        <v>1819.29</v>
      </c>
      <c r="F477" s="2">
        <v>12170000000</v>
      </c>
    </row>
    <row r="478" spans="1:6">
      <c r="A478" s="32">
        <v>43124</v>
      </c>
      <c r="B478" s="42">
        <v>1831.39</v>
      </c>
      <c r="C478" s="42">
        <v>1841.21</v>
      </c>
      <c r="D478" s="42">
        <v>1829.08</v>
      </c>
      <c r="E478" s="42">
        <v>1838.96</v>
      </c>
      <c r="F478" s="2">
        <v>12080000000</v>
      </c>
    </row>
    <row r="479" spans="1:6">
      <c r="A479" s="32">
        <v>43123</v>
      </c>
      <c r="B479" s="42">
        <v>1830.92</v>
      </c>
      <c r="C479" s="42">
        <v>1836.68</v>
      </c>
      <c r="D479" s="42">
        <v>1825.07</v>
      </c>
      <c r="E479" s="42">
        <v>1831.78</v>
      </c>
      <c r="F479" s="2">
        <v>14010000000</v>
      </c>
    </row>
    <row r="480" spans="1:6">
      <c r="A480" s="32">
        <v>43122</v>
      </c>
      <c r="B480" s="42">
        <v>1819.14</v>
      </c>
      <c r="C480" s="42">
        <v>1827.29</v>
      </c>
      <c r="D480" s="42">
        <v>1815.13</v>
      </c>
      <c r="E480" s="42">
        <v>1824.06</v>
      </c>
      <c r="F480" s="2">
        <v>10270000000</v>
      </c>
    </row>
    <row r="481" spans="1:6">
      <c r="A481" s="32">
        <v>43119</v>
      </c>
      <c r="B481" s="42">
        <v>1815.2</v>
      </c>
      <c r="C481" s="42">
        <v>1821.34</v>
      </c>
      <c r="D481" s="42">
        <v>1803.55</v>
      </c>
      <c r="E481" s="42">
        <v>1821.34</v>
      </c>
      <c r="F481" s="2">
        <v>12180000000</v>
      </c>
    </row>
    <row r="482" spans="1:6">
      <c r="A482" s="32">
        <v>43118</v>
      </c>
      <c r="B482" s="42">
        <v>1836.35</v>
      </c>
      <c r="C482" s="42">
        <v>1837.92</v>
      </c>
      <c r="D482" s="42">
        <v>1819.18</v>
      </c>
      <c r="E482" s="42">
        <v>1819.32</v>
      </c>
      <c r="F482" s="2">
        <v>11950000000</v>
      </c>
    </row>
    <row r="483" spans="1:6">
      <c r="A483" s="32">
        <v>43117</v>
      </c>
      <c r="B483" s="42">
        <v>1819.13</v>
      </c>
      <c r="C483" s="42">
        <v>1828.93</v>
      </c>
      <c r="D483" s="42">
        <v>1816.06</v>
      </c>
      <c r="E483" s="42">
        <v>1828.88</v>
      </c>
      <c r="F483" s="2">
        <v>10170000000</v>
      </c>
    </row>
    <row r="484" spans="1:6">
      <c r="A484" s="32">
        <v>43116</v>
      </c>
      <c r="B484" s="42">
        <v>1829.09</v>
      </c>
      <c r="C484" s="42">
        <v>1831.45</v>
      </c>
      <c r="D484" s="42">
        <v>1816.9</v>
      </c>
      <c r="E484" s="42">
        <v>1821.83</v>
      </c>
      <c r="F484" s="2">
        <v>11260000000</v>
      </c>
    </row>
    <row r="485" spans="1:6">
      <c r="A485" s="32">
        <v>43115</v>
      </c>
      <c r="B485" s="42">
        <v>1819.24</v>
      </c>
      <c r="C485" s="42">
        <v>1830.68</v>
      </c>
      <c r="D485" s="42">
        <v>1818.51</v>
      </c>
      <c r="E485" s="42">
        <v>1822.66</v>
      </c>
      <c r="F485" s="2">
        <v>14120000000</v>
      </c>
    </row>
    <row r="486" spans="1:6">
      <c r="A486" s="32">
        <v>43112</v>
      </c>
      <c r="B486" s="42">
        <v>1810.13</v>
      </c>
      <c r="C486" s="42">
        <v>1816.81</v>
      </c>
      <c r="D486" s="42">
        <v>1808.53</v>
      </c>
      <c r="E486" s="42">
        <v>1810.19</v>
      </c>
      <c r="F486" s="2">
        <v>10680000000</v>
      </c>
    </row>
    <row r="487" spans="1:6">
      <c r="A487" s="32">
        <v>43111</v>
      </c>
      <c r="B487" s="42">
        <v>1795.08</v>
      </c>
      <c r="C487" s="42">
        <v>1804.54</v>
      </c>
      <c r="D487" s="42">
        <v>1786.47</v>
      </c>
      <c r="E487" s="42">
        <v>1802.8</v>
      </c>
      <c r="F487" s="2">
        <v>11600000000</v>
      </c>
    </row>
    <row r="488" spans="1:6">
      <c r="A488" s="32">
        <v>43110</v>
      </c>
      <c r="B488" s="42">
        <v>1803.14</v>
      </c>
      <c r="C488" s="42">
        <v>1807.09</v>
      </c>
      <c r="D488" s="42">
        <v>1791.82</v>
      </c>
      <c r="E488" s="42">
        <v>1794.92</v>
      </c>
      <c r="F488" s="2">
        <v>13490000000</v>
      </c>
    </row>
    <row r="489" spans="1:6">
      <c r="A489" s="32">
        <v>43109</v>
      </c>
      <c r="B489" s="42">
        <v>1795.89</v>
      </c>
      <c r="C489" s="42">
        <v>1798.69</v>
      </c>
      <c r="D489" s="42">
        <v>1784.75</v>
      </c>
      <c r="E489" s="42">
        <v>1795.21</v>
      </c>
      <c r="F489" s="2">
        <v>13870000000</v>
      </c>
    </row>
    <row r="490" spans="1:6">
      <c r="A490" s="32">
        <v>43108</v>
      </c>
      <c r="B490" s="42">
        <v>1799.59</v>
      </c>
      <c r="C490" s="42">
        <v>1813.17</v>
      </c>
      <c r="D490" s="42">
        <v>1792.81</v>
      </c>
      <c r="E490" s="42">
        <v>1792.81</v>
      </c>
      <c r="F490" s="2">
        <v>12090000000</v>
      </c>
    </row>
    <row r="491" spans="1:6">
      <c r="A491" s="32">
        <v>43105</v>
      </c>
      <c r="B491" s="42">
        <v>1793.89</v>
      </c>
      <c r="C491" s="42">
        <v>1803.93</v>
      </c>
      <c r="D491" s="42">
        <v>1787.34</v>
      </c>
      <c r="E491" s="42">
        <v>1795.45</v>
      </c>
      <c r="F491" s="2">
        <v>12720000000</v>
      </c>
    </row>
    <row r="492" spans="1:6">
      <c r="A492" s="32">
        <v>43104</v>
      </c>
      <c r="B492" s="42">
        <v>1786.64</v>
      </c>
      <c r="C492" s="42">
        <v>1791.39</v>
      </c>
      <c r="D492" s="42">
        <v>1779.28</v>
      </c>
      <c r="E492" s="42">
        <v>1791.02</v>
      </c>
      <c r="F492" s="2">
        <v>13110000000</v>
      </c>
    </row>
    <row r="493" spans="1:6">
      <c r="A493" s="32">
        <v>43103</v>
      </c>
      <c r="B493" s="42">
        <v>1759.61</v>
      </c>
      <c r="C493" s="42">
        <v>1779.55</v>
      </c>
      <c r="D493" s="42">
        <v>1758.07</v>
      </c>
      <c r="E493" s="42">
        <v>1778.53</v>
      </c>
      <c r="F493" s="2">
        <v>12690000000</v>
      </c>
    </row>
    <row r="494" spans="1:6">
      <c r="A494" s="32">
        <v>43098</v>
      </c>
      <c r="B494" s="42">
        <v>1747.58</v>
      </c>
      <c r="C494" s="42">
        <v>1753.73</v>
      </c>
      <c r="D494" s="42">
        <v>1745.77</v>
      </c>
      <c r="E494" s="42">
        <v>1753.71</v>
      </c>
      <c r="F494" s="2">
        <v>6910000000</v>
      </c>
    </row>
    <row r="495" spans="1:6">
      <c r="A495" s="32">
        <v>43097</v>
      </c>
      <c r="B495" s="42">
        <v>1755.55</v>
      </c>
      <c r="C495" s="42">
        <v>1756.64</v>
      </c>
      <c r="D495" s="42">
        <v>1734.7</v>
      </c>
      <c r="E495" s="42">
        <v>1743.29</v>
      </c>
      <c r="F495" s="2">
        <v>9170000000</v>
      </c>
    </row>
    <row r="496" spans="1:6">
      <c r="A496" s="32">
        <v>43096</v>
      </c>
      <c r="B496" s="42">
        <v>1756.16</v>
      </c>
      <c r="C496" s="42">
        <v>1763.36</v>
      </c>
      <c r="D496" s="42">
        <v>1751.98</v>
      </c>
      <c r="E496" s="42">
        <v>1752.89</v>
      </c>
      <c r="F496" s="2">
        <v>9980000000</v>
      </c>
    </row>
    <row r="497" spans="1:6">
      <c r="A497" s="32">
        <v>43095</v>
      </c>
      <c r="B497" s="42">
        <v>1751.05</v>
      </c>
      <c r="C497" s="42">
        <v>1754.68</v>
      </c>
      <c r="D497" s="42">
        <v>1743.27</v>
      </c>
      <c r="E497" s="42">
        <v>1752.48</v>
      </c>
      <c r="F497" s="2">
        <v>7940000000</v>
      </c>
    </row>
    <row r="498" spans="1:6">
      <c r="A498" s="32">
        <v>43094</v>
      </c>
      <c r="B498" s="42">
        <v>1745.64</v>
      </c>
      <c r="C498" s="42">
        <v>1752.82</v>
      </c>
      <c r="D498" s="42">
        <v>1744.34</v>
      </c>
      <c r="E498" s="42">
        <v>1750.22</v>
      </c>
      <c r="F498" s="2">
        <v>6270000000</v>
      </c>
    </row>
    <row r="499" spans="1:6">
      <c r="A499" s="32">
        <v>43091</v>
      </c>
      <c r="B499" s="42">
        <v>1739.06</v>
      </c>
      <c r="C499" s="42">
        <v>1744.21</v>
      </c>
      <c r="D499" s="42">
        <v>1736.26</v>
      </c>
      <c r="E499" s="42">
        <v>1742.08</v>
      </c>
      <c r="F499" s="2">
        <v>6740000000</v>
      </c>
    </row>
    <row r="500" spans="1:6">
      <c r="A500" s="32">
        <v>43090</v>
      </c>
      <c r="B500" s="42">
        <v>1739.54</v>
      </c>
      <c r="C500" s="42">
        <v>1742.04</v>
      </c>
      <c r="D500" s="42">
        <v>1734.73</v>
      </c>
      <c r="E500" s="42">
        <v>1736.91</v>
      </c>
      <c r="F500" s="2">
        <v>7660000000</v>
      </c>
    </row>
    <row r="501" spans="1:6">
      <c r="A501" s="32">
        <v>43089</v>
      </c>
      <c r="B501" s="42">
        <v>1734.45</v>
      </c>
      <c r="C501" s="42">
        <v>1739.29</v>
      </c>
      <c r="D501" s="42">
        <v>1728.81</v>
      </c>
      <c r="E501" s="42">
        <v>1738.16</v>
      </c>
      <c r="F501" s="2">
        <v>9520000000</v>
      </c>
    </row>
    <row r="502" spans="1:6">
      <c r="A502" s="32">
        <v>43088</v>
      </c>
      <c r="B502" s="42">
        <v>1727.22</v>
      </c>
      <c r="C502" s="42">
        <v>1736.83</v>
      </c>
      <c r="D502" s="42">
        <v>1726.82</v>
      </c>
      <c r="E502" s="42">
        <v>1732.31</v>
      </c>
      <c r="F502" s="2">
        <v>10450000000</v>
      </c>
    </row>
    <row r="503" spans="1:6">
      <c r="A503" s="32">
        <v>43087</v>
      </c>
      <c r="B503" s="42">
        <v>1720.41</v>
      </c>
      <c r="C503" s="42">
        <v>1727.07</v>
      </c>
      <c r="D503" s="42">
        <v>1717.33</v>
      </c>
      <c r="E503" s="42">
        <v>1723.71</v>
      </c>
      <c r="F503" s="2">
        <v>7730000000</v>
      </c>
    </row>
    <row r="504" spans="1:6">
      <c r="A504" s="32">
        <v>43084</v>
      </c>
      <c r="B504" s="42">
        <v>1713.26</v>
      </c>
      <c r="C504" s="42">
        <v>1717.69</v>
      </c>
      <c r="D504" s="42">
        <v>1709.16</v>
      </c>
      <c r="E504" s="42">
        <v>1717.69</v>
      </c>
      <c r="F504" s="2">
        <v>8340000000</v>
      </c>
    </row>
    <row r="505" spans="1:6">
      <c r="A505" s="32">
        <v>43083</v>
      </c>
      <c r="B505" s="42">
        <v>1709.52</v>
      </c>
      <c r="C505" s="42">
        <v>1716.14</v>
      </c>
      <c r="D505" s="42">
        <v>1707.49</v>
      </c>
      <c r="E505" s="42">
        <v>1714.99</v>
      </c>
      <c r="F505" s="2">
        <v>8160000000</v>
      </c>
    </row>
    <row r="506" spans="1:6">
      <c r="A506" s="32">
        <v>43082</v>
      </c>
      <c r="B506" s="42">
        <v>1704.01</v>
      </c>
      <c r="C506" s="42">
        <v>1708.7</v>
      </c>
      <c r="D506" s="42">
        <v>1702.58</v>
      </c>
      <c r="E506" s="42">
        <v>1706.93</v>
      </c>
      <c r="F506" s="2">
        <v>8370000000</v>
      </c>
    </row>
    <row r="507" spans="1:6">
      <c r="A507" s="32">
        <v>43081</v>
      </c>
      <c r="B507" s="42">
        <v>1709.54</v>
      </c>
      <c r="C507" s="42">
        <v>1710.8</v>
      </c>
      <c r="D507" s="42">
        <v>1699.98</v>
      </c>
      <c r="E507" s="42">
        <v>1702.17</v>
      </c>
      <c r="F507" s="2">
        <v>8380000000</v>
      </c>
    </row>
    <row r="508" spans="1:6">
      <c r="A508" s="32">
        <v>43077</v>
      </c>
      <c r="B508" s="42">
        <v>1706.69</v>
      </c>
      <c r="C508" s="42">
        <v>1712.49</v>
      </c>
      <c r="D508" s="42">
        <v>1704.07</v>
      </c>
      <c r="E508" s="42">
        <v>1706.52</v>
      </c>
      <c r="F508" s="2">
        <v>10680000000</v>
      </c>
    </row>
    <row r="509" spans="1:6">
      <c r="A509" s="32">
        <v>43076</v>
      </c>
      <c r="B509" s="42">
        <v>1693.81</v>
      </c>
      <c r="C509" s="42">
        <v>1703.51</v>
      </c>
      <c r="D509" s="42">
        <v>1690.44</v>
      </c>
      <c r="E509" s="42">
        <v>1703.37</v>
      </c>
      <c r="F509" s="2">
        <v>8870000000</v>
      </c>
    </row>
    <row r="510" spans="1:6">
      <c r="A510" s="32">
        <v>43075</v>
      </c>
      <c r="B510" s="42">
        <v>1694.96</v>
      </c>
      <c r="C510" s="42">
        <v>1696.63</v>
      </c>
      <c r="D510" s="42">
        <v>1686.02</v>
      </c>
      <c r="E510" s="42">
        <v>1694.39</v>
      </c>
      <c r="F510" s="2">
        <v>10620000000</v>
      </c>
    </row>
    <row r="511" spans="1:6">
      <c r="A511" s="32">
        <v>43073</v>
      </c>
      <c r="B511" s="42">
        <v>1704.7</v>
      </c>
      <c r="C511" s="42">
        <v>1706.48</v>
      </c>
      <c r="D511" s="42">
        <v>1692.45</v>
      </c>
      <c r="E511" s="42">
        <v>1697.61</v>
      </c>
      <c r="F511" s="2">
        <v>7960000000</v>
      </c>
    </row>
    <row r="512" spans="1:6">
      <c r="A512" s="32">
        <v>43070</v>
      </c>
      <c r="B512" s="42">
        <v>1704.2</v>
      </c>
      <c r="C512" s="42">
        <v>1705.97</v>
      </c>
      <c r="D512" s="42">
        <v>1696.46</v>
      </c>
      <c r="E512" s="42">
        <v>1699.65</v>
      </c>
      <c r="F512" s="2">
        <v>9070000000</v>
      </c>
    </row>
    <row r="513" spans="1:6">
      <c r="A513" s="32">
        <v>43069</v>
      </c>
      <c r="B513" s="42">
        <v>1702.54</v>
      </c>
      <c r="C513" s="42">
        <v>1708.42</v>
      </c>
      <c r="D513" s="42">
        <v>1691.8</v>
      </c>
      <c r="E513" s="42">
        <v>1697.39</v>
      </c>
      <c r="F513" s="2">
        <v>9740000000</v>
      </c>
    </row>
    <row r="514" spans="1:6">
      <c r="A514" s="32">
        <v>43068</v>
      </c>
      <c r="B514" s="42">
        <v>1710.33</v>
      </c>
      <c r="C514" s="42">
        <v>1715.41</v>
      </c>
      <c r="D514" s="42">
        <v>1705</v>
      </c>
      <c r="E514" s="42">
        <v>1705.33</v>
      </c>
      <c r="F514" s="2">
        <v>9060000000</v>
      </c>
    </row>
    <row r="515" spans="1:6">
      <c r="A515" s="32">
        <v>43067</v>
      </c>
      <c r="B515" s="42">
        <v>1696.06</v>
      </c>
      <c r="C515" s="42">
        <v>1706.55</v>
      </c>
      <c r="D515" s="42">
        <v>1695.84</v>
      </c>
      <c r="E515" s="42">
        <v>1706.52</v>
      </c>
      <c r="F515" s="2">
        <v>8120000000</v>
      </c>
    </row>
    <row r="516" spans="1:6">
      <c r="A516" s="32">
        <v>43066</v>
      </c>
      <c r="B516" s="42">
        <v>1693.99</v>
      </c>
      <c r="C516" s="42">
        <v>1699.71</v>
      </c>
      <c r="D516" s="42">
        <v>1687.43</v>
      </c>
      <c r="E516" s="42">
        <v>1695.67</v>
      </c>
      <c r="F516" s="2">
        <v>9470000000</v>
      </c>
    </row>
    <row r="517" spans="1:6">
      <c r="A517" s="32">
        <v>43063</v>
      </c>
      <c r="B517" s="42">
        <v>1707.8</v>
      </c>
      <c r="C517" s="42">
        <v>1710.78</v>
      </c>
      <c r="D517" s="42">
        <v>1691.45</v>
      </c>
      <c r="E517" s="42">
        <v>1695.84</v>
      </c>
      <c r="F517" s="2">
        <v>10280000000</v>
      </c>
    </row>
    <row r="518" spans="1:6">
      <c r="A518" s="32">
        <v>43062</v>
      </c>
      <c r="B518" s="42">
        <v>1716.47</v>
      </c>
      <c r="C518" s="42">
        <v>1719</v>
      </c>
      <c r="D518" s="42">
        <v>1707.33</v>
      </c>
      <c r="E518" s="42">
        <v>1707.38</v>
      </c>
      <c r="F518" s="2">
        <v>8980000000</v>
      </c>
    </row>
    <row r="519" spans="1:6">
      <c r="A519" s="32">
        <v>43061</v>
      </c>
      <c r="B519" s="42">
        <v>1715.29</v>
      </c>
      <c r="C519" s="42">
        <v>1722.45</v>
      </c>
      <c r="D519" s="42">
        <v>1713.12</v>
      </c>
      <c r="E519" s="42">
        <v>1713.13</v>
      </c>
      <c r="F519" s="2">
        <v>10390000000</v>
      </c>
    </row>
    <row r="520" spans="1:6">
      <c r="A520" s="32">
        <v>43060</v>
      </c>
      <c r="B520" s="42">
        <v>1716.74</v>
      </c>
      <c r="C520" s="42">
        <v>1718.8</v>
      </c>
      <c r="D520" s="42">
        <v>1707.31</v>
      </c>
      <c r="E520" s="42">
        <v>1710.48</v>
      </c>
      <c r="F520" s="2">
        <v>9410000000</v>
      </c>
    </row>
    <row r="521" spans="1:6">
      <c r="A521" s="32">
        <v>43059</v>
      </c>
      <c r="B521" s="42">
        <v>1715.02</v>
      </c>
      <c r="C521" s="42">
        <v>1718.29</v>
      </c>
      <c r="D521" s="42">
        <v>1711.39</v>
      </c>
      <c r="E521" s="42">
        <v>1714.38</v>
      </c>
      <c r="F521" s="2">
        <v>9650000000</v>
      </c>
    </row>
    <row r="522" spans="1:6">
      <c r="A522" s="32">
        <v>43056</v>
      </c>
      <c r="B522" s="42">
        <v>1701.48</v>
      </c>
      <c r="C522" s="42">
        <v>1711.49</v>
      </c>
      <c r="D522" s="42">
        <v>1697.65</v>
      </c>
      <c r="E522" s="42">
        <v>1709.38</v>
      </c>
      <c r="F522" s="2">
        <v>9740000000</v>
      </c>
    </row>
    <row r="523" spans="1:6">
      <c r="A523" s="32">
        <v>43055</v>
      </c>
      <c r="B523" s="42">
        <v>1692.79</v>
      </c>
      <c r="C523" s="42">
        <v>1699.85</v>
      </c>
      <c r="D523" s="42">
        <v>1691.17</v>
      </c>
      <c r="E523" s="42">
        <v>1691.25</v>
      </c>
      <c r="F523" s="2">
        <v>11530000000</v>
      </c>
    </row>
    <row r="524" spans="1:6">
      <c r="A524" s="32">
        <v>43054</v>
      </c>
      <c r="B524" s="42">
        <v>1700.05</v>
      </c>
      <c r="C524" s="42">
        <v>1701.01</v>
      </c>
      <c r="D524" s="42">
        <v>1688.65</v>
      </c>
      <c r="E524" s="42">
        <v>1690.26</v>
      </c>
      <c r="F524" s="2">
        <v>11000000000</v>
      </c>
    </row>
    <row r="525" spans="1:6">
      <c r="A525" s="32">
        <v>43053</v>
      </c>
      <c r="B525" s="42">
        <v>1688.96</v>
      </c>
      <c r="C525" s="42">
        <v>1704.82</v>
      </c>
      <c r="D525" s="42">
        <v>1684.82</v>
      </c>
      <c r="E525" s="42">
        <v>1702.63</v>
      </c>
      <c r="F525" s="2">
        <v>11710000000</v>
      </c>
    </row>
    <row r="526" spans="1:6">
      <c r="A526" s="32">
        <v>43052</v>
      </c>
      <c r="B526" s="42">
        <v>1686.89</v>
      </c>
      <c r="C526" s="42">
        <v>1690.78</v>
      </c>
      <c r="D526" s="42">
        <v>1680.53</v>
      </c>
      <c r="E526" s="42">
        <v>1687.05</v>
      </c>
      <c r="F526" s="2">
        <v>10230000000</v>
      </c>
    </row>
    <row r="527" spans="1:6">
      <c r="A527" s="32">
        <v>43049</v>
      </c>
      <c r="B527" s="42">
        <v>1702.92</v>
      </c>
      <c r="C527" s="42">
        <v>1704.51</v>
      </c>
      <c r="D527" s="42">
        <v>1688.77</v>
      </c>
      <c r="E527" s="42">
        <v>1689.28</v>
      </c>
      <c r="F527" s="2">
        <v>10440000000</v>
      </c>
    </row>
    <row r="528" spans="1:6">
      <c r="A528" s="32">
        <v>43048</v>
      </c>
      <c r="B528" s="42">
        <v>1718.02</v>
      </c>
      <c r="C528" s="42">
        <v>1718.74</v>
      </c>
      <c r="D528" s="42">
        <v>1702.14</v>
      </c>
      <c r="E528" s="42">
        <v>1703.03</v>
      </c>
      <c r="F528" s="2">
        <v>9670000000</v>
      </c>
    </row>
    <row r="529" spans="1:6">
      <c r="A529" s="32">
        <v>43047</v>
      </c>
      <c r="B529" s="42">
        <v>1714.3</v>
      </c>
      <c r="C529" s="42">
        <v>1718.7</v>
      </c>
      <c r="D529" s="42">
        <v>1709.81</v>
      </c>
      <c r="E529" s="42">
        <v>1714.65</v>
      </c>
      <c r="F529" s="2">
        <v>11200000000</v>
      </c>
    </row>
    <row r="530" spans="1:6">
      <c r="A530" s="32">
        <v>43046</v>
      </c>
      <c r="B530" s="42">
        <v>1716.26</v>
      </c>
      <c r="C530" s="42">
        <v>1721.08</v>
      </c>
      <c r="D530" s="42">
        <v>1711.29</v>
      </c>
      <c r="E530" s="42">
        <v>1712.75</v>
      </c>
      <c r="F530" s="2">
        <v>10400000000</v>
      </c>
    </row>
    <row r="531" spans="1:6">
      <c r="A531" s="32">
        <v>43045</v>
      </c>
      <c r="B531" s="42">
        <v>1703.17</v>
      </c>
      <c r="C531" s="42">
        <v>1713.08</v>
      </c>
      <c r="D531" s="42">
        <v>1695.67</v>
      </c>
      <c r="E531" s="42">
        <v>1711.74</v>
      </c>
      <c r="F531" s="2">
        <v>9840000000</v>
      </c>
    </row>
    <row r="532" spans="1:6">
      <c r="A532" s="32">
        <v>43042</v>
      </c>
      <c r="B532" s="42">
        <v>1707.02</v>
      </c>
      <c r="C532" s="42">
        <v>1707.87</v>
      </c>
      <c r="D532" s="42">
        <v>1696.66</v>
      </c>
      <c r="E532" s="42">
        <v>1701.47</v>
      </c>
      <c r="F532" s="2">
        <v>10370000000</v>
      </c>
    </row>
    <row r="533" spans="1:6">
      <c r="A533" s="32">
        <v>43041</v>
      </c>
      <c r="B533" s="42">
        <v>1714.62</v>
      </c>
      <c r="C533" s="42">
        <v>1716.22</v>
      </c>
      <c r="D533" s="42">
        <v>1701.93</v>
      </c>
      <c r="E533" s="42">
        <v>1701.93</v>
      </c>
      <c r="F533" s="2">
        <v>11790000000</v>
      </c>
    </row>
    <row r="534" spans="1:6">
      <c r="A534" s="32">
        <v>43040</v>
      </c>
      <c r="B534" s="42">
        <v>1728.8</v>
      </c>
      <c r="C534" s="42">
        <v>1729.64</v>
      </c>
      <c r="D534" s="42">
        <v>1713.7</v>
      </c>
      <c r="E534" s="42">
        <v>1714.55</v>
      </c>
      <c r="F534" s="2">
        <v>11800000000</v>
      </c>
    </row>
    <row r="535" spans="1:6">
      <c r="A535" s="32">
        <v>43039</v>
      </c>
      <c r="B535" s="42">
        <v>1721.02</v>
      </c>
      <c r="C535" s="42">
        <v>1726.52</v>
      </c>
      <c r="D535" s="42">
        <v>1717.63</v>
      </c>
      <c r="E535" s="42">
        <v>1721.37</v>
      </c>
      <c r="F535" s="2">
        <v>10080000000</v>
      </c>
    </row>
    <row r="536" spans="1:6">
      <c r="A536" s="32">
        <v>43038</v>
      </c>
      <c r="B536" s="42">
        <v>1720.12</v>
      </c>
      <c r="C536" s="42">
        <v>1723.04</v>
      </c>
      <c r="D536" s="42">
        <v>1704.17</v>
      </c>
      <c r="E536" s="42">
        <v>1718.66</v>
      </c>
      <c r="F536" s="2">
        <v>10590000000</v>
      </c>
    </row>
    <row r="537" spans="1:6">
      <c r="A537" s="32">
        <v>43035</v>
      </c>
      <c r="B537" s="42">
        <v>1712.33</v>
      </c>
      <c r="C537" s="42">
        <v>1721.88</v>
      </c>
      <c r="D537" s="42">
        <v>1712.02</v>
      </c>
      <c r="E537" s="42">
        <v>1716.03</v>
      </c>
      <c r="F537" s="2">
        <v>9740000000</v>
      </c>
    </row>
    <row r="538" spans="1:6">
      <c r="A538" s="32">
        <v>43033</v>
      </c>
      <c r="B538" s="42">
        <v>1708.37</v>
      </c>
      <c r="C538" s="42">
        <v>1711.58</v>
      </c>
      <c r="D538" s="42">
        <v>1704.97</v>
      </c>
      <c r="E538" s="42">
        <v>1708.84</v>
      </c>
      <c r="F538" s="2">
        <v>8900000000</v>
      </c>
    </row>
    <row r="539" spans="1:6">
      <c r="A539" s="32">
        <v>43032</v>
      </c>
      <c r="B539" s="42">
        <v>1694.33</v>
      </c>
      <c r="C539" s="42">
        <v>1706</v>
      </c>
      <c r="D539" s="42">
        <v>1693.03</v>
      </c>
      <c r="E539" s="42">
        <v>1701.81</v>
      </c>
      <c r="F539" s="2">
        <v>9060000000</v>
      </c>
    </row>
    <row r="540" spans="1:6">
      <c r="A540" s="32">
        <v>43028</v>
      </c>
      <c r="B540" s="42">
        <v>1673.51</v>
      </c>
      <c r="C540" s="42">
        <v>1696.5</v>
      </c>
      <c r="D540" s="42">
        <v>1673.01</v>
      </c>
      <c r="E540" s="42">
        <v>1692.58</v>
      </c>
      <c r="F540" s="2">
        <v>11050000000</v>
      </c>
    </row>
    <row r="541" spans="1:6">
      <c r="A541" s="32">
        <v>43027</v>
      </c>
      <c r="B541" s="42">
        <v>1707.7</v>
      </c>
      <c r="C541" s="42">
        <v>1712.52</v>
      </c>
      <c r="D541" s="42">
        <v>1681</v>
      </c>
      <c r="E541" s="42">
        <v>1683.43</v>
      </c>
      <c r="F541" s="2">
        <v>14100000000</v>
      </c>
    </row>
    <row r="542" spans="1:6">
      <c r="A542" s="32">
        <v>43026</v>
      </c>
      <c r="B542" s="42">
        <v>1723.43</v>
      </c>
      <c r="C542" s="42">
        <v>1723.61</v>
      </c>
      <c r="D542" s="42">
        <v>1707.53</v>
      </c>
      <c r="E542" s="42">
        <v>1707.53</v>
      </c>
      <c r="F542" s="2">
        <v>12320000000</v>
      </c>
    </row>
    <row r="543" spans="1:6">
      <c r="A543" s="32">
        <v>43025</v>
      </c>
      <c r="B543" s="42">
        <v>1726.29</v>
      </c>
      <c r="C543" s="42">
        <v>1729.8</v>
      </c>
      <c r="D543" s="42">
        <v>1719.26</v>
      </c>
      <c r="E543" s="42">
        <v>1724.47</v>
      </c>
      <c r="F543" s="2">
        <v>11920000000</v>
      </c>
    </row>
    <row r="544" spans="1:6">
      <c r="A544" s="32">
        <v>43024</v>
      </c>
      <c r="B544" s="42">
        <v>1719.67</v>
      </c>
      <c r="C544" s="42">
        <v>1728.62</v>
      </c>
      <c r="D544" s="42">
        <v>1719.12</v>
      </c>
      <c r="E544" s="42">
        <v>1726.67</v>
      </c>
      <c r="F544" s="2">
        <v>16930000000</v>
      </c>
    </row>
    <row r="545" spans="1:6">
      <c r="A545" s="32">
        <v>43020</v>
      </c>
      <c r="B545" s="42">
        <v>1718.06</v>
      </c>
      <c r="C545" s="42">
        <v>1719.6</v>
      </c>
      <c r="D545" s="42">
        <v>1709.57</v>
      </c>
      <c r="E545" s="42">
        <v>1712.48</v>
      </c>
      <c r="F545" s="2">
        <v>16600000000</v>
      </c>
    </row>
    <row r="546" spans="1:6">
      <c r="A546" s="32">
        <v>43019</v>
      </c>
      <c r="B546" s="42">
        <v>1714.73</v>
      </c>
      <c r="C546" s="42">
        <v>1718.97</v>
      </c>
      <c r="D546" s="42">
        <v>1710.76</v>
      </c>
      <c r="E546" s="42">
        <v>1714.14</v>
      </c>
      <c r="F546" s="2">
        <v>19510000000</v>
      </c>
    </row>
    <row r="547" spans="1:6">
      <c r="A547" s="32">
        <v>43018</v>
      </c>
      <c r="B547" s="42">
        <v>1694.53</v>
      </c>
      <c r="C547" s="42">
        <v>1708.35</v>
      </c>
      <c r="D547" s="42">
        <v>1687.01</v>
      </c>
      <c r="E547" s="42">
        <v>1706.95</v>
      </c>
      <c r="F547" s="2">
        <v>15410000000</v>
      </c>
    </row>
    <row r="548" spans="1:6">
      <c r="A548" s="32">
        <v>43017</v>
      </c>
      <c r="B548" s="42">
        <v>1698.73</v>
      </c>
      <c r="C548" s="42">
        <v>1700.75</v>
      </c>
      <c r="D548" s="42">
        <v>1691.82</v>
      </c>
      <c r="E548" s="42">
        <v>1692.22</v>
      </c>
      <c r="F548" s="2">
        <v>22300000000</v>
      </c>
    </row>
    <row r="549" spans="1:6">
      <c r="A549" s="32">
        <v>43014</v>
      </c>
      <c r="B549" s="42">
        <v>1696.24</v>
      </c>
      <c r="C549" s="42">
        <v>1701.12</v>
      </c>
      <c r="D549" s="42">
        <v>1693.79</v>
      </c>
      <c r="E549" s="42">
        <v>1695.97</v>
      </c>
      <c r="F549" s="2">
        <v>11900000000</v>
      </c>
    </row>
    <row r="550" spans="1:6">
      <c r="A550" s="32">
        <v>43013</v>
      </c>
      <c r="B550" s="42">
        <v>1689.91</v>
      </c>
      <c r="C550" s="42">
        <v>1692.95</v>
      </c>
      <c r="D550" s="42">
        <v>1685.46</v>
      </c>
      <c r="E550" s="42">
        <v>1690.87</v>
      </c>
      <c r="F550" s="2">
        <v>11880000000</v>
      </c>
    </row>
    <row r="551" spans="1:6">
      <c r="A551" s="32">
        <v>43012</v>
      </c>
      <c r="B551" s="42">
        <v>1693.92</v>
      </c>
      <c r="C551" s="42">
        <v>1698.59</v>
      </c>
      <c r="D551" s="42">
        <v>1682.04</v>
      </c>
      <c r="E551" s="42">
        <v>1687.77</v>
      </c>
      <c r="F551" s="2">
        <v>11790000000</v>
      </c>
    </row>
    <row r="552" spans="1:6">
      <c r="A552" s="32">
        <v>43011</v>
      </c>
      <c r="B552" s="42">
        <v>1691.73</v>
      </c>
      <c r="C552" s="42">
        <v>1692.85</v>
      </c>
      <c r="D552" s="42">
        <v>1684.38</v>
      </c>
      <c r="E552" s="42">
        <v>1689.97</v>
      </c>
      <c r="F552" s="2">
        <v>10110000000</v>
      </c>
    </row>
    <row r="553" spans="1:6">
      <c r="A553" s="32">
        <v>43010</v>
      </c>
      <c r="B553" s="42">
        <v>1677.22</v>
      </c>
      <c r="C553" s="42">
        <v>1691.13</v>
      </c>
      <c r="D553" s="42">
        <v>1676.97</v>
      </c>
      <c r="E553" s="42">
        <v>1688.64</v>
      </c>
      <c r="F553" s="2">
        <v>12820000000</v>
      </c>
    </row>
    <row r="554" spans="1:6">
      <c r="A554" s="32">
        <v>43007</v>
      </c>
      <c r="B554" s="42">
        <v>1666.3</v>
      </c>
      <c r="C554" s="42">
        <v>1676.48</v>
      </c>
      <c r="D554" s="42">
        <v>1664.43</v>
      </c>
      <c r="E554" s="42">
        <v>1673.16</v>
      </c>
      <c r="F554" s="2">
        <v>11350000000</v>
      </c>
    </row>
    <row r="555" spans="1:6">
      <c r="A555" s="32">
        <v>43006</v>
      </c>
      <c r="B555" s="42">
        <v>1672.62</v>
      </c>
      <c r="C555" s="42">
        <v>1675.32</v>
      </c>
      <c r="D555" s="42">
        <v>1660.29</v>
      </c>
      <c r="E555" s="42">
        <v>1666.36</v>
      </c>
      <c r="F555" s="2">
        <v>10660000000</v>
      </c>
    </row>
    <row r="556" spans="1:6">
      <c r="A556" s="32">
        <v>43005</v>
      </c>
      <c r="B556" s="42">
        <v>1671.15</v>
      </c>
      <c r="C556" s="42">
        <v>1675.44</v>
      </c>
      <c r="D556" s="42">
        <v>1663.17</v>
      </c>
      <c r="E556" s="42">
        <v>1670.27</v>
      </c>
      <c r="F556" s="2">
        <v>10260000000</v>
      </c>
    </row>
    <row r="557" spans="1:6">
      <c r="A557" s="32">
        <v>43004</v>
      </c>
      <c r="B557" s="42">
        <v>1671.81</v>
      </c>
      <c r="C557" s="42">
        <v>1674.59</v>
      </c>
      <c r="D557" s="42">
        <v>1667.92</v>
      </c>
      <c r="E557" s="42">
        <v>1669.75</v>
      </c>
      <c r="F557" s="2">
        <v>10360000000</v>
      </c>
    </row>
    <row r="558" spans="1:6">
      <c r="A558" s="32">
        <v>43003</v>
      </c>
      <c r="B558" s="42">
        <v>1660.55</v>
      </c>
      <c r="C558" s="42">
        <v>1669.57</v>
      </c>
      <c r="D558" s="42">
        <v>1657.78</v>
      </c>
      <c r="E558" s="42">
        <v>1667.59</v>
      </c>
      <c r="F558" s="2">
        <v>9720000000</v>
      </c>
    </row>
    <row r="559" spans="1:6">
      <c r="A559" s="32">
        <v>43000</v>
      </c>
      <c r="B559" s="42">
        <v>1666.42</v>
      </c>
      <c r="C559" s="42">
        <v>1670.29</v>
      </c>
      <c r="D559" s="42">
        <v>1658.26</v>
      </c>
      <c r="E559" s="42">
        <v>1659.05</v>
      </c>
      <c r="F559" s="2">
        <v>11790000000</v>
      </c>
    </row>
    <row r="560" spans="1:6">
      <c r="A560" s="32">
        <v>42999</v>
      </c>
      <c r="B560" s="42">
        <v>1671.29</v>
      </c>
      <c r="C560" s="42">
        <v>1676.78</v>
      </c>
      <c r="D560" s="42">
        <v>1668.36</v>
      </c>
      <c r="E560" s="42">
        <v>1670.49</v>
      </c>
      <c r="F560" s="2">
        <v>10230000000</v>
      </c>
    </row>
    <row r="561" spans="1:6">
      <c r="A561" s="32">
        <v>42998</v>
      </c>
      <c r="B561" s="42">
        <v>1671.96</v>
      </c>
      <c r="C561" s="42">
        <v>1675.06</v>
      </c>
      <c r="D561" s="42">
        <v>1664.33</v>
      </c>
      <c r="E561" s="42">
        <v>1670.65</v>
      </c>
      <c r="F561" s="2">
        <v>11090000000</v>
      </c>
    </row>
    <row r="562" spans="1:6">
      <c r="A562" s="32">
        <v>42997</v>
      </c>
      <c r="B562" s="42">
        <v>1673.13</v>
      </c>
      <c r="C562" s="42">
        <v>1675.14</v>
      </c>
      <c r="D562" s="42">
        <v>1663.95</v>
      </c>
      <c r="E562" s="42">
        <v>1672.59</v>
      </c>
      <c r="F562" s="2">
        <v>12690000000</v>
      </c>
    </row>
    <row r="563" spans="1:6">
      <c r="A563" s="32">
        <v>42996</v>
      </c>
      <c r="B563" s="42">
        <v>1663.34</v>
      </c>
      <c r="C563" s="42">
        <v>1678.23</v>
      </c>
      <c r="D563" s="42">
        <v>1662.9</v>
      </c>
      <c r="E563" s="42">
        <v>1670.2</v>
      </c>
      <c r="F563" s="2">
        <v>11070000000</v>
      </c>
    </row>
    <row r="564" spans="1:6">
      <c r="A564" s="32">
        <v>42993</v>
      </c>
      <c r="B564" s="42">
        <v>1659.88</v>
      </c>
      <c r="C564" s="42">
        <v>1662.64</v>
      </c>
      <c r="D564" s="42">
        <v>1653.41</v>
      </c>
      <c r="E564" s="42">
        <v>1660.53</v>
      </c>
      <c r="F564" s="2">
        <v>9640000000</v>
      </c>
    </row>
    <row r="565" spans="1:6">
      <c r="A565" s="32">
        <v>42992</v>
      </c>
      <c r="B565" s="42">
        <v>1646.37</v>
      </c>
      <c r="C565" s="42">
        <v>1661.6</v>
      </c>
      <c r="D565" s="42">
        <v>1643.8</v>
      </c>
      <c r="E565" s="42">
        <v>1659.1</v>
      </c>
      <c r="F565" s="2">
        <v>11600000000</v>
      </c>
    </row>
    <row r="566" spans="1:6">
      <c r="A566" s="32">
        <v>42991</v>
      </c>
      <c r="B566" s="42">
        <v>1648.04</v>
      </c>
      <c r="C566" s="42">
        <v>1652.51</v>
      </c>
      <c r="D566" s="42">
        <v>1640.94</v>
      </c>
      <c r="E566" s="42">
        <v>1642.94</v>
      </c>
      <c r="F566" s="2">
        <v>10600000000</v>
      </c>
    </row>
    <row r="567" spans="1:6">
      <c r="A567" s="32">
        <v>42990</v>
      </c>
      <c r="B567" s="42">
        <v>1641.5</v>
      </c>
      <c r="C567" s="42">
        <v>1646.16</v>
      </c>
      <c r="D567" s="42">
        <v>1639.14</v>
      </c>
      <c r="E567" s="42">
        <v>1643.55</v>
      </c>
      <c r="F567" s="2">
        <v>8750000000</v>
      </c>
    </row>
    <row r="568" spans="1:6">
      <c r="A568" s="32">
        <v>42989</v>
      </c>
      <c r="B568" s="42">
        <v>1637.67</v>
      </c>
      <c r="C568" s="42">
        <v>1642.88</v>
      </c>
      <c r="D568" s="42">
        <v>1634.12</v>
      </c>
      <c r="E568" s="42">
        <v>1637.54</v>
      </c>
      <c r="F568" s="2">
        <v>10050000000</v>
      </c>
    </row>
    <row r="569" spans="1:6">
      <c r="A569" s="32">
        <v>42986</v>
      </c>
      <c r="B569" s="42">
        <v>1638.81</v>
      </c>
      <c r="C569" s="42">
        <v>1647.54</v>
      </c>
      <c r="D569" s="42">
        <v>1633.84</v>
      </c>
      <c r="E569" s="42">
        <v>1635.61</v>
      </c>
      <c r="F569" s="2">
        <v>12180000000</v>
      </c>
    </row>
    <row r="570" spans="1:6">
      <c r="A570" s="32">
        <v>42985</v>
      </c>
      <c r="B570" s="42">
        <v>1623.97</v>
      </c>
      <c r="C570" s="42">
        <v>1634.3</v>
      </c>
      <c r="D570" s="42">
        <v>1622.34</v>
      </c>
      <c r="E570" s="42">
        <v>1632.66</v>
      </c>
      <c r="F570" s="2">
        <v>12380000000</v>
      </c>
    </row>
    <row r="571" spans="1:6">
      <c r="A571" s="32">
        <v>42984</v>
      </c>
      <c r="B571" s="42">
        <v>1620.86</v>
      </c>
      <c r="C571" s="42">
        <v>1621.42</v>
      </c>
      <c r="D571" s="42">
        <v>1615.31</v>
      </c>
      <c r="E571" s="42">
        <v>1621.3</v>
      </c>
      <c r="F571" s="2">
        <v>9900000000</v>
      </c>
    </row>
    <row r="572" spans="1:6">
      <c r="A572" s="32">
        <v>42983</v>
      </c>
      <c r="B572" s="42">
        <v>1620.7</v>
      </c>
      <c r="C572" s="42">
        <v>1623.95</v>
      </c>
      <c r="D572" s="42">
        <v>1616.33</v>
      </c>
      <c r="E572" s="42">
        <v>1620.42</v>
      </c>
      <c r="F572" s="2">
        <v>8630000000</v>
      </c>
    </row>
    <row r="573" spans="1:6">
      <c r="A573" s="32">
        <v>42982</v>
      </c>
      <c r="B573" s="42">
        <v>1618.63</v>
      </c>
      <c r="C573" s="42">
        <v>1621.37</v>
      </c>
      <c r="D573" s="42">
        <v>1614.3</v>
      </c>
      <c r="E573" s="42">
        <v>1619.11</v>
      </c>
      <c r="F573" s="2">
        <v>8980000000</v>
      </c>
    </row>
    <row r="574" spans="1:6">
      <c r="A574" s="32">
        <v>42979</v>
      </c>
      <c r="B574" s="42">
        <v>1621.4</v>
      </c>
      <c r="C574" s="42">
        <v>1624.37</v>
      </c>
      <c r="D574" s="42">
        <v>1617.33</v>
      </c>
      <c r="E574" s="42">
        <v>1618.42</v>
      </c>
      <c r="F574" s="2">
        <v>8400000000</v>
      </c>
    </row>
    <row r="575" spans="1:6">
      <c r="A575" s="32">
        <v>42978</v>
      </c>
      <c r="B575" s="42">
        <v>1611.53</v>
      </c>
      <c r="C575" s="42">
        <v>1616.8</v>
      </c>
      <c r="D575" s="42">
        <v>1607.78</v>
      </c>
      <c r="E575" s="42">
        <v>1616.16</v>
      </c>
      <c r="F575" s="2">
        <v>8740000000</v>
      </c>
    </row>
    <row r="576" spans="1:6">
      <c r="A576" s="32">
        <v>42977</v>
      </c>
      <c r="B576" s="42">
        <v>1617.83</v>
      </c>
      <c r="C576" s="42">
        <v>1626.22</v>
      </c>
      <c r="D576" s="42">
        <v>1610.45</v>
      </c>
      <c r="E576" s="42">
        <v>1613.34</v>
      </c>
      <c r="F576" s="2">
        <v>10860000000</v>
      </c>
    </row>
    <row r="577" spans="1:6">
      <c r="A577" s="32">
        <v>42976</v>
      </c>
      <c r="B577" s="42">
        <v>1586.68</v>
      </c>
      <c r="C577" s="42">
        <v>1617.73</v>
      </c>
      <c r="D577" s="42">
        <v>1585.48</v>
      </c>
      <c r="E577" s="42">
        <v>1614.14</v>
      </c>
      <c r="F577" s="2">
        <v>13930000000</v>
      </c>
    </row>
    <row r="578" spans="1:6">
      <c r="A578" s="32">
        <v>42975</v>
      </c>
      <c r="B578" s="42">
        <v>1579.09</v>
      </c>
      <c r="C578" s="42">
        <v>1589.72</v>
      </c>
      <c r="D578" s="42">
        <v>1577.72</v>
      </c>
      <c r="E578" s="42">
        <v>1585.79</v>
      </c>
      <c r="F578" s="2">
        <v>8720000000</v>
      </c>
    </row>
    <row r="579" spans="1:6">
      <c r="A579" s="32">
        <v>42972</v>
      </c>
      <c r="B579" s="42">
        <v>1576.42</v>
      </c>
      <c r="C579" s="42">
        <v>1577.61</v>
      </c>
      <c r="D579" s="42">
        <v>1571.13</v>
      </c>
      <c r="E579" s="42">
        <v>1575.85</v>
      </c>
      <c r="F579" s="2">
        <v>6350000000</v>
      </c>
    </row>
    <row r="580" spans="1:6">
      <c r="A580" s="32">
        <v>42971</v>
      </c>
      <c r="B580" s="42">
        <v>1575.55</v>
      </c>
      <c r="C580" s="42">
        <v>1577.98</v>
      </c>
      <c r="D580" s="42">
        <v>1572.1</v>
      </c>
      <c r="E580" s="42">
        <v>1575.96</v>
      </c>
      <c r="F580" s="2">
        <v>7100000000</v>
      </c>
    </row>
    <row r="581" spans="1:6">
      <c r="A581" s="32">
        <v>42970</v>
      </c>
      <c r="B581" s="42">
        <v>1574.9</v>
      </c>
      <c r="C581" s="42">
        <v>1576.23</v>
      </c>
      <c r="D581" s="42">
        <v>1570.61</v>
      </c>
      <c r="E581" s="42">
        <v>1573.38</v>
      </c>
      <c r="F581" s="2">
        <v>6810000000</v>
      </c>
    </row>
    <row r="582" spans="1:6">
      <c r="A582" s="32">
        <v>42969</v>
      </c>
      <c r="B582" s="42">
        <v>1571.78</v>
      </c>
      <c r="C582" s="42">
        <v>1574.92</v>
      </c>
      <c r="D582" s="42">
        <v>1569.75</v>
      </c>
      <c r="E582" s="42">
        <v>1573.19</v>
      </c>
      <c r="F582" s="2">
        <v>6640000000</v>
      </c>
    </row>
    <row r="583" spans="1:6">
      <c r="A583" s="32">
        <v>42968</v>
      </c>
      <c r="B583" s="42">
        <v>1568.89</v>
      </c>
      <c r="C583" s="42">
        <v>1572.11</v>
      </c>
      <c r="D583" s="42">
        <v>1567.21</v>
      </c>
      <c r="E583" s="42">
        <v>1569.62</v>
      </c>
      <c r="F583" s="2">
        <v>6180000000</v>
      </c>
    </row>
    <row r="584" spans="1:6">
      <c r="A584" s="32">
        <v>42965</v>
      </c>
      <c r="B584" s="42">
        <v>1567.17</v>
      </c>
      <c r="C584" s="42">
        <v>1568.37</v>
      </c>
      <c r="D584" s="42">
        <v>1562.01</v>
      </c>
      <c r="E584" s="42">
        <v>1566.53</v>
      </c>
      <c r="F584" s="2">
        <v>6190000000</v>
      </c>
    </row>
    <row r="585" spans="1:6">
      <c r="A585" s="32">
        <v>42964</v>
      </c>
      <c r="B585" s="42">
        <v>1568.89</v>
      </c>
      <c r="C585" s="42">
        <v>1570.72</v>
      </c>
      <c r="D585" s="42">
        <v>1564.75</v>
      </c>
      <c r="E585" s="42">
        <v>1568.95</v>
      </c>
      <c r="F585" s="2">
        <v>7840000000</v>
      </c>
    </row>
    <row r="586" spans="1:6">
      <c r="A586" s="32">
        <v>42963</v>
      </c>
      <c r="B586" s="42">
        <v>1566.83</v>
      </c>
      <c r="C586" s="42">
        <v>1568.64</v>
      </c>
      <c r="D586" s="42">
        <v>1562.51</v>
      </c>
      <c r="E586" s="42">
        <v>1567.52</v>
      </c>
      <c r="F586" s="2">
        <v>7000000000</v>
      </c>
    </row>
    <row r="587" spans="1:6">
      <c r="A587" s="32">
        <v>42962</v>
      </c>
      <c r="B587" s="42">
        <v>1567.41</v>
      </c>
      <c r="C587" s="42">
        <v>1572.07</v>
      </c>
      <c r="D587" s="42">
        <v>1565.43</v>
      </c>
      <c r="E587" s="42">
        <v>1567.19</v>
      </c>
      <c r="F587" s="2">
        <v>6430000000</v>
      </c>
    </row>
    <row r="588" spans="1:6">
      <c r="A588" s="32">
        <v>42958</v>
      </c>
      <c r="B588" s="42">
        <v>1567.44</v>
      </c>
      <c r="C588" s="42">
        <v>1567.95</v>
      </c>
      <c r="D588" s="42">
        <v>1556.22</v>
      </c>
      <c r="E588" s="42">
        <v>1561.31</v>
      </c>
      <c r="F588" s="2">
        <v>9400000000</v>
      </c>
    </row>
    <row r="589" spans="1:6">
      <c r="A589" s="32">
        <v>42957</v>
      </c>
      <c r="B589" s="42">
        <v>1571.83</v>
      </c>
      <c r="C589" s="42">
        <v>1573.11</v>
      </c>
      <c r="D589" s="42">
        <v>1566.45</v>
      </c>
      <c r="E589" s="42">
        <v>1571.64</v>
      </c>
      <c r="F589" s="2">
        <v>8010000000</v>
      </c>
    </row>
    <row r="590" spans="1:6">
      <c r="A590" s="32">
        <v>42956</v>
      </c>
      <c r="B590" s="42">
        <v>1577.95</v>
      </c>
      <c r="C590" s="42">
        <v>1578.3</v>
      </c>
      <c r="D590" s="42">
        <v>1569.4</v>
      </c>
      <c r="E590" s="42">
        <v>1571.51</v>
      </c>
      <c r="F590" s="2">
        <v>7490000000</v>
      </c>
    </row>
    <row r="591" spans="1:6">
      <c r="A591" s="32">
        <v>42955</v>
      </c>
      <c r="B591" s="42">
        <v>1575.37</v>
      </c>
      <c r="C591" s="42">
        <v>1579.64</v>
      </c>
      <c r="D591" s="42">
        <v>1573.21</v>
      </c>
      <c r="E591" s="42">
        <v>1577.44</v>
      </c>
      <c r="F591" s="2">
        <v>10830000000</v>
      </c>
    </row>
    <row r="592" spans="1:6">
      <c r="A592" s="32">
        <v>42954</v>
      </c>
      <c r="B592" s="42">
        <v>1579.32</v>
      </c>
      <c r="C592" s="42">
        <v>1580.47</v>
      </c>
      <c r="D592" s="42">
        <v>1573.32</v>
      </c>
      <c r="E592" s="42">
        <v>1573.67</v>
      </c>
      <c r="F592" s="2">
        <v>6240000000</v>
      </c>
    </row>
    <row r="593" spans="1:6">
      <c r="A593" s="32">
        <v>42951</v>
      </c>
      <c r="B593" s="42">
        <v>1580.4</v>
      </c>
      <c r="C593" s="42">
        <v>1582.88</v>
      </c>
      <c r="D593" s="42">
        <v>1578.03</v>
      </c>
      <c r="E593" s="42">
        <v>1578.26</v>
      </c>
      <c r="F593" s="2">
        <v>7460000000</v>
      </c>
    </row>
    <row r="594" spans="1:6">
      <c r="A594" s="32">
        <v>42950</v>
      </c>
      <c r="B594" s="42">
        <v>1580.24</v>
      </c>
      <c r="C594" s="42">
        <v>1583.7</v>
      </c>
      <c r="D594" s="42">
        <v>1577.93</v>
      </c>
      <c r="E594" s="42">
        <v>1578.25</v>
      </c>
      <c r="F594" s="2">
        <v>8330000000</v>
      </c>
    </row>
    <row r="595" spans="1:6">
      <c r="A595" s="32">
        <v>42949</v>
      </c>
      <c r="B595" s="42">
        <v>1580.27</v>
      </c>
      <c r="C595" s="42">
        <v>1582.59</v>
      </c>
      <c r="D595" s="42">
        <v>1577.18</v>
      </c>
      <c r="E595" s="42">
        <v>1580.54</v>
      </c>
      <c r="F595" s="2">
        <v>8050000000</v>
      </c>
    </row>
    <row r="596" spans="1:6">
      <c r="A596" s="32">
        <v>42948</v>
      </c>
      <c r="B596" s="42">
        <v>1573.92</v>
      </c>
      <c r="C596" s="42">
        <v>1579.12</v>
      </c>
      <c r="D596" s="42">
        <v>1571.65</v>
      </c>
      <c r="E596" s="42">
        <v>1576.45</v>
      </c>
      <c r="F596" s="2">
        <v>8310000000</v>
      </c>
    </row>
    <row r="597" spans="1:6">
      <c r="A597" s="32">
        <v>42947</v>
      </c>
      <c r="B597" s="42">
        <v>1582.22</v>
      </c>
      <c r="C597" s="42">
        <v>1582.86</v>
      </c>
      <c r="D597" s="42">
        <v>1569.79</v>
      </c>
      <c r="E597" s="42">
        <v>1576.08</v>
      </c>
      <c r="F597" s="2">
        <v>8420000000</v>
      </c>
    </row>
    <row r="598" spans="1:6">
      <c r="A598" s="32">
        <v>42943</v>
      </c>
      <c r="B598" s="42">
        <v>1584.74</v>
      </c>
      <c r="C598" s="42">
        <v>1585.27</v>
      </c>
      <c r="D598" s="42">
        <v>1578.58</v>
      </c>
      <c r="E598" s="42">
        <v>1581.06</v>
      </c>
      <c r="F598" s="2">
        <v>9400000000</v>
      </c>
    </row>
    <row r="599" spans="1:6">
      <c r="A599" s="32">
        <v>42942</v>
      </c>
      <c r="B599" s="42">
        <v>1583.52</v>
      </c>
      <c r="C599" s="42">
        <v>1586.12</v>
      </c>
      <c r="D599" s="42">
        <v>1581.7</v>
      </c>
      <c r="E599" s="42">
        <v>1583.17</v>
      </c>
      <c r="F599" s="2">
        <v>9940000000</v>
      </c>
    </row>
    <row r="600" spans="1:6">
      <c r="A600" s="32">
        <v>42941</v>
      </c>
      <c r="B600" s="42">
        <v>1578.64</v>
      </c>
      <c r="C600" s="42">
        <v>1581.96</v>
      </c>
      <c r="D600" s="42">
        <v>1577.32</v>
      </c>
      <c r="E600" s="42">
        <v>1581.42</v>
      </c>
      <c r="F600" s="2">
        <v>8850000000</v>
      </c>
    </row>
    <row r="601" spans="1:6">
      <c r="A601" s="32">
        <v>42940</v>
      </c>
      <c r="B601" s="42">
        <v>1574.45</v>
      </c>
      <c r="C601" s="42">
        <v>1580.19</v>
      </c>
      <c r="D601" s="42">
        <v>1573.99</v>
      </c>
      <c r="E601" s="42">
        <v>1576.73</v>
      </c>
      <c r="F601" s="2">
        <v>7090000000</v>
      </c>
    </row>
    <row r="602" spans="1:6">
      <c r="A602" s="32">
        <v>42937</v>
      </c>
      <c r="B602" s="42">
        <v>1576.9</v>
      </c>
      <c r="C602" s="42">
        <v>1579.39</v>
      </c>
      <c r="D602" s="42">
        <v>1573.42</v>
      </c>
      <c r="E602" s="42">
        <v>1573.51</v>
      </c>
      <c r="F602" s="2">
        <v>9030000000</v>
      </c>
    </row>
    <row r="603" spans="1:6">
      <c r="A603" s="32">
        <v>42936</v>
      </c>
      <c r="B603" s="42">
        <v>1577.52</v>
      </c>
      <c r="C603" s="42">
        <v>1578.96</v>
      </c>
      <c r="D603" s="42">
        <v>1574.71</v>
      </c>
      <c r="E603" s="42">
        <v>1575.28</v>
      </c>
      <c r="F603" s="2">
        <v>6850000000</v>
      </c>
    </row>
    <row r="604" spans="1:6">
      <c r="A604" s="32">
        <v>42935</v>
      </c>
      <c r="B604" s="42">
        <v>1574.71</v>
      </c>
      <c r="C604" s="42">
        <v>1578.06</v>
      </c>
      <c r="D604" s="42">
        <v>1572.44</v>
      </c>
      <c r="E604" s="42">
        <v>1575.85</v>
      </c>
      <c r="F604" s="2">
        <v>7330000000</v>
      </c>
    </row>
    <row r="605" spans="1:6">
      <c r="A605" s="32">
        <v>42934</v>
      </c>
      <c r="B605" s="42">
        <v>1575.35</v>
      </c>
      <c r="C605" s="42">
        <v>1577.02</v>
      </c>
      <c r="D605" s="42">
        <v>1569.16</v>
      </c>
      <c r="E605" s="42">
        <v>1571.52</v>
      </c>
      <c r="F605" s="2">
        <v>7460000000</v>
      </c>
    </row>
    <row r="606" spans="1:6">
      <c r="A606" s="32">
        <v>42933</v>
      </c>
      <c r="B606" s="42">
        <v>1581.45</v>
      </c>
      <c r="C606" s="42">
        <v>1582.69</v>
      </c>
      <c r="D606" s="42">
        <v>1572.61</v>
      </c>
      <c r="E606" s="42">
        <v>1574.09</v>
      </c>
      <c r="F606" s="2">
        <v>6990000000</v>
      </c>
    </row>
    <row r="607" spans="1:6">
      <c r="A607" s="32">
        <v>42930</v>
      </c>
      <c r="B607" s="42">
        <v>1581.45</v>
      </c>
      <c r="C607" s="42">
        <v>1582.23</v>
      </c>
      <c r="D607" s="42">
        <v>1574.66</v>
      </c>
      <c r="E607" s="42">
        <v>1577.79</v>
      </c>
      <c r="F607" s="2">
        <v>5870000000</v>
      </c>
    </row>
    <row r="608" spans="1:6">
      <c r="A608" s="32">
        <v>42929</v>
      </c>
      <c r="B608" s="42">
        <v>1581.43</v>
      </c>
      <c r="C608" s="42">
        <v>1584.26</v>
      </c>
      <c r="D608" s="42">
        <v>1575.83</v>
      </c>
      <c r="E608" s="42">
        <v>1579.41</v>
      </c>
      <c r="F608" s="2">
        <v>6590000000</v>
      </c>
    </row>
    <row r="609" spans="1:6">
      <c r="A609" s="32">
        <v>42928</v>
      </c>
      <c r="B609" s="42">
        <v>1572.43</v>
      </c>
      <c r="C609" s="42">
        <v>1577.21</v>
      </c>
      <c r="D609" s="42">
        <v>1569.93</v>
      </c>
      <c r="E609" s="42">
        <v>1574.93</v>
      </c>
      <c r="F609" s="2">
        <v>7570000000</v>
      </c>
    </row>
    <row r="610" spans="1:6">
      <c r="A610" s="32">
        <v>42927</v>
      </c>
      <c r="B610" s="42">
        <v>1570.3</v>
      </c>
      <c r="C610" s="42">
        <v>1572.02</v>
      </c>
      <c r="D610" s="42">
        <v>1564.75</v>
      </c>
      <c r="E610" s="42">
        <v>1569.24</v>
      </c>
      <c r="F610" s="2">
        <v>6500000000</v>
      </c>
    </row>
    <row r="611" spans="1:6">
      <c r="A611" s="32">
        <v>42923</v>
      </c>
      <c r="B611" s="42">
        <v>1567.7</v>
      </c>
      <c r="C611" s="42">
        <v>1570.6</v>
      </c>
      <c r="D611" s="42">
        <v>1565.17</v>
      </c>
      <c r="E611" s="42">
        <v>1569.44</v>
      </c>
      <c r="F611" s="2">
        <v>6470000000</v>
      </c>
    </row>
    <row r="612" spans="1:6">
      <c r="A612" s="32">
        <v>42922</v>
      </c>
      <c r="B612" s="42">
        <v>1575.15</v>
      </c>
      <c r="C612" s="42">
        <v>1575.78</v>
      </c>
      <c r="D612" s="42">
        <v>1564.05</v>
      </c>
      <c r="E612" s="42">
        <v>1569.64</v>
      </c>
      <c r="F612" s="2">
        <v>8270000000</v>
      </c>
    </row>
    <row r="613" spans="1:6">
      <c r="A613" s="32">
        <v>42921</v>
      </c>
      <c r="B613" s="42">
        <v>1575.78</v>
      </c>
      <c r="C613" s="42">
        <v>1579.28</v>
      </c>
      <c r="D613" s="42">
        <v>1573.52</v>
      </c>
      <c r="E613" s="42">
        <v>1575.02</v>
      </c>
      <c r="F613" s="2">
        <v>6120000000</v>
      </c>
    </row>
    <row r="614" spans="1:6">
      <c r="A614" s="32">
        <v>42920</v>
      </c>
      <c r="B614" s="42">
        <v>1582.04</v>
      </c>
      <c r="C614" s="42">
        <v>1583</v>
      </c>
      <c r="D614" s="42">
        <v>1572.51</v>
      </c>
      <c r="E614" s="42">
        <v>1574.11</v>
      </c>
      <c r="F614" s="2">
        <v>7500000000</v>
      </c>
    </row>
    <row r="615" spans="1:6">
      <c r="A615" s="32">
        <v>42919</v>
      </c>
      <c r="B615" s="42">
        <v>1577.18</v>
      </c>
      <c r="C615" s="42">
        <v>1581.64</v>
      </c>
      <c r="D615" s="42">
        <v>1575.12</v>
      </c>
      <c r="E615" s="42">
        <v>1579.41</v>
      </c>
      <c r="F615" s="2">
        <v>6420000000</v>
      </c>
    </row>
    <row r="616" spans="1:6">
      <c r="A616" s="32">
        <v>42916</v>
      </c>
      <c r="B616" s="42">
        <v>1578.19</v>
      </c>
      <c r="C616" s="42">
        <v>1580.2</v>
      </c>
      <c r="D616" s="42">
        <v>1567.16</v>
      </c>
      <c r="E616" s="42">
        <v>1574.74</v>
      </c>
      <c r="F616" s="2">
        <v>7860000000</v>
      </c>
    </row>
    <row r="617" spans="1:6">
      <c r="A617" s="32">
        <v>42915</v>
      </c>
      <c r="B617" s="42">
        <v>1586.91</v>
      </c>
      <c r="C617" s="42">
        <v>1590.49</v>
      </c>
      <c r="D617" s="42">
        <v>1576.94</v>
      </c>
      <c r="E617" s="42">
        <v>1578.12</v>
      </c>
      <c r="F617" s="2">
        <v>8160000000</v>
      </c>
    </row>
    <row r="618" spans="1:6">
      <c r="A618" s="32">
        <v>42914</v>
      </c>
      <c r="B618" s="42">
        <v>1586.51</v>
      </c>
      <c r="C618" s="42">
        <v>1587.85</v>
      </c>
      <c r="D618" s="42">
        <v>1580.86</v>
      </c>
      <c r="E618" s="42">
        <v>1582.63</v>
      </c>
      <c r="F618" s="2">
        <v>6910000000</v>
      </c>
    </row>
    <row r="619" spans="1:6">
      <c r="A619" s="32">
        <v>42913</v>
      </c>
      <c r="B619" s="42">
        <v>1589.47</v>
      </c>
      <c r="C619" s="42">
        <v>1591.09</v>
      </c>
      <c r="D619" s="42">
        <v>1584.22</v>
      </c>
      <c r="E619" s="42">
        <v>1586.45</v>
      </c>
      <c r="F619" s="2">
        <v>8170000000</v>
      </c>
    </row>
    <row r="620" spans="1:6">
      <c r="A620" s="32">
        <v>42912</v>
      </c>
      <c r="B620" s="42">
        <v>1585.84</v>
      </c>
      <c r="C620" s="42">
        <v>1589.69</v>
      </c>
      <c r="D620" s="42">
        <v>1584.28</v>
      </c>
      <c r="E620" s="42">
        <v>1585.61</v>
      </c>
      <c r="F620" s="2">
        <v>7490000000</v>
      </c>
    </row>
    <row r="621" spans="1:6">
      <c r="A621" s="32">
        <v>42909</v>
      </c>
      <c r="B621" s="42">
        <v>1582.93</v>
      </c>
      <c r="C621" s="42">
        <v>1585.41</v>
      </c>
      <c r="D621" s="42">
        <v>1581.28</v>
      </c>
      <c r="E621" s="42">
        <v>1582.36</v>
      </c>
      <c r="F621" s="2">
        <v>9450000000</v>
      </c>
    </row>
    <row r="622" spans="1:6">
      <c r="A622" s="32">
        <v>42908</v>
      </c>
      <c r="B622" s="42">
        <v>1578.26</v>
      </c>
      <c r="C622" s="42">
        <v>1583.67</v>
      </c>
      <c r="D622" s="42">
        <v>1577.63</v>
      </c>
      <c r="E622" s="42">
        <v>1580.91</v>
      </c>
      <c r="F622" s="2">
        <v>8760000000</v>
      </c>
    </row>
    <row r="623" spans="1:6">
      <c r="A623" s="32">
        <v>42907</v>
      </c>
      <c r="B623" s="42">
        <v>1577.29</v>
      </c>
      <c r="C623" s="42">
        <v>1578.63</v>
      </c>
      <c r="D623" s="42">
        <v>1573.7</v>
      </c>
      <c r="E623" s="42">
        <v>1577.01</v>
      </c>
      <c r="F623" s="2">
        <v>8020000000</v>
      </c>
    </row>
    <row r="624" spans="1:6">
      <c r="A624" s="32">
        <v>42906</v>
      </c>
      <c r="B624" s="42">
        <v>1583.74</v>
      </c>
      <c r="C624" s="42">
        <v>1584.15</v>
      </c>
      <c r="D624" s="42">
        <v>1577.67</v>
      </c>
      <c r="E624" s="42">
        <v>1578.62</v>
      </c>
      <c r="F624" s="2">
        <v>7760000000</v>
      </c>
    </row>
    <row r="625" spans="1:6">
      <c r="A625" s="32">
        <v>42905</v>
      </c>
      <c r="B625" s="42">
        <v>1579.74</v>
      </c>
      <c r="C625" s="42">
        <v>1583.77</v>
      </c>
      <c r="D625" s="42">
        <v>1579.32</v>
      </c>
      <c r="E625" s="42">
        <v>1581.14</v>
      </c>
      <c r="F625" s="2">
        <v>7350000000</v>
      </c>
    </row>
    <row r="626" spans="1:6">
      <c r="A626" s="32">
        <v>42902</v>
      </c>
      <c r="B626" s="42">
        <v>1576.77</v>
      </c>
      <c r="C626" s="42">
        <v>1579.23</v>
      </c>
      <c r="D626" s="42">
        <v>1573.15</v>
      </c>
      <c r="E626" s="42">
        <v>1576.58</v>
      </c>
      <c r="F626" s="2">
        <v>8400000000</v>
      </c>
    </row>
    <row r="627" spans="1:6">
      <c r="A627" s="32">
        <v>42901</v>
      </c>
      <c r="B627" s="42">
        <v>1575.28</v>
      </c>
      <c r="C627" s="42">
        <v>1580.52</v>
      </c>
      <c r="D627" s="42">
        <v>1573.53</v>
      </c>
      <c r="E627" s="42">
        <v>1573.53</v>
      </c>
      <c r="F627" s="2">
        <v>10610000000</v>
      </c>
    </row>
    <row r="628" spans="1:6">
      <c r="A628" s="32">
        <v>42900</v>
      </c>
      <c r="B628" s="42">
        <v>1574.09</v>
      </c>
      <c r="C628" s="42">
        <v>1578.53</v>
      </c>
      <c r="D628" s="42">
        <v>1570.7</v>
      </c>
      <c r="E628" s="42">
        <v>1577</v>
      </c>
      <c r="F628" s="2">
        <v>10040000000</v>
      </c>
    </row>
    <row r="629" spans="1:6">
      <c r="A629" s="32">
        <v>42899</v>
      </c>
      <c r="B629" s="42">
        <v>1565.41</v>
      </c>
      <c r="C629" s="42">
        <v>1573.32</v>
      </c>
      <c r="D629" s="42">
        <v>1564.55</v>
      </c>
      <c r="E629" s="42">
        <v>1572.36</v>
      </c>
      <c r="F629" s="2">
        <v>8860000000</v>
      </c>
    </row>
    <row r="630" spans="1:6">
      <c r="A630" s="32">
        <v>42898</v>
      </c>
      <c r="B630" s="42">
        <v>1566.85</v>
      </c>
      <c r="C630" s="42">
        <v>1569.7</v>
      </c>
      <c r="D630" s="42">
        <v>1560.75</v>
      </c>
      <c r="E630" s="42">
        <v>1563.81</v>
      </c>
      <c r="F630" s="2">
        <v>8100000000</v>
      </c>
    </row>
    <row r="631" spans="1:6">
      <c r="A631" s="32">
        <v>42895</v>
      </c>
      <c r="B631" s="42">
        <v>1571.12</v>
      </c>
      <c r="C631" s="42">
        <v>1571.7</v>
      </c>
      <c r="D631" s="42">
        <v>1564.53</v>
      </c>
      <c r="E631" s="42">
        <v>1566.65</v>
      </c>
      <c r="F631" s="2">
        <v>9860000000</v>
      </c>
    </row>
    <row r="632" spans="1:6">
      <c r="A632" s="32">
        <v>42894</v>
      </c>
      <c r="B632" s="42">
        <v>1567.76</v>
      </c>
      <c r="C632" s="42">
        <v>1571.78</v>
      </c>
      <c r="D632" s="42">
        <v>1563.31</v>
      </c>
      <c r="E632" s="42">
        <v>1570.28</v>
      </c>
      <c r="F632" s="2">
        <v>10790000000</v>
      </c>
    </row>
    <row r="633" spans="1:6">
      <c r="A633" s="32">
        <v>42893</v>
      </c>
      <c r="B633" s="42">
        <v>1571.14</v>
      </c>
      <c r="C633" s="42">
        <v>1573.16</v>
      </c>
      <c r="D633" s="42">
        <v>1565.93</v>
      </c>
      <c r="E633" s="42">
        <v>1566.58</v>
      </c>
      <c r="F633" s="2">
        <v>8460000000</v>
      </c>
    </row>
    <row r="634" spans="1:6">
      <c r="A634" s="32">
        <v>42892</v>
      </c>
      <c r="B634" s="42">
        <v>1568.18</v>
      </c>
      <c r="C634" s="42">
        <v>1570.49</v>
      </c>
      <c r="D634" s="42">
        <v>1562.85</v>
      </c>
      <c r="E634" s="42">
        <v>1568.95</v>
      </c>
      <c r="F634" s="2">
        <v>9900000000</v>
      </c>
    </row>
    <row r="635" spans="1:6">
      <c r="A635" s="32">
        <v>42891</v>
      </c>
      <c r="B635" s="42">
        <v>1572.5</v>
      </c>
      <c r="C635" s="42">
        <v>1573.13</v>
      </c>
      <c r="D635" s="42">
        <v>1562.73</v>
      </c>
      <c r="E635" s="42">
        <v>1566.85</v>
      </c>
      <c r="F635" s="2">
        <v>8200000000</v>
      </c>
    </row>
    <row r="636" spans="1:6">
      <c r="A636" s="32">
        <v>42888</v>
      </c>
      <c r="B636" s="42">
        <v>1565.09</v>
      </c>
      <c r="C636" s="42">
        <v>1570.96</v>
      </c>
      <c r="D636" s="42">
        <v>1564.7</v>
      </c>
      <c r="E636" s="42">
        <v>1567.6</v>
      </c>
      <c r="F636" s="2">
        <v>8010000000</v>
      </c>
    </row>
    <row r="637" spans="1:6">
      <c r="A637" s="32">
        <v>42887</v>
      </c>
      <c r="B637" s="42">
        <v>1562.08</v>
      </c>
      <c r="C637" s="42">
        <v>1565.63</v>
      </c>
      <c r="D637" s="42">
        <v>1559.51</v>
      </c>
      <c r="E637" s="42">
        <v>1563.11</v>
      </c>
      <c r="F637" s="2">
        <v>8360000000</v>
      </c>
    </row>
    <row r="638" spans="1:6">
      <c r="A638" s="32">
        <v>42886</v>
      </c>
      <c r="B638" s="42">
        <v>1572.06</v>
      </c>
      <c r="C638" s="42">
        <v>1574.44</v>
      </c>
      <c r="D638" s="42">
        <v>1558.22</v>
      </c>
      <c r="E638" s="42">
        <v>1561.66</v>
      </c>
      <c r="F638" s="2">
        <v>8240000000</v>
      </c>
    </row>
    <row r="639" spans="1:6">
      <c r="A639" s="32">
        <v>42885</v>
      </c>
      <c r="B639" s="42">
        <v>1569.84</v>
      </c>
      <c r="C639" s="42">
        <v>1572.15</v>
      </c>
      <c r="D639" s="42">
        <v>1567.62</v>
      </c>
      <c r="E639" s="42">
        <v>1568.57</v>
      </c>
      <c r="F639" s="2">
        <v>6980000000</v>
      </c>
    </row>
    <row r="640" spans="1:6">
      <c r="A640" s="32">
        <v>42884</v>
      </c>
      <c r="B640" s="42">
        <v>1569.62</v>
      </c>
      <c r="C640" s="42">
        <v>1571.68</v>
      </c>
      <c r="D640" s="42">
        <v>1566.3</v>
      </c>
      <c r="E640" s="42">
        <v>1568.17</v>
      </c>
      <c r="F640" s="2">
        <v>6460000000</v>
      </c>
    </row>
    <row r="641" spans="1:6">
      <c r="A641" s="32">
        <v>42881</v>
      </c>
      <c r="B641" s="42">
        <v>1568.66</v>
      </c>
      <c r="C641" s="42">
        <v>1572.66</v>
      </c>
      <c r="D641" s="42">
        <v>1566.81</v>
      </c>
      <c r="E641" s="42">
        <v>1569.27</v>
      </c>
      <c r="F641" s="2">
        <v>8550000000</v>
      </c>
    </row>
    <row r="642" spans="1:6">
      <c r="A642" s="32">
        <v>42880</v>
      </c>
      <c r="B642" s="42">
        <v>1569.07</v>
      </c>
      <c r="C642" s="42">
        <v>1571.68</v>
      </c>
      <c r="D642" s="42">
        <v>1566.75</v>
      </c>
      <c r="E642" s="42">
        <v>1569.41</v>
      </c>
      <c r="F642" s="2">
        <v>7470000000</v>
      </c>
    </row>
    <row r="643" spans="1:6">
      <c r="A643" s="32">
        <v>42879</v>
      </c>
      <c r="B643" s="42">
        <v>1565.77</v>
      </c>
      <c r="C643" s="42">
        <v>1567.92</v>
      </c>
      <c r="D643" s="42">
        <v>1563.49</v>
      </c>
      <c r="E643" s="42">
        <v>1566.15</v>
      </c>
      <c r="F643" s="2">
        <v>7990000000</v>
      </c>
    </row>
    <row r="644" spans="1:6">
      <c r="A644" s="32">
        <v>42878</v>
      </c>
      <c r="B644" s="42">
        <v>1560.84</v>
      </c>
      <c r="C644" s="42">
        <v>1565.61</v>
      </c>
      <c r="D644" s="42">
        <v>1558.07</v>
      </c>
      <c r="E644" s="42">
        <v>1564.69</v>
      </c>
      <c r="F644" s="2">
        <v>7850000000</v>
      </c>
    </row>
    <row r="645" spans="1:6">
      <c r="A645" s="32">
        <v>42877</v>
      </c>
      <c r="B645" s="42">
        <v>1553.67</v>
      </c>
      <c r="C645" s="42">
        <v>1560.11</v>
      </c>
      <c r="D645" s="42">
        <v>1553.64</v>
      </c>
      <c r="E645" s="42">
        <v>1557.73</v>
      </c>
      <c r="F645" s="2">
        <v>10610000000</v>
      </c>
    </row>
    <row r="646" spans="1:6">
      <c r="A646" s="32">
        <v>42874</v>
      </c>
      <c r="B646" s="42">
        <v>1547.23</v>
      </c>
      <c r="C646" s="42">
        <v>1552.23</v>
      </c>
      <c r="D646" s="42">
        <v>1545.23</v>
      </c>
      <c r="E646" s="42">
        <v>1549.64</v>
      </c>
      <c r="F646" s="2">
        <v>7830000000</v>
      </c>
    </row>
    <row r="647" spans="1:6">
      <c r="A647" s="32">
        <v>42873</v>
      </c>
      <c r="B647" s="42">
        <v>1544.35</v>
      </c>
      <c r="C647" s="42">
        <v>1548.6</v>
      </c>
      <c r="D647" s="42">
        <v>1541.22</v>
      </c>
      <c r="E647" s="42">
        <v>1545.88</v>
      </c>
      <c r="F647" s="2">
        <v>7880000000</v>
      </c>
    </row>
    <row r="648" spans="1:6">
      <c r="A648" s="32">
        <v>42872</v>
      </c>
      <c r="B648" s="42">
        <v>1547.51</v>
      </c>
      <c r="C648" s="42">
        <v>1552.55</v>
      </c>
      <c r="D648" s="42">
        <v>1545.17</v>
      </c>
      <c r="E648" s="42">
        <v>1548.29</v>
      </c>
      <c r="F648" s="2">
        <v>9380000000</v>
      </c>
    </row>
    <row r="649" spans="1:6">
      <c r="A649" s="32">
        <v>42871</v>
      </c>
      <c r="B649" s="42">
        <v>1537.36</v>
      </c>
      <c r="C649" s="42">
        <v>1548.35</v>
      </c>
      <c r="D649" s="42">
        <v>1536.48</v>
      </c>
      <c r="E649" s="42">
        <v>1546.35</v>
      </c>
      <c r="F649" s="2">
        <v>10890000000</v>
      </c>
    </row>
    <row r="650" spans="1:6">
      <c r="A650" s="32">
        <v>42870</v>
      </c>
      <c r="B650" s="42">
        <v>1541.56</v>
      </c>
      <c r="C650" s="42">
        <v>1542.11</v>
      </c>
      <c r="D650" s="42">
        <v>1531.68</v>
      </c>
      <c r="E650" s="42">
        <v>1537.42</v>
      </c>
      <c r="F650" s="2">
        <v>11670000000</v>
      </c>
    </row>
    <row r="651" spans="1:6">
      <c r="A651" s="32">
        <v>42867</v>
      </c>
      <c r="B651" s="42">
        <v>1550.12</v>
      </c>
      <c r="C651" s="42">
        <v>1550.13</v>
      </c>
      <c r="D651" s="42">
        <v>1537.43</v>
      </c>
      <c r="E651" s="42">
        <v>1543.94</v>
      </c>
      <c r="F651" s="2">
        <v>11050000000</v>
      </c>
    </row>
    <row r="652" spans="1:6">
      <c r="A652" s="32">
        <v>42866</v>
      </c>
      <c r="B652" s="42">
        <v>1562.89</v>
      </c>
      <c r="C652" s="42">
        <v>1564.31</v>
      </c>
      <c r="D652" s="42">
        <v>1546.81</v>
      </c>
      <c r="E652" s="42">
        <v>1550.27</v>
      </c>
      <c r="F652" s="2">
        <v>9870000000</v>
      </c>
    </row>
    <row r="653" spans="1:6">
      <c r="A653" s="32">
        <v>42864</v>
      </c>
      <c r="B653" s="42">
        <v>1570.61</v>
      </c>
      <c r="C653" s="42">
        <v>1571.08</v>
      </c>
      <c r="D653" s="42">
        <v>1557.6</v>
      </c>
      <c r="E653" s="42">
        <v>1560.31</v>
      </c>
      <c r="F653" s="2">
        <v>9310000000</v>
      </c>
    </row>
    <row r="654" spans="1:6">
      <c r="A654" s="32">
        <v>42863</v>
      </c>
      <c r="B654" s="42">
        <v>1568</v>
      </c>
      <c r="C654" s="42">
        <v>1571.42</v>
      </c>
      <c r="D654" s="42">
        <v>1565.74</v>
      </c>
      <c r="E654" s="42">
        <v>1568.02</v>
      </c>
      <c r="F654" s="2">
        <v>6510000000</v>
      </c>
    </row>
    <row r="655" spans="1:6">
      <c r="A655" s="32">
        <v>42860</v>
      </c>
      <c r="B655" s="42">
        <v>1570.7</v>
      </c>
      <c r="C655" s="42">
        <v>1571.8</v>
      </c>
      <c r="D655" s="42">
        <v>1563.95</v>
      </c>
      <c r="E655" s="42">
        <v>1569.02</v>
      </c>
      <c r="F655" s="2">
        <v>6750000000</v>
      </c>
    </row>
    <row r="656" spans="1:6">
      <c r="A656" s="32">
        <v>42859</v>
      </c>
      <c r="B656" s="42">
        <v>1565.77</v>
      </c>
      <c r="C656" s="42">
        <v>1574.38</v>
      </c>
      <c r="D656" s="42">
        <v>1565.59</v>
      </c>
      <c r="E656" s="42">
        <v>1573.05</v>
      </c>
      <c r="F656" s="2">
        <v>7140000000</v>
      </c>
    </row>
    <row r="657" spans="1:6">
      <c r="A657" s="32">
        <v>42858</v>
      </c>
      <c r="B657" s="42">
        <v>1565.66</v>
      </c>
      <c r="C657" s="42">
        <v>1569.51</v>
      </c>
      <c r="D657" s="42">
        <v>1563.2</v>
      </c>
      <c r="E657" s="42">
        <v>1564.12</v>
      </c>
      <c r="F657" s="2">
        <v>5950000000</v>
      </c>
    </row>
    <row r="658" spans="1:6">
      <c r="A658" s="32">
        <v>42857</v>
      </c>
      <c r="B658" s="42">
        <v>1566.59</v>
      </c>
      <c r="C658" s="42">
        <v>1570.07</v>
      </c>
      <c r="D658" s="42">
        <v>1563.91</v>
      </c>
      <c r="E658" s="42">
        <v>1564.12</v>
      </c>
      <c r="F658" s="2">
        <v>6040000000</v>
      </c>
    </row>
    <row r="659" spans="1:6">
      <c r="A659" s="32">
        <v>42853</v>
      </c>
      <c r="B659" s="42">
        <v>1568.56</v>
      </c>
      <c r="C659" s="42">
        <v>1569.12</v>
      </c>
      <c r="D659" s="42">
        <v>1562.82</v>
      </c>
      <c r="E659" s="42">
        <v>1566.32</v>
      </c>
      <c r="F659" s="2">
        <v>7150000000</v>
      </c>
    </row>
    <row r="660" spans="1:6">
      <c r="A660" s="32">
        <v>42852</v>
      </c>
      <c r="B660" s="42">
        <v>1566.83</v>
      </c>
      <c r="C660" s="42">
        <v>1569.36</v>
      </c>
      <c r="D660" s="42">
        <v>1563.58</v>
      </c>
      <c r="E660" s="42">
        <v>1566.77</v>
      </c>
      <c r="F660" s="2">
        <v>7650000000</v>
      </c>
    </row>
    <row r="661" spans="1:6">
      <c r="A661" s="32">
        <v>42851</v>
      </c>
      <c r="B661" s="42">
        <v>1562.32</v>
      </c>
      <c r="C661" s="42">
        <v>1569.1</v>
      </c>
      <c r="D661" s="42">
        <v>1559.64</v>
      </c>
      <c r="E661" s="42">
        <v>1567.47</v>
      </c>
      <c r="F661" s="2">
        <v>9310000000</v>
      </c>
    </row>
    <row r="662" spans="1:6">
      <c r="A662" s="32">
        <v>42850</v>
      </c>
      <c r="B662" s="42">
        <v>1567.5</v>
      </c>
      <c r="C662" s="42">
        <v>1569.9</v>
      </c>
      <c r="D662" s="42">
        <v>1553.44</v>
      </c>
      <c r="E662" s="42">
        <v>1562.27</v>
      </c>
      <c r="F662" s="2">
        <v>9230000000</v>
      </c>
    </row>
    <row r="663" spans="1:6">
      <c r="A663" s="32">
        <v>42849</v>
      </c>
      <c r="B663" s="42">
        <v>1571.16</v>
      </c>
      <c r="C663" s="42">
        <v>1572.77</v>
      </c>
      <c r="D663" s="42">
        <v>1562.2</v>
      </c>
      <c r="E663" s="42">
        <v>1564.66</v>
      </c>
      <c r="F663" s="2">
        <v>8510000000</v>
      </c>
    </row>
    <row r="664" spans="1:6">
      <c r="A664" s="32">
        <v>42846</v>
      </c>
      <c r="B664" s="42">
        <v>1569.9</v>
      </c>
      <c r="C664" s="42">
        <v>1573.39</v>
      </c>
      <c r="D664" s="42">
        <v>1567.55</v>
      </c>
      <c r="E664" s="42">
        <v>1570.02</v>
      </c>
      <c r="F664" s="2">
        <v>8310000000</v>
      </c>
    </row>
    <row r="665" spans="1:6">
      <c r="A665" s="32">
        <v>42845</v>
      </c>
      <c r="B665" s="42">
        <v>1566.7</v>
      </c>
      <c r="C665" s="42">
        <v>1572.9</v>
      </c>
      <c r="D665" s="42">
        <v>1565.67</v>
      </c>
      <c r="E665" s="42">
        <v>1566.28</v>
      </c>
      <c r="F665" s="2">
        <v>9980000000</v>
      </c>
    </row>
    <row r="666" spans="1:6">
      <c r="A666" s="32">
        <v>42844</v>
      </c>
      <c r="B666" s="42">
        <v>1573.88</v>
      </c>
      <c r="C666" s="42">
        <v>1575.11</v>
      </c>
      <c r="D666" s="42">
        <v>1567.03</v>
      </c>
      <c r="E666" s="42">
        <v>1567.19</v>
      </c>
      <c r="F666" s="2">
        <v>8960000000</v>
      </c>
    </row>
    <row r="667" spans="1:6">
      <c r="A667" s="32">
        <v>42843</v>
      </c>
      <c r="B667" s="42">
        <v>1579.62</v>
      </c>
      <c r="C667" s="42">
        <v>1583.78</v>
      </c>
      <c r="D667" s="42">
        <v>1574.42</v>
      </c>
      <c r="E667" s="42">
        <v>1574.42</v>
      </c>
      <c r="F667" s="2">
        <v>7340000000</v>
      </c>
    </row>
    <row r="668" spans="1:6">
      <c r="A668" s="32">
        <v>42842</v>
      </c>
      <c r="B668" s="42">
        <v>1585.78</v>
      </c>
      <c r="C668" s="42">
        <v>1585.96</v>
      </c>
      <c r="D668" s="42">
        <v>1574.8</v>
      </c>
      <c r="E668" s="42">
        <v>1575.91</v>
      </c>
      <c r="F668" s="2">
        <v>6430000000</v>
      </c>
    </row>
    <row r="669" spans="1:6">
      <c r="A669" s="32">
        <v>42837</v>
      </c>
      <c r="B669" s="42">
        <v>1584.97</v>
      </c>
      <c r="C669" s="42">
        <v>1589.5</v>
      </c>
      <c r="D669" s="42">
        <v>1584.4</v>
      </c>
      <c r="E669" s="42">
        <v>1589.5</v>
      </c>
      <c r="F669" s="2">
        <v>5860000000</v>
      </c>
    </row>
    <row r="670" spans="1:6">
      <c r="A670" s="32">
        <v>42836</v>
      </c>
      <c r="B670" s="42">
        <v>1582.51</v>
      </c>
      <c r="C670" s="42">
        <v>1585.93</v>
      </c>
      <c r="D670" s="42">
        <v>1579.96</v>
      </c>
      <c r="E670" s="42">
        <v>1582.78</v>
      </c>
      <c r="F670" s="2">
        <v>6310000000</v>
      </c>
    </row>
    <row r="671" spans="1:6">
      <c r="A671" s="32">
        <v>42835</v>
      </c>
      <c r="B671" s="42">
        <v>1580.96</v>
      </c>
      <c r="C671" s="42">
        <v>1583.04</v>
      </c>
      <c r="D671" s="42">
        <v>1576.99</v>
      </c>
      <c r="E671" s="42">
        <v>1581.19</v>
      </c>
      <c r="F671" s="2">
        <v>6510000000</v>
      </c>
    </row>
    <row r="672" spans="1:6">
      <c r="A672" s="32">
        <v>42832</v>
      </c>
      <c r="B672" s="42">
        <v>1580.16</v>
      </c>
      <c r="C672" s="42">
        <v>1583.88</v>
      </c>
      <c r="D672" s="42">
        <v>1575.44</v>
      </c>
      <c r="E672" s="42">
        <v>1583.53</v>
      </c>
      <c r="F672" s="2">
        <v>9950000000</v>
      </c>
    </row>
    <row r="673" spans="1:6">
      <c r="A673" s="32">
        <v>42830</v>
      </c>
      <c r="B673" s="42">
        <v>1584.64</v>
      </c>
      <c r="C673" s="42">
        <v>1585.46</v>
      </c>
      <c r="D673" s="42">
        <v>1577.36</v>
      </c>
      <c r="E673" s="42">
        <v>1582.12</v>
      </c>
      <c r="F673" s="2">
        <v>7980000000</v>
      </c>
    </row>
    <row r="674" spans="1:6">
      <c r="A674" s="32">
        <v>42829</v>
      </c>
      <c r="B674" s="42">
        <v>1580.53</v>
      </c>
      <c r="C674" s="42">
        <v>1586.04</v>
      </c>
      <c r="D674" s="42">
        <v>1579.07</v>
      </c>
      <c r="E674" s="42">
        <v>1583.82</v>
      </c>
      <c r="F674" s="2">
        <v>11660000000</v>
      </c>
    </row>
    <row r="675" spans="1:6">
      <c r="A675" s="32">
        <v>42828</v>
      </c>
      <c r="B675" s="42">
        <v>1578.48</v>
      </c>
      <c r="C675" s="42">
        <v>1583.55</v>
      </c>
      <c r="D675" s="42">
        <v>1577.78</v>
      </c>
      <c r="E675" s="42">
        <v>1580.86</v>
      </c>
      <c r="F675" s="2">
        <v>7450000000</v>
      </c>
    </row>
    <row r="676" spans="1:6">
      <c r="A676" s="32">
        <v>42825</v>
      </c>
      <c r="B676" s="42">
        <v>1582.98</v>
      </c>
      <c r="C676" s="42">
        <v>1584.96</v>
      </c>
      <c r="D676" s="42">
        <v>1574.71</v>
      </c>
      <c r="E676" s="42">
        <v>1575.11</v>
      </c>
      <c r="F676" s="2">
        <v>9070000000</v>
      </c>
    </row>
    <row r="677" spans="1:6">
      <c r="A677" s="32">
        <v>42824</v>
      </c>
      <c r="B677" s="42">
        <v>1576.18</v>
      </c>
      <c r="C677" s="42">
        <v>1584.73</v>
      </c>
      <c r="D677" s="42">
        <v>1574.14</v>
      </c>
      <c r="E677" s="42">
        <v>1579.88</v>
      </c>
      <c r="F677" s="2">
        <v>9290000000</v>
      </c>
    </row>
    <row r="678" spans="1:6">
      <c r="A678" s="32">
        <v>42823</v>
      </c>
      <c r="B678" s="42">
        <v>1575.78</v>
      </c>
      <c r="C678" s="42">
        <v>1579.59</v>
      </c>
      <c r="D678" s="42">
        <v>1573.06</v>
      </c>
      <c r="E678" s="42">
        <v>1574.97</v>
      </c>
      <c r="F678" s="2">
        <v>7630000000</v>
      </c>
    </row>
    <row r="679" spans="1:6">
      <c r="A679" s="32">
        <v>42822</v>
      </c>
      <c r="B679" s="42">
        <v>1573.36</v>
      </c>
      <c r="C679" s="42">
        <v>1579.59</v>
      </c>
      <c r="D679" s="42">
        <v>1572.06</v>
      </c>
      <c r="E679" s="42">
        <v>1576.72</v>
      </c>
      <c r="F679" s="2">
        <v>7880000000</v>
      </c>
    </row>
    <row r="680" spans="1:6">
      <c r="A680" s="32">
        <v>42821</v>
      </c>
      <c r="B680" s="42">
        <v>1573.67</v>
      </c>
      <c r="C680" s="42">
        <v>1576.12</v>
      </c>
      <c r="D680" s="42">
        <v>1568.48</v>
      </c>
      <c r="E680" s="42">
        <v>1570.5</v>
      </c>
      <c r="F680" s="2">
        <v>6540000000</v>
      </c>
    </row>
    <row r="681" spans="1:6">
      <c r="A681" s="32">
        <v>42818</v>
      </c>
      <c r="B681" s="42">
        <v>1569.21</v>
      </c>
      <c r="C681" s="42">
        <v>1575.39</v>
      </c>
      <c r="D681" s="42">
        <v>1566.6</v>
      </c>
      <c r="E681" s="42">
        <v>1573.51</v>
      </c>
      <c r="F681" s="2">
        <v>6800000000</v>
      </c>
    </row>
    <row r="682" spans="1:6">
      <c r="A682" s="32">
        <v>42817</v>
      </c>
      <c r="B682" s="42">
        <v>1571.48</v>
      </c>
      <c r="C682" s="42">
        <v>1573.25</v>
      </c>
      <c r="D682" s="42">
        <v>1567.42</v>
      </c>
      <c r="E682" s="42">
        <v>1568.72</v>
      </c>
      <c r="F682" s="2">
        <v>6960000000</v>
      </c>
    </row>
    <row r="683" spans="1:6">
      <c r="A683" s="32">
        <v>42816</v>
      </c>
      <c r="B683" s="42">
        <v>1561.25</v>
      </c>
      <c r="C683" s="42">
        <v>1569.99</v>
      </c>
      <c r="D683" s="42">
        <v>1558</v>
      </c>
      <c r="E683" s="42">
        <v>1566.66</v>
      </c>
      <c r="F683" s="2">
        <v>8640000000</v>
      </c>
    </row>
    <row r="684" spans="1:6">
      <c r="A684" s="32">
        <v>42815</v>
      </c>
      <c r="B684" s="42">
        <v>1566</v>
      </c>
      <c r="C684" s="42">
        <v>1571.74</v>
      </c>
      <c r="D684" s="42">
        <v>1564.06</v>
      </c>
      <c r="E684" s="42">
        <v>1568.78</v>
      </c>
      <c r="F684" s="2">
        <v>8480000000</v>
      </c>
    </row>
    <row r="685" spans="1:6">
      <c r="A685" s="32">
        <v>42814</v>
      </c>
      <c r="B685" s="42">
        <v>1564.43</v>
      </c>
      <c r="C685" s="42">
        <v>1568.29</v>
      </c>
      <c r="D685" s="42">
        <v>1561.79</v>
      </c>
      <c r="E685" s="42">
        <v>1563.54</v>
      </c>
      <c r="F685" s="2">
        <v>7690000000</v>
      </c>
    </row>
    <row r="686" spans="1:6">
      <c r="A686" s="32">
        <v>42811</v>
      </c>
      <c r="B686" s="42">
        <v>1559.97</v>
      </c>
      <c r="C686" s="42">
        <v>1562.82</v>
      </c>
      <c r="D686" s="42">
        <v>1554.49</v>
      </c>
      <c r="E686" s="42">
        <v>1560.98</v>
      </c>
      <c r="F686" s="2">
        <v>9520000000</v>
      </c>
    </row>
    <row r="687" spans="1:6">
      <c r="A687" s="32">
        <v>42810</v>
      </c>
      <c r="B687" s="42">
        <v>1548.89</v>
      </c>
      <c r="C687" s="42">
        <v>1559.61</v>
      </c>
      <c r="D687" s="42">
        <v>1547.42</v>
      </c>
      <c r="E687" s="42">
        <v>1557.05</v>
      </c>
      <c r="F687" s="2">
        <v>10880000000</v>
      </c>
    </row>
    <row r="688" spans="1:6">
      <c r="A688" s="32">
        <v>42809</v>
      </c>
      <c r="B688" s="42">
        <v>1542.57</v>
      </c>
      <c r="C688" s="42">
        <v>1545.28</v>
      </c>
      <c r="D688" s="42">
        <v>1537.47</v>
      </c>
      <c r="E688" s="42">
        <v>1540.8</v>
      </c>
      <c r="F688" s="2">
        <v>10910000000</v>
      </c>
    </row>
    <row r="689" spans="1:6">
      <c r="A689" s="32">
        <v>42808</v>
      </c>
      <c r="B689" s="42">
        <v>1533.5</v>
      </c>
      <c r="C689" s="42">
        <v>1546.01</v>
      </c>
      <c r="D689" s="42">
        <v>1531.73</v>
      </c>
      <c r="E689" s="42">
        <v>1543.15</v>
      </c>
      <c r="F689" s="2">
        <v>11390000000</v>
      </c>
    </row>
    <row r="690" spans="1:6">
      <c r="A690" s="32">
        <v>42807</v>
      </c>
      <c r="B690" s="42">
        <v>1537.08</v>
      </c>
      <c r="C690" s="42">
        <v>1538.1</v>
      </c>
      <c r="D690" s="42">
        <v>1528.78</v>
      </c>
      <c r="E690" s="42">
        <v>1535.51</v>
      </c>
      <c r="F690" s="2">
        <v>10260000000</v>
      </c>
    </row>
    <row r="691" spans="1:6">
      <c r="A691" s="32">
        <v>42804</v>
      </c>
      <c r="B691" s="42">
        <v>1547.91</v>
      </c>
      <c r="C691" s="42">
        <v>1548.59</v>
      </c>
      <c r="D691" s="42">
        <v>1537.23</v>
      </c>
      <c r="E691" s="42">
        <v>1539.91</v>
      </c>
      <c r="F691" s="2">
        <v>9540000000</v>
      </c>
    </row>
    <row r="692" spans="1:6">
      <c r="A692" s="32">
        <v>42803</v>
      </c>
      <c r="B692" s="42">
        <v>1548.23</v>
      </c>
      <c r="C692" s="42">
        <v>1551.2</v>
      </c>
      <c r="D692" s="42">
        <v>1544.62</v>
      </c>
      <c r="E692" s="42">
        <v>1549.24</v>
      </c>
      <c r="F692" s="2">
        <v>9010000000</v>
      </c>
    </row>
    <row r="693" spans="1:6">
      <c r="A693" s="32">
        <v>42802</v>
      </c>
      <c r="B693" s="42">
        <v>1549.29</v>
      </c>
      <c r="C693" s="42">
        <v>1551.73</v>
      </c>
      <c r="D693" s="42">
        <v>1534.85</v>
      </c>
      <c r="E693" s="42">
        <v>1551.73</v>
      </c>
      <c r="F693" s="2">
        <v>13940000000</v>
      </c>
    </row>
    <row r="694" spans="1:6">
      <c r="A694" s="32">
        <v>42801</v>
      </c>
      <c r="B694" s="42">
        <v>1552.44</v>
      </c>
      <c r="C694" s="42">
        <v>1556.95</v>
      </c>
      <c r="D694" s="42">
        <v>1549.09</v>
      </c>
      <c r="E694" s="42">
        <v>1549.87</v>
      </c>
      <c r="F694" s="2">
        <v>8120000000</v>
      </c>
    </row>
    <row r="695" spans="1:6">
      <c r="A695" s="32">
        <v>42800</v>
      </c>
      <c r="B695" s="42">
        <v>1564.41</v>
      </c>
      <c r="C695" s="42">
        <v>1564.89</v>
      </c>
      <c r="D695" s="42">
        <v>1550.98</v>
      </c>
      <c r="E695" s="42">
        <v>1553.61</v>
      </c>
      <c r="F695" s="2">
        <v>8300000000</v>
      </c>
    </row>
    <row r="696" spans="1:6">
      <c r="A696" s="32">
        <v>42797</v>
      </c>
      <c r="B696" s="42">
        <v>1567.06</v>
      </c>
      <c r="C696" s="42">
        <v>1569.74</v>
      </c>
      <c r="D696" s="42">
        <v>1564.16</v>
      </c>
      <c r="E696" s="42">
        <v>1566.2</v>
      </c>
      <c r="F696" s="2">
        <v>7790000000</v>
      </c>
    </row>
    <row r="697" spans="1:6">
      <c r="A697" s="32">
        <v>42796</v>
      </c>
      <c r="B697" s="42">
        <v>1571.28</v>
      </c>
      <c r="C697" s="42">
        <v>1573.31</v>
      </c>
      <c r="D697" s="42">
        <v>1568.42</v>
      </c>
      <c r="E697" s="42">
        <v>1569.94</v>
      </c>
      <c r="F697" s="2">
        <v>11190000000</v>
      </c>
    </row>
    <row r="698" spans="1:6">
      <c r="A698" s="32">
        <v>42795</v>
      </c>
      <c r="B698" s="42">
        <v>1562.03</v>
      </c>
      <c r="C698" s="42">
        <v>1567.36</v>
      </c>
      <c r="D698" s="42">
        <v>1559.85</v>
      </c>
      <c r="E698" s="42">
        <v>1567.19</v>
      </c>
      <c r="F698" s="2">
        <v>8620000000</v>
      </c>
    </row>
    <row r="699" spans="1:6">
      <c r="A699" s="32">
        <v>42794</v>
      </c>
      <c r="B699" s="42">
        <v>1559.48</v>
      </c>
      <c r="C699" s="42">
        <v>1563.96</v>
      </c>
      <c r="D699" s="42">
        <v>1557.93</v>
      </c>
      <c r="E699" s="42">
        <v>1559.56</v>
      </c>
      <c r="F699" s="2">
        <v>8810000000</v>
      </c>
    </row>
    <row r="700" spans="1:6">
      <c r="A700" s="32">
        <v>42793</v>
      </c>
      <c r="B700" s="42">
        <v>1560.58</v>
      </c>
      <c r="C700" s="42">
        <v>1562.86</v>
      </c>
      <c r="D700" s="42">
        <v>1555.52</v>
      </c>
      <c r="E700" s="42">
        <v>1558.03</v>
      </c>
      <c r="F700" s="2">
        <v>10330000000</v>
      </c>
    </row>
    <row r="701" spans="1:6">
      <c r="A701" s="32">
        <v>42790</v>
      </c>
      <c r="B701" s="42">
        <v>1566.64</v>
      </c>
      <c r="C701" s="42">
        <v>1568.43</v>
      </c>
      <c r="D701" s="42">
        <v>1561.46</v>
      </c>
      <c r="E701" s="42">
        <v>1564.59</v>
      </c>
      <c r="F701" s="2">
        <v>10860000000</v>
      </c>
    </row>
    <row r="702" spans="1:6">
      <c r="A702" s="32">
        <v>42789</v>
      </c>
      <c r="B702" s="42">
        <v>1569.98</v>
      </c>
      <c r="C702" s="42">
        <v>1570.27</v>
      </c>
      <c r="D702" s="42">
        <v>1562.58</v>
      </c>
      <c r="E702" s="42">
        <v>1567.32</v>
      </c>
      <c r="F702" s="2">
        <v>10900000000</v>
      </c>
    </row>
    <row r="703" spans="1:6">
      <c r="A703" s="32">
        <v>42788</v>
      </c>
      <c r="B703" s="42">
        <v>1567.9</v>
      </c>
      <c r="C703" s="42">
        <v>1572.22</v>
      </c>
      <c r="D703" s="42">
        <v>1561.71</v>
      </c>
      <c r="E703" s="42">
        <v>1572.04</v>
      </c>
      <c r="F703" s="2">
        <v>10220000000</v>
      </c>
    </row>
    <row r="704" spans="1:6">
      <c r="A704" s="32">
        <v>42787</v>
      </c>
      <c r="B704" s="42">
        <v>1578.38</v>
      </c>
      <c r="C704" s="42">
        <v>1583.31</v>
      </c>
      <c r="D704" s="42">
        <v>1564.37</v>
      </c>
      <c r="E704" s="42">
        <v>1564.42</v>
      </c>
      <c r="F704" s="2">
        <v>11680000000</v>
      </c>
    </row>
    <row r="705" spans="1:6">
      <c r="A705" s="32">
        <v>42786</v>
      </c>
      <c r="B705" s="42">
        <v>1580.46</v>
      </c>
      <c r="C705" s="42">
        <v>1581.91</v>
      </c>
      <c r="D705" s="42">
        <v>1574.24</v>
      </c>
      <c r="E705" s="42">
        <v>1578.47</v>
      </c>
      <c r="F705" s="2">
        <v>10880000000</v>
      </c>
    </row>
    <row r="706" spans="1:6">
      <c r="A706" s="32">
        <v>42783</v>
      </c>
      <c r="B706" s="42">
        <v>1578.86</v>
      </c>
      <c r="C706" s="42">
        <v>1583.74</v>
      </c>
      <c r="D706" s="42">
        <v>1577.26</v>
      </c>
      <c r="E706" s="42">
        <v>1577.84</v>
      </c>
      <c r="F706" s="2">
        <v>9610000000</v>
      </c>
    </row>
    <row r="707" spans="1:6">
      <c r="A707" s="32">
        <v>42782</v>
      </c>
      <c r="B707" s="42">
        <v>1574.34</v>
      </c>
      <c r="C707" s="42">
        <v>1580.34</v>
      </c>
      <c r="D707" s="42">
        <v>1573.07</v>
      </c>
      <c r="E707" s="42">
        <v>1576.05</v>
      </c>
      <c r="F707" s="2">
        <v>10650000000</v>
      </c>
    </row>
    <row r="708" spans="1:6">
      <c r="A708" s="32">
        <v>42781</v>
      </c>
      <c r="B708" s="42">
        <v>1571.86</v>
      </c>
      <c r="C708" s="42">
        <v>1574.91</v>
      </c>
      <c r="D708" s="42">
        <v>1560.67</v>
      </c>
      <c r="E708" s="42">
        <v>1573.37</v>
      </c>
      <c r="F708" s="2">
        <v>13540000000</v>
      </c>
    </row>
    <row r="709" spans="1:6">
      <c r="A709" s="32">
        <v>42780</v>
      </c>
      <c r="B709" s="42">
        <v>1586.38</v>
      </c>
      <c r="C709" s="42">
        <v>1587.66</v>
      </c>
      <c r="D709" s="42">
        <v>1570.06</v>
      </c>
      <c r="E709" s="42">
        <v>1572.24</v>
      </c>
      <c r="F709" s="2">
        <v>9330000000</v>
      </c>
    </row>
    <row r="710" spans="1:6">
      <c r="A710" s="32">
        <v>42776</v>
      </c>
      <c r="B710" s="42">
        <v>1589.68</v>
      </c>
      <c r="C710" s="42">
        <v>1590.96</v>
      </c>
      <c r="D710" s="42">
        <v>1582.68</v>
      </c>
      <c r="E710" s="42">
        <v>1585.24</v>
      </c>
      <c r="F710" s="2">
        <v>9300000000</v>
      </c>
    </row>
    <row r="711" spans="1:6">
      <c r="A711" s="32">
        <v>42775</v>
      </c>
      <c r="B711" s="42">
        <v>1592.91</v>
      </c>
      <c r="C711" s="42">
        <v>1595.81</v>
      </c>
      <c r="D711" s="42">
        <v>1582.6</v>
      </c>
      <c r="E711" s="42">
        <v>1583.25</v>
      </c>
      <c r="F711" s="2">
        <v>9950000000</v>
      </c>
    </row>
    <row r="712" spans="1:6">
      <c r="A712" s="32">
        <v>42774</v>
      </c>
      <c r="B712" s="42">
        <v>1582.54</v>
      </c>
      <c r="C712" s="42">
        <v>1594.61</v>
      </c>
      <c r="D712" s="42">
        <v>1581.6</v>
      </c>
      <c r="E712" s="42">
        <v>1589.29</v>
      </c>
      <c r="F712" s="2">
        <v>11620000000</v>
      </c>
    </row>
    <row r="713" spans="1:6">
      <c r="A713" s="32">
        <v>42773</v>
      </c>
      <c r="B713" s="42">
        <v>1587.76</v>
      </c>
      <c r="C713" s="42">
        <v>1591.7</v>
      </c>
      <c r="D713" s="42">
        <v>1580.66</v>
      </c>
      <c r="E713" s="42">
        <v>1582.52</v>
      </c>
      <c r="F713" s="2">
        <v>9810000000</v>
      </c>
    </row>
    <row r="714" spans="1:6">
      <c r="A714" s="32">
        <v>42772</v>
      </c>
      <c r="B714" s="42">
        <v>1586.79</v>
      </c>
      <c r="C714" s="42">
        <v>1592.68</v>
      </c>
      <c r="D714" s="42">
        <v>1584.44</v>
      </c>
      <c r="E714" s="42">
        <v>1589.13</v>
      </c>
      <c r="F714" s="2">
        <v>10520000000</v>
      </c>
    </row>
    <row r="715" spans="1:6">
      <c r="A715" s="32">
        <v>42769</v>
      </c>
      <c r="B715" s="42">
        <v>1573.26</v>
      </c>
      <c r="C715" s="42">
        <v>1586.06</v>
      </c>
      <c r="D715" s="42">
        <v>1571.38</v>
      </c>
      <c r="E715" s="42">
        <v>1582.95</v>
      </c>
      <c r="F715" s="2">
        <v>9840000000</v>
      </c>
    </row>
    <row r="716" spans="1:6">
      <c r="A716" s="32">
        <v>42768</v>
      </c>
      <c r="B716" s="42">
        <v>1577.14</v>
      </c>
      <c r="C716" s="42">
        <v>1582.1</v>
      </c>
      <c r="D716" s="42">
        <v>1572.45</v>
      </c>
      <c r="E716" s="42">
        <v>1572.67</v>
      </c>
      <c r="F716" s="2">
        <v>9200000000</v>
      </c>
    </row>
    <row r="717" spans="1:6">
      <c r="A717" s="32">
        <v>42767</v>
      </c>
      <c r="B717" s="42">
        <v>1575.13</v>
      </c>
      <c r="C717" s="42">
        <v>1581.35</v>
      </c>
      <c r="D717" s="42">
        <v>1569.75</v>
      </c>
      <c r="E717" s="42">
        <v>1576.32</v>
      </c>
      <c r="F717" s="2">
        <v>10290000000</v>
      </c>
    </row>
    <row r="718" spans="1:6">
      <c r="A718" s="32">
        <v>42766</v>
      </c>
      <c r="B718" s="42">
        <v>1586.24</v>
      </c>
      <c r="C718" s="42">
        <v>1586.87</v>
      </c>
      <c r="D718" s="42">
        <v>1575.86</v>
      </c>
      <c r="E718" s="42">
        <v>1577.31</v>
      </c>
      <c r="F718" s="2">
        <v>9060000000</v>
      </c>
    </row>
    <row r="719" spans="1:6">
      <c r="A719" s="32">
        <v>42765</v>
      </c>
      <c r="B719" s="42">
        <v>1589.25</v>
      </c>
      <c r="C719" s="42">
        <v>1594.66</v>
      </c>
      <c r="D719" s="42">
        <v>1587</v>
      </c>
      <c r="E719" s="42">
        <v>1590.56</v>
      </c>
      <c r="F719" s="2">
        <v>8170000000</v>
      </c>
    </row>
    <row r="720" spans="1:6">
      <c r="A720" s="32">
        <v>42762</v>
      </c>
      <c r="B720" s="42">
        <v>1590.37</v>
      </c>
      <c r="C720" s="42">
        <v>1592.51</v>
      </c>
      <c r="D720" s="42">
        <v>1586.01</v>
      </c>
      <c r="E720" s="42">
        <v>1590.8</v>
      </c>
      <c r="F720" s="2">
        <v>7890000000</v>
      </c>
    </row>
    <row r="721" spans="1:6">
      <c r="A721" s="32">
        <v>42761</v>
      </c>
      <c r="B721" s="42">
        <v>1596.74</v>
      </c>
      <c r="C721" s="42">
        <v>1600.79</v>
      </c>
      <c r="D721" s="42">
        <v>1587.21</v>
      </c>
      <c r="E721" s="42">
        <v>1591</v>
      </c>
      <c r="F721" s="2">
        <v>10710000000</v>
      </c>
    </row>
    <row r="722" spans="1:6">
      <c r="A722" s="32">
        <v>42760</v>
      </c>
      <c r="B722" s="42">
        <v>1584.05</v>
      </c>
      <c r="C722" s="42">
        <v>1588.11</v>
      </c>
      <c r="D722" s="42">
        <v>1580.07</v>
      </c>
      <c r="E722" s="42">
        <v>1584.29</v>
      </c>
      <c r="F722" s="2">
        <v>11780000000</v>
      </c>
    </row>
    <row r="723" spans="1:6">
      <c r="A723" s="32">
        <v>42759</v>
      </c>
      <c r="B723" s="42">
        <v>1573.35</v>
      </c>
      <c r="C723" s="42">
        <v>1581.78</v>
      </c>
      <c r="D723" s="42">
        <v>1572.92</v>
      </c>
      <c r="E723" s="42">
        <v>1578.82</v>
      </c>
      <c r="F723" s="2">
        <v>12150000000</v>
      </c>
    </row>
    <row r="724" spans="1:6">
      <c r="A724" s="32">
        <v>42758</v>
      </c>
      <c r="B724" s="42">
        <v>1567.68</v>
      </c>
      <c r="C724" s="42">
        <v>1571.01</v>
      </c>
      <c r="D724" s="42">
        <v>1565.09</v>
      </c>
      <c r="E724" s="42">
        <v>1570.79</v>
      </c>
      <c r="F724" s="2">
        <v>9380000000</v>
      </c>
    </row>
    <row r="725" spans="1:6">
      <c r="A725" s="32">
        <v>42755</v>
      </c>
      <c r="B725" s="42">
        <v>1553.07</v>
      </c>
      <c r="C725" s="42">
        <v>1566.34</v>
      </c>
      <c r="D725" s="42">
        <v>1552.16</v>
      </c>
      <c r="E725" s="42">
        <v>1562.99</v>
      </c>
      <c r="F725" s="2">
        <v>10540000000</v>
      </c>
    </row>
    <row r="726" spans="1:6">
      <c r="A726" s="32">
        <v>42754</v>
      </c>
      <c r="B726" s="42">
        <v>1559.48</v>
      </c>
      <c r="C726" s="42">
        <v>1560.44</v>
      </c>
      <c r="D726" s="42">
        <v>1546.56</v>
      </c>
      <c r="E726" s="42">
        <v>1554.88</v>
      </c>
      <c r="F726" s="2">
        <v>10300000000</v>
      </c>
    </row>
    <row r="727" spans="1:6">
      <c r="A727" s="32">
        <v>42753</v>
      </c>
      <c r="B727" s="42">
        <v>1569.28</v>
      </c>
      <c r="C727" s="42">
        <v>1572.16</v>
      </c>
      <c r="D727" s="42">
        <v>1560.76</v>
      </c>
      <c r="E727" s="42">
        <v>1560.83</v>
      </c>
      <c r="F727" s="2">
        <v>9660000000</v>
      </c>
    </row>
    <row r="728" spans="1:6">
      <c r="A728" s="32">
        <v>42752</v>
      </c>
      <c r="B728" s="42">
        <v>1573.01</v>
      </c>
      <c r="C728" s="42">
        <v>1577.71</v>
      </c>
      <c r="D728" s="42">
        <v>1566.17</v>
      </c>
      <c r="E728" s="42">
        <v>1566.84</v>
      </c>
      <c r="F728" s="2">
        <v>11810000000</v>
      </c>
    </row>
    <row r="729" spans="1:6">
      <c r="A729" s="32">
        <v>42751</v>
      </c>
      <c r="B729" s="42">
        <v>1574.15</v>
      </c>
      <c r="C729" s="42">
        <v>1576.82</v>
      </c>
      <c r="D729" s="42">
        <v>1567.65</v>
      </c>
      <c r="E729" s="42">
        <v>1571.8</v>
      </c>
      <c r="F729" s="2">
        <v>11410000000</v>
      </c>
    </row>
    <row r="730" spans="1:6">
      <c r="A730" s="32">
        <v>42748</v>
      </c>
      <c r="B730" s="42">
        <v>1572.67</v>
      </c>
      <c r="C730" s="42">
        <v>1576.35</v>
      </c>
      <c r="D730" s="42">
        <v>1566.81</v>
      </c>
      <c r="E730" s="42">
        <v>1575.24</v>
      </c>
      <c r="F730" s="2">
        <v>9100000000</v>
      </c>
    </row>
    <row r="731" spans="1:6">
      <c r="A731" s="32">
        <v>42747</v>
      </c>
      <c r="B731" s="42">
        <v>1580.77</v>
      </c>
      <c r="C731" s="42">
        <v>1581.35</v>
      </c>
      <c r="D731" s="42">
        <v>1567.36</v>
      </c>
      <c r="E731" s="42">
        <v>1568.84</v>
      </c>
      <c r="F731" s="2">
        <v>10130000000</v>
      </c>
    </row>
    <row r="732" spans="1:6">
      <c r="A732" s="32">
        <v>42746</v>
      </c>
      <c r="B732" s="42">
        <v>1572.38</v>
      </c>
      <c r="C732" s="42">
        <v>1583.26</v>
      </c>
      <c r="D732" s="42">
        <v>1571.83</v>
      </c>
      <c r="E732" s="42">
        <v>1572.93</v>
      </c>
      <c r="F732" s="2">
        <v>12060000000</v>
      </c>
    </row>
    <row r="733" spans="1:6">
      <c r="A733" s="32">
        <v>42745</v>
      </c>
      <c r="B733" s="42">
        <v>1563.49</v>
      </c>
      <c r="C733" s="42">
        <v>1574.04</v>
      </c>
      <c r="D733" s="42">
        <v>1563.13</v>
      </c>
      <c r="E733" s="42">
        <v>1572.1</v>
      </c>
      <c r="F733" s="2">
        <v>10950000000</v>
      </c>
    </row>
    <row r="734" spans="1:6">
      <c r="A734" s="32">
        <v>42744</v>
      </c>
      <c r="B734" s="42">
        <v>1572.84</v>
      </c>
      <c r="C734" s="42">
        <v>1573.75</v>
      </c>
      <c r="D734" s="42">
        <v>1559.83</v>
      </c>
      <c r="E734" s="42">
        <v>1564.08</v>
      </c>
      <c r="F734" s="2">
        <v>11310000000</v>
      </c>
    </row>
    <row r="735" spans="1:6">
      <c r="A735" s="32">
        <v>42741</v>
      </c>
      <c r="B735" s="42">
        <v>1572.9</v>
      </c>
      <c r="C735" s="42">
        <v>1575.62</v>
      </c>
      <c r="D735" s="42">
        <v>1566.78</v>
      </c>
      <c r="E735" s="42">
        <v>1571.48</v>
      </c>
      <c r="F735" s="2">
        <v>12250000000</v>
      </c>
    </row>
    <row r="736" spans="1:6">
      <c r="A736" s="32">
        <v>42740</v>
      </c>
      <c r="B736" s="42">
        <v>1568.39</v>
      </c>
      <c r="C736" s="42">
        <v>1574.85</v>
      </c>
      <c r="D736" s="42">
        <v>1564.84</v>
      </c>
      <c r="E736" s="42">
        <v>1571.05</v>
      </c>
      <c r="F736" s="2">
        <v>12640000000</v>
      </c>
    </row>
    <row r="737" spans="1:6">
      <c r="A737" s="32">
        <v>42739</v>
      </c>
      <c r="B737" s="42">
        <v>1548.49</v>
      </c>
      <c r="C737" s="42">
        <v>1564.58</v>
      </c>
      <c r="D737" s="42">
        <v>1548.44</v>
      </c>
      <c r="E737" s="42">
        <v>1563.58</v>
      </c>
      <c r="F737" s="2">
        <v>12280000000</v>
      </c>
    </row>
    <row r="738" spans="1:6">
      <c r="A738" s="32">
        <v>42734</v>
      </c>
      <c r="B738" s="42">
        <v>1539.51</v>
      </c>
      <c r="C738" s="42">
        <v>1546.58</v>
      </c>
      <c r="D738" s="42">
        <v>1538.05</v>
      </c>
      <c r="E738" s="42">
        <v>1542.94</v>
      </c>
      <c r="F738" s="2">
        <v>7490000000</v>
      </c>
    </row>
    <row r="739" spans="1:6">
      <c r="A739" s="32">
        <v>42733</v>
      </c>
      <c r="B739" s="42">
        <v>1524.58</v>
      </c>
      <c r="C739" s="42">
        <v>1542.39</v>
      </c>
      <c r="D739" s="42">
        <v>1523.97</v>
      </c>
      <c r="E739" s="42">
        <v>1537.81</v>
      </c>
      <c r="F739" s="2">
        <v>6950000000</v>
      </c>
    </row>
    <row r="740" spans="1:6">
      <c r="A740" s="32">
        <v>42732</v>
      </c>
      <c r="B740" s="42">
        <v>1520.4</v>
      </c>
      <c r="C740" s="42">
        <v>1526.62</v>
      </c>
      <c r="D740" s="42">
        <v>1518.68</v>
      </c>
      <c r="E740" s="42">
        <v>1524.6</v>
      </c>
      <c r="F740" s="2">
        <v>6800000000</v>
      </c>
    </row>
    <row r="741" spans="1:6">
      <c r="A741" s="32">
        <v>42731</v>
      </c>
      <c r="B741" s="42">
        <v>1516.25</v>
      </c>
      <c r="C741" s="42">
        <v>1519.66</v>
      </c>
      <c r="D741" s="42">
        <v>1513.98</v>
      </c>
      <c r="E741" s="42">
        <v>1517.08</v>
      </c>
      <c r="F741" s="2">
        <v>5570000000</v>
      </c>
    </row>
    <row r="742" spans="1:6">
      <c r="A742" s="32">
        <v>42730</v>
      </c>
      <c r="B742" s="42">
        <v>1512.09</v>
      </c>
      <c r="C742" s="42">
        <v>1517.08</v>
      </c>
      <c r="D742" s="42">
        <v>1511.8</v>
      </c>
      <c r="E742" s="42">
        <v>1515.23</v>
      </c>
      <c r="F742" s="2">
        <v>5870000000</v>
      </c>
    </row>
    <row r="743" spans="1:6">
      <c r="A743" s="32">
        <v>42727</v>
      </c>
      <c r="B743" s="42">
        <v>1504.76</v>
      </c>
      <c r="C743" s="42">
        <v>1511.85</v>
      </c>
      <c r="D743" s="42">
        <v>1502.28</v>
      </c>
      <c r="E743" s="42">
        <v>1509.98</v>
      </c>
      <c r="F743" s="2">
        <v>7740000000</v>
      </c>
    </row>
    <row r="744" spans="1:6">
      <c r="A744" s="32">
        <v>42726</v>
      </c>
      <c r="B744" s="42">
        <v>1509.09</v>
      </c>
      <c r="C744" s="42">
        <v>1510.42</v>
      </c>
      <c r="D744" s="42">
        <v>1502.29</v>
      </c>
      <c r="E744" s="42">
        <v>1504.12</v>
      </c>
      <c r="F744" s="2">
        <v>6660000000</v>
      </c>
    </row>
    <row r="745" spans="1:6">
      <c r="A745" s="32">
        <v>42725</v>
      </c>
      <c r="B745" s="42">
        <v>1513.68</v>
      </c>
      <c r="C745" s="42">
        <v>1515.87</v>
      </c>
      <c r="D745" s="42">
        <v>1506.75</v>
      </c>
      <c r="E745" s="42">
        <v>1508.57</v>
      </c>
      <c r="F745" s="2">
        <v>8300000000</v>
      </c>
    </row>
    <row r="746" spans="1:6">
      <c r="A746" s="32">
        <v>42724</v>
      </c>
      <c r="B746" s="42">
        <v>1524.64</v>
      </c>
      <c r="C746" s="42">
        <v>1524.89</v>
      </c>
      <c r="D746" s="42">
        <v>1507.91</v>
      </c>
      <c r="E746" s="42">
        <v>1511.65</v>
      </c>
      <c r="F746" s="2">
        <v>8650000000</v>
      </c>
    </row>
    <row r="747" spans="1:6">
      <c r="A747" s="32">
        <v>42723</v>
      </c>
      <c r="B747" s="42">
        <v>1524.15</v>
      </c>
      <c r="C747" s="42">
        <v>1527.03</v>
      </c>
      <c r="D747" s="42">
        <v>1520.89</v>
      </c>
      <c r="E747" s="42">
        <v>1522.4</v>
      </c>
      <c r="F747" s="2">
        <v>8580000000</v>
      </c>
    </row>
    <row r="748" spans="1:6">
      <c r="A748" s="32">
        <v>42720</v>
      </c>
      <c r="B748" s="42">
        <v>1523.47</v>
      </c>
      <c r="C748" s="42">
        <v>1527.58</v>
      </c>
      <c r="D748" s="42">
        <v>1520.73</v>
      </c>
      <c r="E748" s="42">
        <v>1522.51</v>
      </c>
      <c r="F748" s="2">
        <v>9500000000</v>
      </c>
    </row>
    <row r="749" spans="1:6">
      <c r="A749" s="32">
        <v>42719</v>
      </c>
      <c r="B749" s="42">
        <v>1516.2</v>
      </c>
      <c r="C749" s="42">
        <v>1522.62</v>
      </c>
      <c r="D749" s="42">
        <v>1514.68</v>
      </c>
      <c r="E749" s="42">
        <v>1519.65</v>
      </c>
      <c r="F749" s="2">
        <v>10480000000</v>
      </c>
    </row>
    <row r="750" spans="1:6">
      <c r="A750" s="32">
        <v>42718</v>
      </c>
      <c r="B750" s="42">
        <v>1531.06</v>
      </c>
      <c r="C750" s="42">
        <v>1531.84</v>
      </c>
      <c r="D750" s="42">
        <v>1518.11</v>
      </c>
      <c r="E750" s="42">
        <v>1521.25</v>
      </c>
      <c r="F750" s="2">
        <v>10450000000</v>
      </c>
    </row>
    <row r="751" spans="1:6">
      <c r="A751" s="32">
        <v>42717</v>
      </c>
      <c r="B751" s="42">
        <v>1528.16</v>
      </c>
      <c r="C751" s="42">
        <v>1532.37</v>
      </c>
      <c r="D751" s="42">
        <v>1521.42</v>
      </c>
      <c r="E751" s="42">
        <v>1530.21</v>
      </c>
      <c r="F751" s="2">
        <v>10650000000</v>
      </c>
    </row>
    <row r="752" spans="1:6">
      <c r="A752" s="32">
        <v>42713</v>
      </c>
      <c r="B752" s="42">
        <v>1531.95</v>
      </c>
      <c r="C752" s="42">
        <v>1532.84</v>
      </c>
      <c r="D752" s="42">
        <v>1522.84</v>
      </c>
      <c r="E752" s="42">
        <v>1526.32</v>
      </c>
      <c r="F752" s="2">
        <v>9270000000</v>
      </c>
    </row>
    <row r="753" spans="1:6">
      <c r="A753" s="32">
        <v>42712</v>
      </c>
      <c r="B753" s="42">
        <v>1524.2</v>
      </c>
      <c r="C753" s="42">
        <v>1530.33</v>
      </c>
      <c r="D753" s="42">
        <v>1523.73</v>
      </c>
      <c r="E753" s="42">
        <v>1525.41</v>
      </c>
      <c r="F753" s="2">
        <v>10860000000</v>
      </c>
    </row>
    <row r="754" spans="1:6">
      <c r="A754" s="32">
        <v>42711</v>
      </c>
      <c r="B754" s="42">
        <v>1515.61</v>
      </c>
      <c r="C754" s="42">
        <v>1523.45</v>
      </c>
      <c r="D754" s="42">
        <v>1513.28</v>
      </c>
      <c r="E754" s="42">
        <v>1520.53</v>
      </c>
      <c r="F754" s="2">
        <v>11920000000</v>
      </c>
    </row>
    <row r="755" spans="1:6">
      <c r="A755" s="32">
        <v>42710</v>
      </c>
      <c r="B755" s="42">
        <v>1506.48</v>
      </c>
      <c r="C755" s="42">
        <v>1516.5</v>
      </c>
      <c r="D755" s="42">
        <v>1503.15</v>
      </c>
      <c r="E755" s="42">
        <v>1516.48</v>
      </c>
      <c r="F755" s="2">
        <v>8160000000</v>
      </c>
    </row>
    <row r="756" spans="1:6">
      <c r="A756" s="32">
        <v>42706</v>
      </c>
      <c r="B756" s="42">
        <v>1514.4</v>
      </c>
      <c r="C756" s="42">
        <v>1518.29</v>
      </c>
      <c r="D756" s="42">
        <v>1498.57</v>
      </c>
      <c r="E756" s="42">
        <v>1501.66</v>
      </c>
      <c r="F756" s="2">
        <v>8690000000</v>
      </c>
    </row>
    <row r="757" spans="1:6">
      <c r="A757" s="32">
        <v>42705</v>
      </c>
      <c r="B757" s="42">
        <v>1519.66</v>
      </c>
      <c r="C757" s="42">
        <v>1523.63</v>
      </c>
      <c r="D757" s="42">
        <v>1510.64</v>
      </c>
      <c r="E757" s="42">
        <v>1512.38</v>
      </c>
      <c r="F757" s="2">
        <v>10440000000</v>
      </c>
    </row>
    <row r="758" spans="1:6">
      <c r="A758" s="32">
        <v>42704</v>
      </c>
      <c r="B758" s="42">
        <v>1498.41</v>
      </c>
      <c r="C758" s="42">
        <v>1511.87</v>
      </c>
      <c r="D758" s="42">
        <v>1496.05</v>
      </c>
      <c r="E758" s="42">
        <v>1510.24</v>
      </c>
      <c r="F758" s="2">
        <v>9580000000</v>
      </c>
    </row>
    <row r="759" spans="1:6">
      <c r="A759" s="32">
        <v>42703</v>
      </c>
      <c r="B759" s="42">
        <v>1507.59</v>
      </c>
      <c r="C759" s="42">
        <v>1509.51</v>
      </c>
      <c r="D759" s="42">
        <v>1494.51</v>
      </c>
      <c r="E759" s="42">
        <v>1497.18</v>
      </c>
      <c r="F759" s="2">
        <v>9370000000</v>
      </c>
    </row>
    <row r="760" spans="1:6">
      <c r="A760" s="32">
        <v>42702</v>
      </c>
      <c r="B760" s="42">
        <v>1502.57</v>
      </c>
      <c r="C760" s="42">
        <v>1505.48</v>
      </c>
      <c r="D760" s="42">
        <v>1498.93</v>
      </c>
      <c r="E760" s="42">
        <v>1500.78</v>
      </c>
      <c r="F760" s="2">
        <v>8470000000</v>
      </c>
    </row>
    <row r="761" spans="1:6">
      <c r="A761" s="32">
        <v>42699</v>
      </c>
      <c r="B761" s="42">
        <v>1494.26</v>
      </c>
      <c r="C761" s="42">
        <v>1500.41</v>
      </c>
      <c r="D761" s="42">
        <v>1493.55</v>
      </c>
      <c r="E761" s="42">
        <v>1500.4</v>
      </c>
      <c r="F761" s="2">
        <v>9310000000</v>
      </c>
    </row>
    <row r="762" spans="1:6">
      <c r="A762" s="32">
        <v>42698</v>
      </c>
      <c r="B762" s="42">
        <v>1495.65</v>
      </c>
      <c r="C762" s="42">
        <v>1497.62</v>
      </c>
      <c r="D762" s="42">
        <v>1487.94</v>
      </c>
      <c r="E762" s="42">
        <v>1490.11</v>
      </c>
      <c r="F762" s="2">
        <v>8360000000</v>
      </c>
    </row>
    <row r="763" spans="1:6">
      <c r="A763" s="32">
        <v>42697</v>
      </c>
      <c r="B763" s="42">
        <v>1491.02</v>
      </c>
      <c r="C763" s="42">
        <v>1496.38</v>
      </c>
      <c r="D763" s="42">
        <v>1488.38</v>
      </c>
      <c r="E763" s="42">
        <v>1496.36</v>
      </c>
      <c r="F763" s="2">
        <v>9750000000</v>
      </c>
    </row>
    <row r="764" spans="1:6">
      <c r="A764" s="32">
        <v>42696</v>
      </c>
      <c r="B764" s="42">
        <v>1485.56</v>
      </c>
      <c r="C764" s="42">
        <v>1489.29</v>
      </c>
      <c r="D764" s="42">
        <v>1483.03</v>
      </c>
      <c r="E764" s="42">
        <v>1485.68</v>
      </c>
      <c r="F764" s="2">
        <v>10640000000</v>
      </c>
    </row>
    <row r="765" spans="1:6">
      <c r="A765" s="32">
        <v>42695</v>
      </c>
      <c r="B765" s="42">
        <v>1476.82</v>
      </c>
      <c r="C765" s="42">
        <v>1482.87</v>
      </c>
      <c r="D765" s="42">
        <v>1472.65</v>
      </c>
      <c r="E765" s="42">
        <v>1478.3</v>
      </c>
      <c r="F765" s="2">
        <v>8550000000</v>
      </c>
    </row>
    <row r="766" spans="1:6">
      <c r="A766" s="32">
        <v>42692</v>
      </c>
      <c r="B766" s="42">
        <v>1471.99</v>
      </c>
      <c r="C766" s="42">
        <v>1475.9</v>
      </c>
      <c r="D766" s="42">
        <v>1465.9</v>
      </c>
      <c r="E766" s="42">
        <v>1473.86</v>
      </c>
      <c r="F766" s="2">
        <v>10710000000</v>
      </c>
    </row>
    <row r="767" spans="1:6">
      <c r="A767" s="32">
        <v>42691</v>
      </c>
      <c r="B767" s="42">
        <v>1477.11</v>
      </c>
      <c r="C767" s="42">
        <v>1478.3</v>
      </c>
      <c r="D767" s="42">
        <v>1467.36</v>
      </c>
      <c r="E767" s="42">
        <v>1473.85</v>
      </c>
      <c r="F767" s="2">
        <v>10710000000</v>
      </c>
    </row>
    <row r="768" spans="1:6">
      <c r="A768" s="32">
        <v>42690</v>
      </c>
      <c r="B768" s="42">
        <v>1483.88</v>
      </c>
      <c r="C768" s="42">
        <v>1486.45</v>
      </c>
      <c r="D768" s="42">
        <v>1474.55</v>
      </c>
      <c r="E768" s="42">
        <v>1474.64</v>
      </c>
      <c r="F768" s="2">
        <v>12920000000</v>
      </c>
    </row>
    <row r="769" spans="1:6">
      <c r="A769" s="32">
        <v>42689</v>
      </c>
      <c r="B769" s="42">
        <v>1474.06</v>
      </c>
      <c r="C769" s="42">
        <v>1478.63</v>
      </c>
      <c r="D769" s="42">
        <v>1463.31</v>
      </c>
      <c r="E769" s="42">
        <v>1476.46</v>
      </c>
      <c r="F769" s="2">
        <v>17150000000</v>
      </c>
    </row>
    <row r="770" spans="1:6">
      <c r="A770" s="32">
        <v>42688</v>
      </c>
      <c r="B770" s="42">
        <v>1481.97</v>
      </c>
      <c r="C770" s="42">
        <v>1483.29</v>
      </c>
      <c r="D770" s="42">
        <v>1467.37</v>
      </c>
      <c r="E770" s="42">
        <v>1469.23</v>
      </c>
      <c r="F770" s="2">
        <v>12700000000</v>
      </c>
    </row>
    <row r="771" spans="1:6">
      <c r="A771" s="32">
        <v>42685</v>
      </c>
      <c r="B771" s="42">
        <v>1508.62</v>
      </c>
      <c r="C771" s="42">
        <v>1509.02</v>
      </c>
      <c r="D771" s="42">
        <v>1493.93</v>
      </c>
      <c r="E771" s="42">
        <v>1494.53</v>
      </c>
      <c r="F771" s="2">
        <v>13840000000</v>
      </c>
    </row>
    <row r="772" spans="1:6">
      <c r="A772" s="32">
        <v>42684</v>
      </c>
      <c r="B772" s="42">
        <v>1519.17</v>
      </c>
      <c r="C772" s="42">
        <v>1522.63</v>
      </c>
      <c r="D772" s="42">
        <v>1513</v>
      </c>
      <c r="E772" s="42">
        <v>1514.26</v>
      </c>
      <c r="F772" s="2">
        <v>14060000000</v>
      </c>
    </row>
    <row r="773" spans="1:6">
      <c r="A773" s="32">
        <v>42683</v>
      </c>
      <c r="B773" s="42">
        <v>1498.81</v>
      </c>
      <c r="C773" s="42">
        <v>1509.43</v>
      </c>
      <c r="D773" s="42">
        <v>1486.32</v>
      </c>
      <c r="E773" s="42">
        <v>1509.43</v>
      </c>
      <c r="F773" s="2">
        <v>18520000000</v>
      </c>
    </row>
    <row r="774" spans="1:6">
      <c r="A774" s="32">
        <v>42682</v>
      </c>
      <c r="B774" s="42">
        <v>1504.49</v>
      </c>
      <c r="C774" s="42">
        <v>1510.99</v>
      </c>
      <c r="D774" s="42">
        <v>1501.96</v>
      </c>
      <c r="E774" s="42">
        <v>1509.84</v>
      </c>
      <c r="F774" s="2">
        <v>12530000000</v>
      </c>
    </row>
    <row r="775" spans="1:6">
      <c r="A775" s="32">
        <v>42681</v>
      </c>
      <c r="B775" s="42">
        <v>1496.06</v>
      </c>
      <c r="C775" s="42">
        <v>1504.98</v>
      </c>
      <c r="D775" s="42">
        <v>1495.14</v>
      </c>
      <c r="E775" s="42">
        <v>1502.27</v>
      </c>
      <c r="F775" s="2">
        <v>9380000000</v>
      </c>
    </row>
    <row r="776" spans="1:6">
      <c r="A776" s="32">
        <v>42678</v>
      </c>
      <c r="B776" s="42">
        <v>1489.4</v>
      </c>
      <c r="C776" s="42">
        <v>1491.44</v>
      </c>
      <c r="D776" s="42">
        <v>1478.9</v>
      </c>
      <c r="E776" s="42">
        <v>1485.7</v>
      </c>
      <c r="F776" s="2">
        <v>12340000000</v>
      </c>
    </row>
    <row r="777" spans="1:6">
      <c r="A777" s="32">
        <v>42677</v>
      </c>
      <c r="B777" s="42">
        <v>1499.14</v>
      </c>
      <c r="C777" s="42">
        <v>1504.84</v>
      </c>
      <c r="D777" s="42">
        <v>1493.05</v>
      </c>
      <c r="E777" s="42">
        <v>1493.08</v>
      </c>
      <c r="F777" s="2">
        <v>10280000000</v>
      </c>
    </row>
    <row r="778" spans="1:6">
      <c r="A778" s="32">
        <v>42676</v>
      </c>
      <c r="B778" s="42">
        <v>1502.19</v>
      </c>
      <c r="C778" s="42">
        <v>1502.57</v>
      </c>
      <c r="D778" s="42">
        <v>1494.06</v>
      </c>
      <c r="E778" s="42">
        <v>1498.65</v>
      </c>
      <c r="F778" s="2">
        <v>8790000000</v>
      </c>
    </row>
    <row r="779" spans="1:6">
      <c r="A779" s="32">
        <v>42675</v>
      </c>
      <c r="B779" s="42">
        <v>1500.15</v>
      </c>
      <c r="C779" s="42">
        <v>1507.74</v>
      </c>
      <c r="D779" s="42">
        <v>1499.66</v>
      </c>
      <c r="E779" s="42">
        <v>1504.52</v>
      </c>
      <c r="F779" s="2">
        <v>9740000000</v>
      </c>
    </row>
    <row r="780" spans="1:6">
      <c r="A780" s="32">
        <v>42674</v>
      </c>
      <c r="B780" s="42">
        <v>1494.04</v>
      </c>
      <c r="C780" s="42">
        <v>1497.64</v>
      </c>
      <c r="D780" s="42">
        <v>1491.04</v>
      </c>
      <c r="E780" s="42">
        <v>1495.72</v>
      </c>
      <c r="F780" s="2">
        <v>7660000000</v>
      </c>
    </row>
    <row r="781" spans="1:6">
      <c r="A781" s="32">
        <v>42671</v>
      </c>
      <c r="B781" s="42">
        <v>1500.72</v>
      </c>
      <c r="C781" s="42">
        <v>1501.36</v>
      </c>
      <c r="D781" s="42">
        <v>1491.32</v>
      </c>
      <c r="E781" s="42">
        <v>1494.44</v>
      </c>
      <c r="F781" s="2">
        <v>9920000000</v>
      </c>
    </row>
    <row r="782" spans="1:6">
      <c r="A782" s="32">
        <v>42670</v>
      </c>
      <c r="B782" s="42">
        <v>1492.2</v>
      </c>
      <c r="C782" s="42">
        <v>1500.99</v>
      </c>
      <c r="D782" s="42">
        <v>1488.72</v>
      </c>
      <c r="E782" s="42">
        <v>1498.36</v>
      </c>
      <c r="F782" s="2">
        <v>10770000000</v>
      </c>
    </row>
    <row r="783" spans="1:6">
      <c r="A783" s="32">
        <v>42669</v>
      </c>
      <c r="B783" s="42">
        <v>1505.99</v>
      </c>
      <c r="C783" s="42">
        <v>1507.2</v>
      </c>
      <c r="D783" s="42">
        <v>1492.11</v>
      </c>
      <c r="E783" s="42">
        <v>1492.12</v>
      </c>
      <c r="F783" s="2">
        <v>10750000000</v>
      </c>
    </row>
    <row r="784" spans="1:6">
      <c r="A784" s="32">
        <v>42668</v>
      </c>
      <c r="B784" s="42">
        <v>1505.82</v>
      </c>
      <c r="C784" s="42">
        <v>1508.89</v>
      </c>
      <c r="D784" s="42">
        <v>1496.66</v>
      </c>
      <c r="E784" s="42">
        <v>1506.47</v>
      </c>
      <c r="F784" s="2">
        <v>9550000000</v>
      </c>
    </row>
    <row r="785" spans="1:6">
      <c r="A785" s="32">
        <v>42664</v>
      </c>
      <c r="B785" s="42">
        <v>1494.61</v>
      </c>
      <c r="C785" s="42">
        <v>1501.22</v>
      </c>
      <c r="D785" s="42">
        <v>1491.63</v>
      </c>
      <c r="E785" s="42">
        <v>1500.37</v>
      </c>
      <c r="F785" s="2">
        <v>9920000000</v>
      </c>
    </row>
    <row r="786" spans="1:6">
      <c r="A786" s="32">
        <v>42663</v>
      </c>
      <c r="B786" s="42">
        <v>1495.1</v>
      </c>
      <c r="C786" s="42">
        <v>1498.04</v>
      </c>
      <c r="D786" s="42">
        <v>1490.65</v>
      </c>
      <c r="E786" s="42">
        <v>1492.73</v>
      </c>
      <c r="F786" s="2">
        <v>10480000000</v>
      </c>
    </row>
    <row r="787" spans="1:6">
      <c r="A787" s="32">
        <v>42662</v>
      </c>
      <c r="B787" s="42">
        <v>1471.78</v>
      </c>
      <c r="C787" s="42">
        <v>1490.98</v>
      </c>
      <c r="D787" s="42">
        <v>1470.51</v>
      </c>
      <c r="E787" s="42">
        <v>1486.28</v>
      </c>
      <c r="F787" s="2">
        <v>12360000000</v>
      </c>
    </row>
    <row r="788" spans="1:6">
      <c r="A788" s="32">
        <v>42661</v>
      </c>
      <c r="B788" s="42">
        <v>1479.41</v>
      </c>
      <c r="C788" s="42">
        <v>1482.17</v>
      </c>
      <c r="D788" s="42">
        <v>1467.61</v>
      </c>
      <c r="E788" s="42">
        <v>1477.54</v>
      </c>
      <c r="F788" s="2">
        <v>10680000000</v>
      </c>
    </row>
    <row r="789" spans="1:6">
      <c r="A789" s="32">
        <v>42660</v>
      </c>
      <c r="B789" s="42">
        <v>1470.54</v>
      </c>
      <c r="C789" s="42">
        <v>1481.18</v>
      </c>
      <c r="D789" s="42">
        <v>1463.19</v>
      </c>
      <c r="E789" s="42">
        <v>1477.34</v>
      </c>
      <c r="F789" s="2">
        <v>12190000000</v>
      </c>
    </row>
    <row r="790" spans="1:6">
      <c r="A790" s="32">
        <v>42657</v>
      </c>
      <c r="B790" s="42">
        <v>1461.42</v>
      </c>
      <c r="C790" s="42">
        <v>1480.47</v>
      </c>
      <c r="D790" s="42">
        <v>1448.19</v>
      </c>
      <c r="E790" s="42">
        <v>1477.61</v>
      </c>
      <c r="F790" s="2">
        <v>20390000000</v>
      </c>
    </row>
    <row r="791" spans="1:6">
      <c r="A791" s="32">
        <v>42656</v>
      </c>
      <c r="B791" s="42">
        <v>1387.03</v>
      </c>
      <c r="C791" s="42">
        <v>1412.82</v>
      </c>
      <c r="D791" s="42">
        <v>1356.79</v>
      </c>
      <c r="E791" s="42">
        <v>1412.82</v>
      </c>
      <c r="F791" s="2">
        <v>24230000000</v>
      </c>
    </row>
    <row r="792" spans="1:6">
      <c r="A792" s="32">
        <v>42655</v>
      </c>
      <c r="B792" s="42">
        <v>1432.42</v>
      </c>
      <c r="C792" s="42">
        <v>1435.29</v>
      </c>
      <c r="D792" s="42">
        <v>1343.13</v>
      </c>
      <c r="E792" s="42">
        <v>1406.18</v>
      </c>
      <c r="F792" s="2">
        <v>32410000000</v>
      </c>
    </row>
    <row r="793" spans="1:6">
      <c r="A793" s="32">
        <v>42654</v>
      </c>
      <c r="B793" s="42">
        <v>1465.79</v>
      </c>
      <c r="C793" s="42">
        <v>1467.71</v>
      </c>
      <c r="D793" s="42">
        <v>1431.7</v>
      </c>
      <c r="E793" s="42">
        <v>1442.21</v>
      </c>
      <c r="F793" s="2">
        <v>13660000000</v>
      </c>
    </row>
    <row r="794" spans="1:6">
      <c r="A794" s="32">
        <v>42653</v>
      </c>
      <c r="B794" s="42">
        <v>1453.36</v>
      </c>
      <c r="C794" s="42">
        <v>1470.84</v>
      </c>
      <c r="D794" s="42">
        <v>1450.87</v>
      </c>
      <c r="E794" s="42">
        <v>1457.02</v>
      </c>
      <c r="F794" s="2">
        <v>15610000000</v>
      </c>
    </row>
    <row r="795" spans="1:6">
      <c r="A795" s="32">
        <v>42650</v>
      </c>
      <c r="B795" s="42">
        <v>1513.18</v>
      </c>
      <c r="C795" s="42">
        <v>1514.25</v>
      </c>
      <c r="D795" s="42">
        <v>1501</v>
      </c>
      <c r="E795" s="42">
        <v>1504.34</v>
      </c>
      <c r="F795" s="2">
        <v>9990000000</v>
      </c>
    </row>
    <row r="796" spans="1:6">
      <c r="A796" s="32">
        <v>42649</v>
      </c>
      <c r="B796" s="42">
        <v>1512.64</v>
      </c>
      <c r="C796" s="42">
        <v>1518.23</v>
      </c>
      <c r="D796" s="42">
        <v>1509.71</v>
      </c>
      <c r="E796" s="42">
        <v>1513.86</v>
      </c>
      <c r="F796" s="2">
        <v>10680000000</v>
      </c>
    </row>
    <row r="797" spans="1:6">
      <c r="A797" s="32">
        <v>42648</v>
      </c>
      <c r="B797" s="42">
        <v>1512.79</v>
      </c>
      <c r="C797" s="42">
        <v>1514.12</v>
      </c>
      <c r="D797" s="42">
        <v>1505.87</v>
      </c>
      <c r="E797" s="42">
        <v>1509.92</v>
      </c>
      <c r="F797" s="2">
        <v>9340000000</v>
      </c>
    </row>
    <row r="798" spans="1:6">
      <c r="A798" s="32">
        <v>42647</v>
      </c>
      <c r="B798" s="42">
        <v>1496.01</v>
      </c>
      <c r="C798" s="42">
        <v>1511.06</v>
      </c>
      <c r="D798" s="42">
        <v>1494.37</v>
      </c>
      <c r="E798" s="42">
        <v>1509.78</v>
      </c>
      <c r="F798" s="2">
        <v>9520000000</v>
      </c>
    </row>
    <row r="799" spans="1:6">
      <c r="A799" s="32">
        <v>42646</v>
      </c>
      <c r="B799" s="42">
        <v>1490.11</v>
      </c>
      <c r="C799" s="42">
        <v>1493.77</v>
      </c>
      <c r="D799" s="42">
        <v>1487.62</v>
      </c>
      <c r="E799" s="42">
        <v>1490.94</v>
      </c>
      <c r="F799" s="2">
        <v>7280000000</v>
      </c>
    </row>
    <row r="800" spans="1:6">
      <c r="A800" s="32">
        <v>42643</v>
      </c>
      <c r="B800" s="42">
        <v>1485.82</v>
      </c>
      <c r="C800" s="42">
        <v>1490.14</v>
      </c>
      <c r="D800" s="42">
        <v>1479.46</v>
      </c>
      <c r="E800" s="42">
        <v>1483.21</v>
      </c>
      <c r="F800" s="2">
        <v>8140000000</v>
      </c>
    </row>
    <row r="801" spans="1:6">
      <c r="A801" s="32">
        <v>42642</v>
      </c>
      <c r="B801" s="42">
        <v>1491.37</v>
      </c>
      <c r="C801" s="42">
        <v>1498.51</v>
      </c>
      <c r="D801" s="42">
        <v>1488.26</v>
      </c>
      <c r="E801" s="42">
        <v>1491.43</v>
      </c>
      <c r="F801" s="2">
        <v>8650000000</v>
      </c>
    </row>
    <row r="802" spans="1:6">
      <c r="A802" s="32">
        <v>42641</v>
      </c>
      <c r="B802" s="42">
        <v>1489.17</v>
      </c>
      <c r="C802" s="42">
        <v>1491.2</v>
      </c>
      <c r="D802" s="42">
        <v>1477.29</v>
      </c>
      <c r="E802" s="42">
        <v>1479.58</v>
      </c>
      <c r="F802" s="2">
        <v>8730000000</v>
      </c>
    </row>
    <row r="803" spans="1:6">
      <c r="A803" s="32">
        <v>42640</v>
      </c>
      <c r="B803" s="42">
        <v>1493.55</v>
      </c>
      <c r="C803" s="42">
        <v>1498.2</v>
      </c>
      <c r="D803" s="42">
        <v>1488.78</v>
      </c>
      <c r="E803" s="42">
        <v>1489.39</v>
      </c>
      <c r="F803" s="2">
        <v>8190000000</v>
      </c>
    </row>
    <row r="804" spans="1:6">
      <c r="A804" s="32">
        <v>42639</v>
      </c>
      <c r="B804" s="42">
        <v>1481.65</v>
      </c>
      <c r="C804" s="42">
        <v>1492.21</v>
      </c>
      <c r="D804" s="42">
        <v>1479.17</v>
      </c>
      <c r="E804" s="42">
        <v>1490.14</v>
      </c>
      <c r="F804" s="2">
        <v>9110000000</v>
      </c>
    </row>
    <row r="805" spans="1:6">
      <c r="A805" s="32">
        <v>42636</v>
      </c>
      <c r="B805" s="42">
        <v>1505.77</v>
      </c>
      <c r="C805" s="42">
        <v>1505.85</v>
      </c>
      <c r="D805" s="42">
        <v>1485.14</v>
      </c>
      <c r="E805" s="42">
        <v>1492.88</v>
      </c>
      <c r="F805" s="2">
        <v>12610000000</v>
      </c>
    </row>
    <row r="806" spans="1:6">
      <c r="A806" s="32">
        <v>42635</v>
      </c>
      <c r="B806" s="42">
        <v>1498.76</v>
      </c>
      <c r="C806" s="42">
        <v>1506.7</v>
      </c>
      <c r="D806" s="42">
        <v>1496.81</v>
      </c>
      <c r="E806" s="42">
        <v>1505.99</v>
      </c>
      <c r="F806" s="2">
        <v>10270000000</v>
      </c>
    </row>
    <row r="807" spans="1:6">
      <c r="A807" s="32">
        <v>42634</v>
      </c>
      <c r="B807" s="42">
        <v>1481.23</v>
      </c>
      <c r="C807" s="42">
        <v>1496.93</v>
      </c>
      <c r="D807" s="42">
        <v>1480.23</v>
      </c>
      <c r="E807" s="42">
        <v>1487.17</v>
      </c>
      <c r="F807" s="2">
        <v>12350000000</v>
      </c>
    </row>
    <row r="808" spans="1:6">
      <c r="A808" s="32">
        <v>42633</v>
      </c>
      <c r="B808" s="42">
        <v>1490.73</v>
      </c>
      <c r="C808" s="42">
        <v>1491.16</v>
      </c>
      <c r="D808" s="42">
        <v>1467.55</v>
      </c>
      <c r="E808" s="42">
        <v>1473.78</v>
      </c>
      <c r="F808" s="2">
        <v>11640000000</v>
      </c>
    </row>
    <row r="809" spans="1:6">
      <c r="A809" s="32">
        <v>42632</v>
      </c>
      <c r="B809" s="42">
        <v>1482.58</v>
      </c>
      <c r="C809" s="42">
        <v>1493.02</v>
      </c>
      <c r="D809" s="42">
        <v>1481.19</v>
      </c>
      <c r="E809" s="42">
        <v>1492.73</v>
      </c>
      <c r="F809" s="2">
        <v>13200000000</v>
      </c>
    </row>
    <row r="810" spans="1:6">
      <c r="A810" s="32">
        <v>42629</v>
      </c>
      <c r="B810" s="42">
        <v>1471.14</v>
      </c>
      <c r="C810" s="42">
        <v>1479.07</v>
      </c>
      <c r="D810" s="42">
        <v>1466.76</v>
      </c>
      <c r="E810" s="42">
        <v>1479.07</v>
      </c>
      <c r="F810" s="2">
        <v>11640000000</v>
      </c>
    </row>
    <row r="811" spans="1:6">
      <c r="A811" s="32">
        <v>42628</v>
      </c>
      <c r="B811" s="42">
        <v>1460.8</v>
      </c>
      <c r="C811" s="42">
        <v>1468.69</v>
      </c>
      <c r="D811" s="42">
        <v>1457.07</v>
      </c>
      <c r="E811" s="42">
        <v>1463.39</v>
      </c>
      <c r="F811" s="2">
        <v>10460000000</v>
      </c>
    </row>
    <row r="812" spans="1:6">
      <c r="A812" s="32">
        <v>42627</v>
      </c>
      <c r="B812" s="42">
        <v>1445.14</v>
      </c>
      <c r="C812" s="42">
        <v>1459.89</v>
      </c>
      <c r="D812" s="42">
        <v>1444.25</v>
      </c>
      <c r="E812" s="42">
        <v>1458.19</v>
      </c>
      <c r="F812" s="2">
        <v>13160000000</v>
      </c>
    </row>
    <row r="813" spans="1:6">
      <c r="A813" s="32">
        <v>42626</v>
      </c>
      <c r="B813" s="42">
        <v>1431.52</v>
      </c>
      <c r="C813" s="42">
        <v>1450.43</v>
      </c>
      <c r="D813" s="42">
        <v>1429.62</v>
      </c>
      <c r="E813" s="42">
        <v>1446.84</v>
      </c>
      <c r="F813" s="2">
        <v>12160000000</v>
      </c>
    </row>
    <row r="814" spans="1:6">
      <c r="A814" s="32">
        <v>42625</v>
      </c>
      <c r="B814" s="42">
        <v>1422.78</v>
      </c>
      <c r="C814" s="42">
        <v>1432.37</v>
      </c>
      <c r="D814" s="42">
        <v>1410.87</v>
      </c>
      <c r="E814" s="42">
        <v>1411.85</v>
      </c>
      <c r="F814" s="2">
        <v>12820000000</v>
      </c>
    </row>
    <row r="815" spans="1:6">
      <c r="A815" s="32">
        <v>42622</v>
      </c>
      <c r="B815" s="42">
        <v>1453.6</v>
      </c>
      <c r="C815" s="42">
        <v>1458.39</v>
      </c>
      <c r="D815" s="42">
        <v>1435.67</v>
      </c>
      <c r="E815" s="42">
        <v>1445.28</v>
      </c>
      <c r="F815" s="2">
        <v>15350000000</v>
      </c>
    </row>
    <row r="816" spans="1:6">
      <c r="A816" s="32">
        <v>42621</v>
      </c>
      <c r="B816" s="42">
        <v>1488.16</v>
      </c>
      <c r="C816" s="42">
        <v>1490.24</v>
      </c>
      <c r="D816" s="42">
        <v>1451.46</v>
      </c>
      <c r="E816" s="42">
        <v>1455.38</v>
      </c>
      <c r="F816" s="2">
        <v>16610000000</v>
      </c>
    </row>
    <row r="817" spans="1:6">
      <c r="A817" s="32">
        <v>42620</v>
      </c>
      <c r="B817" s="42">
        <v>1500.81</v>
      </c>
      <c r="C817" s="42">
        <v>1511.62</v>
      </c>
      <c r="D817" s="42">
        <v>1487.2</v>
      </c>
      <c r="E817" s="42">
        <v>1487.2</v>
      </c>
      <c r="F817" s="2">
        <v>14070000000</v>
      </c>
    </row>
    <row r="818" spans="1:6">
      <c r="A818" s="32">
        <v>42619</v>
      </c>
      <c r="B818" s="42">
        <v>1493.32</v>
      </c>
      <c r="C818" s="42">
        <v>1502.53</v>
      </c>
      <c r="D818" s="42">
        <v>1488.99</v>
      </c>
      <c r="E818" s="42">
        <v>1496.9</v>
      </c>
      <c r="F818" s="2">
        <v>9780000000</v>
      </c>
    </row>
    <row r="819" spans="1:6">
      <c r="A819" s="32">
        <v>42618</v>
      </c>
      <c r="B819" s="42">
        <v>1526.28</v>
      </c>
      <c r="C819" s="42">
        <v>1527.22</v>
      </c>
      <c r="D819" s="42">
        <v>1477.28</v>
      </c>
      <c r="E819" s="42">
        <v>1492.52</v>
      </c>
      <c r="F819" s="2">
        <v>19200000000</v>
      </c>
    </row>
    <row r="820" spans="1:6">
      <c r="A820" s="32">
        <v>42615</v>
      </c>
      <c r="B820" s="42">
        <v>1539.44</v>
      </c>
      <c r="C820" s="42">
        <v>1540.97</v>
      </c>
      <c r="D820" s="42">
        <v>1516.7</v>
      </c>
      <c r="E820" s="42">
        <v>1521.48</v>
      </c>
      <c r="F820" s="2">
        <v>15110000000</v>
      </c>
    </row>
    <row r="821" spans="1:6">
      <c r="A821" s="32">
        <v>42614</v>
      </c>
      <c r="B821" s="42">
        <v>1549.21</v>
      </c>
      <c r="C821" s="42">
        <v>1550.59</v>
      </c>
      <c r="D821" s="42">
        <v>1539.71</v>
      </c>
      <c r="E821" s="42">
        <v>1539.71</v>
      </c>
      <c r="F821" s="2">
        <v>11150000000</v>
      </c>
    </row>
    <row r="822" spans="1:6">
      <c r="A822" s="32">
        <v>42613</v>
      </c>
      <c r="B822" s="42">
        <v>1545.72</v>
      </c>
      <c r="C822" s="42">
        <v>1548.71</v>
      </c>
      <c r="D822" s="42">
        <v>1539.03</v>
      </c>
      <c r="E822" s="42">
        <v>1548.44</v>
      </c>
      <c r="F822" s="2">
        <v>10230000000</v>
      </c>
    </row>
    <row r="823" spans="1:6">
      <c r="A823" s="32">
        <v>42612</v>
      </c>
      <c r="B823" s="42">
        <v>1548.14</v>
      </c>
      <c r="C823" s="42">
        <v>1553.15</v>
      </c>
      <c r="D823" s="42">
        <v>1546.04</v>
      </c>
      <c r="E823" s="42">
        <v>1546.13</v>
      </c>
      <c r="F823" s="2">
        <v>10200000000</v>
      </c>
    </row>
    <row r="824" spans="1:6">
      <c r="A824" s="32">
        <v>42611</v>
      </c>
      <c r="B824" s="42">
        <v>1551.14</v>
      </c>
      <c r="C824" s="42">
        <v>1553.56</v>
      </c>
      <c r="D824" s="42">
        <v>1540.02</v>
      </c>
      <c r="E824" s="42">
        <v>1544.15</v>
      </c>
      <c r="F824" s="2">
        <v>11190000000</v>
      </c>
    </row>
    <row r="825" spans="1:6">
      <c r="A825" s="32">
        <v>42608</v>
      </c>
      <c r="B825" s="42">
        <v>1546.04</v>
      </c>
      <c r="C825" s="42">
        <v>1555.88</v>
      </c>
      <c r="D825" s="42">
        <v>1545.41</v>
      </c>
      <c r="E825" s="42">
        <v>1549.41</v>
      </c>
      <c r="F825" s="2">
        <v>9410000000</v>
      </c>
    </row>
    <row r="826" spans="1:6">
      <c r="A826" s="32">
        <v>42607</v>
      </c>
      <c r="B826" s="42">
        <v>1550.98</v>
      </c>
      <c r="C826" s="42">
        <v>1554.9</v>
      </c>
      <c r="D826" s="42">
        <v>1540.42</v>
      </c>
      <c r="E826" s="42">
        <v>1544.1</v>
      </c>
      <c r="F826" s="2">
        <v>11300000000</v>
      </c>
    </row>
    <row r="827" spans="1:6">
      <c r="A827" s="32">
        <v>42606</v>
      </c>
      <c r="B827" s="42">
        <v>1541.07</v>
      </c>
      <c r="C827" s="42">
        <v>1550.31</v>
      </c>
      <c r="D827" s="42">
        <v>1538.2</v>
      </c>
      <c r="E827" s="42">
        <v>1547.55</v>
      </c>
      <c r="F827" s="2">
        <v>11100000000</v>
      </c>
    </row>
    <row r="828" spans="1:6">
      <c r="A828" s="32">
        <v>42605</v>
      </c>
      <c r="B828" s="42">
        <v>1532.03</v>
      </c>
      <c r="C828" s="42">
        <v>1541.01</v>
      </c>
      <c r="D828" s="42">
        <v>1528.4</v>
      </c>
      <c r="E828" s="42">
        <v>1540.06</v>
      </c>
      <c r="F828" s="2">
        <v>11040000000</v>
      </c>
    </row>
    <row r="829" spans="1:6">
      <c r="A829" s="32">
        <v>42604</v>
      </c>
      <c r="B829" s="42">
        <v>1537.4</v>
      </c>
      <c r="C829" s="42">
        <v>1543.46</v>
      </c>
      <c r="D829" s="42">
        <v>1535.57</v>
      </c>
      <c r="E829" s="42">
        <v>1539.24</v>
      </c>
      <c r="F829" s="2">
        <v>10070000000</v>
      </c>
    </row>
    <row r="830" spans="1:6">
      <c r="A830" s="32">
        <v>42601</v>
      </c>
      <c r="B830" s="42">
        <v>1548.62</v>
      </c>
      <c r="C830" s="42">
        <v>1551.46</v>
      </c>
      <c r="D830" s="42">
        <v>1535.87</v>
      </c>
      <c r="E830" s="42">
        <v>1538.76</v>
      </c>
      <c r="F830" s="2">
        <v>11310000000</v>
      </c>
    </row>
    <row r="831" spans="1:6">
      <c r="A831" s="32">
        <v>42600</v>
      </c>
      <c r="B831" s="42">
        <v>1536.25</v>
      </c>
      <c r="C831" s="42">
        <v>1549.98</v>
      </c>
      <c r="D831" s="42">
        <v>1535.18</v>
      </c>
      <c r="E831" s="42">
        <v>1547.01</v>
      </c>
      <c r="F831" s="2">
        <v>15080000000</v>
      </c>
    </row>
    <row r="832" spans="1:6">
      <c r="A832" s="32">
        <v>42599</v>
      </c>
      <c r="B832" s="42">
        <v>1535.74</v>
      </c>
      <c r="C832" s="42">
        <v>1539.89</v>
      </c>
      <c r="D832" s="42">
        <v>1529.99</v>
      </c>
      <c r="E832" s="42">
        <v>1531.63</v>
      </c>
      <c r="F832" s="2">
        <v>21170000000</v>
      </c>
    </row>
    <row r="833" spans="1:6">
      <c r="A833" s="32">
        <v>42598</v>
      </c>
      <c r="B833" s="42">
        <v>1552.76</v>
      </c>
      <c r="C833" s="42">
        <v>1556.38</v>
      </c>
      <c r="D833" s="42">
        <v>1532.86</v>
      </c>
      <c r="E833" s="42">
        <v>1537.52</v>
      </c>
      <c r="F833" s="2">
        <v>14830000000</v>
      </c>
    </row>
    <row r="834" spans="1:6">
      <c r="A834" s="32">
        <v>42597</v>
      </c>
      <c r="B834" s="42">
        <v>1539.96</v>
      </c>
      <c r="C834" s="42">
        <v>1558.32</v>
      </c>
      <c r="D834" s="42">
        <v>1538.77</v>
      </c>
      <c r="E834" s="42">
        <v>1549.11</v>
      </c>
      <c r="F834" s="2">
        <v>14650000000</v>
      </c>
    </row>
    <row r="835" spans="1:6">
      <c r="A835" s="32">
        <v>42593</v>
      </c>
      <c r="B835" s="42">
        <v>1548.81</v>
      </c>
      <c r="C835" s="42">
        <v>1553.22</v>
      </c>
      <c r="D835" s="42">
        <v>1544.1</v>
      </c>
      <c r="E835" s="42">
        <v>1552.64</v>
      </c>
      <c r="F835" s="2">
        <v>12570000000</v>
      </c>
    </row>
    <row r="836" spans="1:6">
      <c r="A836" s="32">
        <v>42592</v>
      </c>
      <c r="B836" s="42">
        <v>1552.21</v>
      </c>
      <c r="C836" s="42">
        <v>1554.31</v>
      </c>
      <c r="D836" s="42">
        <v>1542.06</v>
      </c>
      <c r="E836" s="42">
        <v>1548.13</v>
      </c>
      <c r="F836" s="2">
        <v>14170000000</v>
      </c>
    </row>
    <row r="837" spans="1:6">
      <c r="A837" s="32">
        <v>42591</v>
      </c>
      <c r="B837" s="42">
        <v>1545.06</v>
      </c>
      <c r="C837" s="42">
        <v>1551.59</v>
      </c>
      <c r="D837" s="42">
        <v>1542.06</v>
      </c>
      <c r="E837" s="42">
        <v>1548.21</v>
      </c>
      <c r="F837" s="2">
        <v>12850000000</v>
      </c>
    </row>
    <row r="838" spans="1:6">
      <c r="A838" s="32">
        <v>42590</v>
      </c>
      <c r="B838" s="42">
        <v>1538.13</v>
      </c>
      <c r="C838" s="42">
        <v>1543.36</v>
      </c>
      <c r="D838" s="42">
        <v>1532.39</v>
      </c>
      <c r="E838" s="42">
        <v>1542.26</v>
      </c>
      <c r="F838" s="2">
        <v>12060000000</v>
      </c>
    </row>
    <row r="839" spans="1:6">
      <c r="A839" s="32">
        <v>42587</v>
      </c>
      <c r="B839" s="42">
        <v>1515.93</v>
      </c>
      <c r="C839" s="42">
        <v>1521.26</v>
      </c>
      <c r="D839" s="42">
        <v>1513.07</v>
      </c>
      <c r="E839" s="42">
        <v>1518.69</v>
      </c>
      <c r="F839" s="2">
        <v>9490000000</v>
      </c>
    </row>
    <row r="840" spans="1:6">
      <c r="A840" s="32">
        <v>42586</v>
      </c>
      <c r="B840" s="42">
        <v>1509.79</v>
      </c>
      <c r="C840" s="42">
        <v>1514.29</v>
      </c>
      <c r="D840" s="42">
        <v>1507.1</v>
      </c>
      <c r="E840" s="42">
        <v>1507.93</v>
      </c>
      <c r="F840" s="2">
        <v>10120000000</v>
      </c>
    </row>
    <row r="841" spans="1:6">
      <c r="A841" s="32">
        <v>42585</v>
      </c>
      <c r="B841" s="42">
        <v>1496.38</v>
      </c>
      <c r="C841" s="42">
        <v>1509.77</v>
      </c>
      <c r="D841" s="42">
        <v>1493.88</v>
      </c>
      <c r="E841" s="42">
        <v>1507.47</v>
      </c>
      <c r="F841" s="2">
        <v>11150000000</v>
      </c>
    </row>
    <row r="842" spans="1:6">
      <c r="A842" s="32">
        <v>42584</v>
      </c>
      <c r="B842" s="42">
        <v>1508.18</v>
      </c>
      <c r="C842" s="42">
        <v>1511.83</v>
      </c>
      <c r="D842" s="42">
        <v>1497.23</v>
      </c>
      <c r="E842" s="42">
        <v>1497.51</v>
      </c>
      <c r="F842" s="2">
        <v>14770000000</v>
      </c>
    </row>
    <row r="843" spans="1:6">
      <c r="A843" s="32">
        <v>42583</v>
      </c>
      <c r="B843" s="42">
        <v>1531.94</v>
      </c>
      <c r="C843" s="42">
        <v>1533.75</v>
      </c>
      <c r="D843" s="42">
        <v>1511.65</v>
      </c>
      <c r="E843" s="42">
        <v>1512.62</v>
      </c>
      <c r="F843" s="2">
        <v>15370000000</v>
      </c>
    </row>
    <row r="844" spans="1:6">
      <c r="A844" s="32">
        <v>42580</v>
      </c>
      <c r="B844" s="42">
        <v>1527.11</v>
      </c>
      <c r="C844" s="42">
        <v>1530.35</v>
      </c>
      <c r="D844" s="42">
        <v>1522.01</v>
      </c>
      <c r="E844" s="42">
        <v>1524.07</v>
      </c>
      <c r="F844" s="2">
        <v>12600000000</v>
      </c>
    </row>
    <row r="845" spans="1:6">
      <c r="A845" s="32">
        <v>42579</v>
      </c>
      <c r="B845" s="42">
        <v>1516.64</v>
      </c>
      <c r="C845" s="42">
        <v>1526.61</v>
      </c>
      <c r="D845" s="42">
        <v>1510.57</v>
      </c>
      <c r="E845" s="42">
        <v>1524.58</v>
      </c>
      <c r="F845" s="2">
        <v>12670000000</v>
      </c>
    </row>
    <row r="846" spans="1:6">
      <c r="A846" s="32">
        <v>42578</v>
      </c>
      <c r="B846" s="42">
        <v>1510.59</v>
      </c>
      <c r="C846" s="42">
        <v>1517.73</v>
      </c>
      <c r="D846" s="42">
        <v>1509.54</v>
      </c>
      <c r="E846" s="42">
        <v>1515.4</v>
      </c>
      <c r="F846" s="2">
        <v>11640000000</v>
      </c>
    </row>
    <row r="847" spans="1:6">
      <c r="A847" s="32">
        <v>42577</v>
      </c>
      <c r="B847" s="42">
        <v>1513.69</v>
      </c>
      <c r="C847" s="42">
        <v>1515.98</v>
      </c>
      <c r="D847" s="42">
        <v>1501.56</v>
      </c>
      <c r="E847" s="42">
        <v>1504.81</v>
      </c>
      <c r="F847" s="2">
        <v>11650000000</v>
      </c>
    </row>
    <row r="848" spans="1:6">
      <c r="A848" s="32">
        <v>42576</v>
      </c>
      <c r="B848" s="42">
        <v>1508.66</v>
      </c>
      <c r="C848" s="42">
        <v>1516.95</v>
      </c>
      <c r="D848" s="42">
        <v>1508.2</v>
      </c>
      <c r="E848" s="42">
        <v>1512.66</v>
      </c>
      <c r="F848" s="2">
        <v>11540000000</v>
      </c>
    </row>
    <row r="849" spans="1:6">
      <c r="A849" s="32">
        <v>42573</v>
      </c>
      <c r="B849" s="42">
        <v>1502.76</v>
      </c>
      <c r="C849" s="42">
        <v>1510.58</v>
      </c>
      <c r="D849" s="42">
        <v>1497.32</v>
      </c>
      <c r="E849" s="42">
        <v>1509.13</v>
      </c>
      <c r="F849" s="2">
        <v>10120000000</v>
      </c>
    </row>
    <row r="850" spans="1:6">
      <c r="A850" s="32">
        <v>42572</v>
      </c>
      <c r="B850" s="42">
        <v>1511.03</v>
      </c>
      <c r="C850" s="42">
        <v>1517.59</v>
      </c>
      <c r="D850" s="42">
        <v>1502.45</v>
      </c>
      <c r="E850" s="42">
        <v>1502.7</v>
      </c>
      <c r="F850" s="2">
        <v>11520000000</v>
      </c>
    </row>
    <row r="851" spans="1:6">
      <c r="A851" s="32">
        <v>42571</v>
      </c>
      <c r="B851" s="42">
        <v>1500.52</v>
      </c>
      <c r="C851" s="42">
        <v>1510.64</v>
      </c>
      <c r="D851" s="42">
        <v>1499.19</v>
      </c>
      <c r="E851" s="42">
        <v>1510.03</v>
      </c>
      <c r="F851" s="2">
        <v>10680000000</v>
      </c>
    </row>
    <row r="852" spans="1:6">
      <c r="A852" s="32">
        <v>42566</v>
      </c>
      <c r="B852" s="42">
        <v>1492.96</v>
      </c>
      <c r="C852" s="42">
        <v>1498.13</v>
      </c>
      <c r="D852" s="42">
        <v>1489.82</v>
      </c>
      <c r="E852" s="42">
        <v>1492</v>
      </c>
      <c r="F852" s="2">
        <v>12140000000</v>
      </c>
    </row>
    <row r="853" spans="1:6">
      <c r="A853" s="32">
        <v>42565</v>
      </c>
      <c r="B853" s="42">
        <v>1479.44</v>
      </c>
      <c r="C853" s="42">
        <v>1489.68</v>
      </c>
      <c r="D853" s="42">
        <v>1475.97</v>
      </c>
      <c r="E853" s="42">
        <v>1488.69</v>
      </c>
      <c r="F853" s="2">
        <v>13120000000</v>
      </c>
    </row>
    <row r="854" spans="1:6">
      <c r="A854" s="32">
        <v>42564</v>
      </c>
      <c r="B854" s="42">
        <v>1481.29</v>
      </c>
      <c r="C854" s="42">
        <v>1483.14</v>
      </c>
      <c r="D854" s="42">
        <v>1475.44</v>
      </c>
      <c r="E854" s="42">
        <v>1477.61</v>
      </c>
      <c r="F854" s="2">
        <v>14450000000</v>
      </c>
    </row>
    <row r="855" spans="1:6">
      <c r="A855" s="32">
        <v>42563</v>
      </c>
      <c r="B855" s="42">
        <v>1473.32</v>
      </c>
      <c r="C855" s="42">
        <v>1477.28</v>
      </c>
      <c r="D855" s="42">
        <v>1466.42</v>
      </c>
      <c r="E855" s="42">
        <v>1474.92</v>
      </c>
      <c r="F855" s="2">
        <v>13100000000</v>
      </c>
    </row>
    <row r="856" spans="1:6">
      <c r="A856" s="32">
        <v>42562</v>
      </c>
      <c r="B856" s="42">
        <v>1464.42</v>
      </c>
      <c r="C856" s="42">
        <v>1470.57</v>
      </c>
      <c r="D856" s="42">
        <v>1463.15</v>
      </c>
      <c r="E856" s="42">
        <v>1468.39</v>
      </c>
      <c r="F856" s="2">
        <v>12630000000</v>
      </c>
    </row>
    <row r="857" spans="1:6">
      <c r="A857" s="32">
        <v>42559</v>
      </c>
      <c r="B857" s="42">
        <v>1456.73</v>
      </c>
      <c r="C857" s="42">
        <v>1459.21</v>
      </c>
      <c r="D857" s="42">
        <v>1449.87</v>
      </c>
      <c r="E857" s="42">
        <v>1455.65</v>
      </c>
      <c r="F857" s="2">
        <v>12680000000</v>
      </c>
    </row>
    <row r="858" spans="1:6">
      <c r="A858" s="32">
        <v>42558</v>
      </c>
      <c r="B858" s="42">
        <v>1459.04</v>
      </c>
      <c r="C858" s="42">
        <v>1464.1</v>
      </c>
      <c r="D858" s="42">
        <v>1455.67</v>
      </c>
      <c r="E858" s="42">
        <v>1456.72</v>
      </c>
      <c r="F858" s="2">
        <v>15680000000</v>
      </c>
    </row>
    <row r="859" spans="1:6">
      <c r="A859" s="32">
        <v>42557</v>
      </c>
      <c r="B859" s="42">
        <v>1444.54</v>
      </c>
      <c r="C859" s="42">
        <v>1456.98</v>
      </c>
      <c r="D859" s="42">
        <v>1443.97</v>
      </c>
      <c r="E859" s="42">
        <v>1452.59</v>
      </c>
      <c r="F859" s="2">
        <v>11030000000</v>
      </c>
    </row>
    <row r="860" spans="1:6">
      <c r="A860" s="32">
        <v>42556</v>
      </c>
      <c r="B860" s="42">
        <v>1455.45</v>
      </c>
      <c r="C860" s="42">
        <v>1459.8</v>
      </c>
      <c r="D860" s="42">
        <v>1447.69</v>
      </c>
      <c r="E860" s="42">
        <v>1450.07</v>
      </c>
      <c r="F860" s="2">
        <v>11680000000</v>
      </c>
    </row>
    <row r="861" spans="1:6">
      <c r="A861" s="32">
        <v>42555</v>
      </c>
      <c r="B861" s="42">
        <v>1452.83</v>
      </c>
      <c r="C861" s="42">
        <v>1456.29</v>
      </c>
      <c r="D861" s="42">
        <v>1448.88</v>
      </c>
      <c r="E861" s="42">
        <v>1454.56</v>
      </c>
      <c r="F861" s="2">
        <v>11060000000</v>
      </c>
    </row>
    <row r="862" spans="1:6">
      <c r="A862" s="32">
        <v>42551</v>
      </c>
      <c r="B862" s="42">
        <v>1450.55</v>
      </c>
      <c r="C862" s="42">
        <v>1452.08</v>
      </c>
      <c r="D862" s="42">
        <v>1436.68</v>
      </c>
      <c r="E862" s="42">
        <v>1444.99</v>
      </c>
      <c r="F862" s="2">
        <v>12330000000</v>
      </c>
    </row>
    <row r="863" spans="1:6">
      <c r="A863" s="32">
        <v>42550</v>
      </c>
      <c r="B863" s="42">
        <v>1445.41</v>
      </c>
      <c r="C863" s="42">
        <v>1449.9</v>
      </c>
      <c r="D863" s="42">
        <v>1441.54</v>
      </c>
      <c r="E863" s="42">
        <v>1442.66</v>
      </c>
      <c r="F863" s="2">
        <v>13890000000</v>
      </c>
    </row>
    <row r="864" spans="1:6">
      <c r="A864" s="32">
        <v>42549</v>
      </c>
      <c r="B864" s="42">
        <v>1426.65</v>
      </c>
      <c r="C864" s="42">
        <v>1437.82</v>
      </c>
      <c r="D864" s="42">
        <v>1424.23</v>
      </c>
      <c r="E864" s="42">
        <v>1437.42</v>
      </c>
      <c r="F864" s="2">
        <v>10850000000</v>
      </c>
    </row>
    <row r="865" spans="1:6">
      <c r="A865" s="32">
        <v>42548</v>
      </c>
      <c r="B865" s="42">
        <v>1411.71</v>
      </c>
      <c r="C865" s="42">
        <v>1426.68</v>
      </c>
      <c r="D865" s="42">
        <v>1410.08</v>
      </c>
      <c r="E865" s="42">
        <v>1424.31</v>
      </c>
      <c r="F865" s="2">
        <v>11120000000</v>
      </c>
    </row>
    <row r="866" spans="1:6">
      <c r="A866" s="32">
        <v>42545</v>
      </c>
      <c r="B866" s="42">
        <v>1411.99</v>
      </c>
      <c r="C866" s="42">
        <v>1416.15</v>
      </c>
      <c r="D866" s="42">
        <v>1393.83</v>
      </c>
      <c r="E866" s="42">
        <v>1413.19</v>
      </c>
      <c r="F866" s="2">
        <v>17620000000</v>
      </c>
    </row>
    <row r="867" spans="1:6">
      <c r="A867" s="32">
        <v>42544</v>
      </c>
      <c r="B867" s="42">
        <v>1425.41</v>
      </c>
      <c r="C867" s="42">
        <v>1438.51</v>
      </c>
      <c r="D867" s="42">
        <v>1418.59</v>
      </c>
      <c r="E867" s="42">
        <v>1436.4</v>
      </c>
      <c r="F867" s="2">
        <v>12080000000</v>
      </c>
    </row>
    <row r="868" spans="1:6">
      <c r="A868" s="32">
        <v>42543</v>
      </c>
      <c r="B868" s="42">
        <v>1431.9</v>
      </c>
      <c r="C868" s="42">
        <v>1434.4</v>
      </c>
      <c r="D868" s="42">
        <v>1422.27</v>
      </c>
      <c r="E868" s="42">
        <v>1424.68</v>
      </c>
      <c r="F868" s="2">
        <v>10360000000</v>
      </c>
    </row>
    <row r="869" spans="1:6">
      <c r="A869" s="32">
        <v>42542</v>
      </c>
      <c r="B869" s="42">
        <v>1422.79</v>
      </c>
      <c r="C869" s="42">
        <v>1433.52</v>
      </c>
      <c r="D869" s="42">
        <v>1421.36</v>
      </c>
      <c r="E869" s="42">
        <v>1430.8</v>
      </c>
      <c r="F869" s="2">
        <v>12680000000</v>
      </c>
    </row>
    <row r="870" spans="1:6">
      <c r="A870" s="32">
        <v>42541</v>
      </c>
      <c r="B870" s="42">
        <v>1425.53</v>
      </c>
      <c r="C870" s="42">
        <v>1426.87</v>
      </c>
      <c r="D870" s="42">
        <v>1419.45</v>
      </c>
      <c r="E870" s="42">
        <v>1421.99</v>
      </c>
      <c r="F870" s="2">
        <v>13650000000</v>
      </c>
    </row>
    <row r="871" spans="1:6">
      <c r="A871" s="32">
        <v>42538</v>
      </c>
      <c r="B871" s="42">
        <v>1415.99</v>
      </c>
      <c r="C871" s="42">
        <v>1422.22</v>
      </c>
      <c r="D871" s="42">
        <v>1412.33</v>
      </c>
      <c r="E871" s="42">
        <v>1421.32</v>
      </c>
      <c r="F871" s="2">
        <v>11890000000</v>
      </c>
    </row>
    <row r="872" spans="1:6">
      <c r="A872" s="32">
        <v>42537</v>
      </c>
      <c r="B872" s="42">
        <v>1428.73</v>
      </c>
      <c r="C872" s="42">
        <v>1429.74</v>
      </c>
      <c r="D872" s="42">
        <v>1410.26</v>
      </c>
      <c r="E872" s="42">
        <v>1411.19</v>
      </c>
      <c r="F872" s="2">
        <v>12290000000</v>
      </c>
    </row>
    <row r="873" spans="1:6">
      <c r="A873" s="32">
        <v>42536</v>
      </c>
      <c r="B873" s="42">
        <v>1430.87</v>
      </c>
      <c r="C873" s="42">
        <v>1436.65</v>
      </c>
      <c r="D873" s="42">
        <v>1425.57</v>
      </c>
      <c r="E873" s="42">
        <v>1434.89</v>
      </c>
      <c r="F873" s="2">
        <v>11870000000</v>
      </c>
    </row>
    <row r="874" spans="1:6">
      <c r="A874" s="32">
        <v>42535</v>
      </c>
      <c r="B874" s="42">
        <v>1421.67</v>
      </c>
      <c r="C874" s="42">
        <v>1429.63</v>
      </c>
      <c r="D874" s="42">
        <v>1421.45</v>
      </c>
      <c r="E874" s="42">
        <v>1428.1</v>
      </c>
      <c r="F874" s="2">
        <v>16570000000</v>
      </c>
    </row>
    <row r="875" spans="1:6">
      <c r="A875" s="32">
        <v>42534</v>
      </c>
      <c r="B875" s="42">
        <v>1419.38</v>
      </c>
      <c r="C875" s="42">
        <v>1425.97</v>
      </c>
      <c r="D875" s="42">
        <v>1414.89</v>
      </c>
      <c r="E875" s="42">
        <v>1421.86</v>
      </c>
      <c r="F875" s="2">
        <v>12470000000</v>
      </c>
    </row>
    <row r="876" spans="1:6">
      <c r="A876" s="32">
        <v>42531</v>
      </c>
      <c r="B876" s="42">
        <v>1434.33</v>
      </c>
      <c r="C876" s="42">
        <v>1438.66</v>
      </c>
      <c r="D876" s="42">
        <v>1428.87</v>
      </c>
      <c r="E876" s="42">
        <v>1429.21</v>
      </c>
      <c r="F876" s="2">
        <v>7530000000</v>
      </c>
    </row>
    <row r="877" spans="1:6">
      <c r="A877" s="32">
        <v>42530</v>
      </c>
      <c r="B877" s="42">
        <v>1449.62</v>
      </c>
      <c r="C877" s="42">
        <v>1451.08</v>
      </c>
      <c r="D877" s="42">
        <v>1435.2</v>
      </c>
      <c r="E877" s="42">
        <v>1435.65</v>
      </c>
      <c r="F877" s="2">
        <v>8280000000</v>
      </c>
    </row>
    <row r="878" spans="1:6">
      <c r="A878" s="32">
        <v>42529</v>
      </c>
      <c r="B878" s="42">
        <v>1443.01</v>
      </c>
      <c r="C878" s="42">
        <v>1446.46</v>
      </c>
      <c r="D878" s="42">
        <v>1436.43</v>
      </c>
      <c r="E878" s="42">
        <v>1445.54</v>
      </c>
      <c r="F878" s="2">
        <v>8540000000</v>
      </c>
    </row>
    <row r="879" spans="1:6">
      <c r="A879" s="32">
        <v>42528</v>
      </c>
      <c r="B879" s="42">
        <v>1448.39</v>
      </c>
      <c r="C879" s="42">
        <v>1450.28</v>
      </c>
      <c r="D879" s="42">
        <v>1440.23</v>
      </c>
      <c r="E879" s="42">
        <v>1442.42</v>
      </c>
      <c r="F879" s="2">
        <v>9490000000</v>
      </c>
    </row>
    <row r="880" spans="1:6">
      <c r="A880" s="32">
        <v>42527</v>
      </c>
      <c r="B880" s="42">
        <v>1441.54</v>
      </c>
      <c r="C880" s="42">
        <v>1446.43</v>
      </c>
      <c r="D880" s="42">
        <v>1440.28</v>
      </c>
      <c r="E880" s="42">
        <v>1443.42</v>
      </c>
      <c r="F880" s="2">
        <v>9430000000</v>
      </c>
    </row>
    <row r="881" spans="1:6">
      <c r="A881" s="32">
        <v>42524</v>
      </c>
      <c r="B881" s="42">
        <v>1430.23</v>
      </c>
      <c r="C881" s="42">
        <v>1437.62</v>
      </c>
      <c r="D881" s="42">
        <v>1426.8</v>
      </c>
      <c r="E881" s="42">
        <v>1436.43</v>
      </c>
      <c r="F881" s="2">
        <v>9540000000</v>
      </c>
    </row>
    <row r="882" spans="1:6">
      <c r="A882" s="32">
        <v>42523</v>
      </c>
      <c r="B882" s="42">
        <v>1418.72</v>
      </c>
      <c r="C882" s="42">
        <v>1429.93</v>
      </c>
      <c r="D882" s="42">
        <v>1417.79</v>
      </c>
      <c r="E882" s="42">
        <v>1424.06</v>
      </c>
      <c r="F882" s="2">
        <v>10440000000</v>
      </c>
    </row>
    <row r="883" spans="1:6">
      <c r="A883" s="32">
        <v>42522</v>
      </c>
      <c r="B883" s="42">
        <v>1423.26</v>
      </c>
      <c r="C883" s="42">
        <v>1429.08</v>
      </c>
      <c r="D883" s="42">
        <v>1415.73</v>
      </c>
      <c r="E883" s="42">
        <v>1415.76</v>
      </c>
      <c r="F883" s="2">
        <v>9110000000</v>
      </c>
    </row>
    <row r="884" spans="1:6">
      <c r="A884" s="32">
        <v>42521</v>
      </c>
      <c r="B884" s="42">
        <v>1427.29</v>
      </c>
      <c r="C884" s="42">
        <v>1428.29</v>
      </c>
      <c r="D884" s="42">
        <v>1420.19</v>
      </c>
      <c r="E884" s="42">
        <v>1424.28</v>
      </c>
      <c r="F884" s="2">
        <v>11280000000</v>
      </c>
    </row>
    <row r="885" spans="1:6">
      <c r="A885" s="32">
        <v>42520</v>
      </c>
      <c r="B885" s="42">
        <v>1422.43</v>
      </c>
      <c r="C885" s="42">
        <v>1425.66</v>
      </c>
      <c r="D885" s="42">
        <v>1418.81</v>
      </c>
      <c r="E885" s="42">
        <v>1424.12</v>
      </c>
      <c r="F885" s="2">
        <v>9030000000</v>
      </c>
    </row>
    <row r="886" spans="1:6">
      <c r="A886" s="32">
        <v>42517</v>
      </c>
      <c r="B886" s="42">
        <v>1402.37</v>
      </c>
      <c r="C886" s="42">
        <v>1412.67</v>
      </c>
      <c r="D886" s="42">
        <v>1400.92</v>
      </c>
      <c r="E886" s="42">
        <v>1412.67</v>
      </c>
      <c r="F886" s="2">
        <v>8620000000</v>
      </c>
    </row>
    <row r="887" spans="1:6">
      <c r="A887" s="32">
        <v>42516</v>
      </c>
      <c r="B887" s="42">
        <v>1398.68</v>
      </c>
      <c r="C887" s="42">
        <v>1404.47</v>
      </c>
      <c r="D887" s="42">
        <v>1398.08</v>
      </c>
      <c r="E887" s="42">
        <v>1401.64</v>
      </c>
      <c r="F887" s="2">
        <v>7540000000</v>
      </c>
    </row>
    <row r="888" spans="1:6">
      <c r="A888" s="32">
        <v>42515</v>
      </c>
      <c r="B888" s="42">
        <v>1393.95</v>
      </c>
      <c r="C888" s="42">
        <v>1398.35</v>
      </c>
      <c r="D888" s="42">
        <v>1390.19</v>
      </c>
      <c r="E888" s="42">
        <v>1397.63</v>
      </c>
      <c r="F888" s="2">
        <v>9100000000</v>
      </c>
    </row>
    <row r="889" spans="1:6">
      <c r="A889" s="32">
        <v>42514</v>
      </c>
      <c r="B889" s="42">
        <v>1381.5</v>
      </c>
      <c r="C889" s="42">
        <v>1386.15</v>
      </c>
      <c r="D889" s="42">
        <v>1376.74</v>
      </c>
      <c r="E889" s="42">
        <v>1384.26</v>
      </c>
      <c r="F889" s="2">
        <v>9470000000</v>
      </c>
    </row>
    <row r="890" spans="1:6">
      <c r="A890" s="32">
        <v>42513</v>
      </c>
      <c r="B890" s="42">
        <v>1387.73</v>
      </c>
      <c r="C890" s="42">
        <v>1388.88</v>
      </c>
      <c r="D890" s="42">
        <v>1377.65</v>
      </c>
      <c r="E890" s="42">
        <v>1381.69</v>
      </c>
      <c r="F890" s="2">
        <v>10840000000</v>
      </c>
    </row>
    <row r="891" spans="1:6">
      <c r="A891" s="32">
        <v>42509</v>
      </c>
      <c r="B891" s="42">
        <v>1400.78</v>
      </c>
      <c r="C891" s="42">
        <v>1400.97</v>
      </c>
      <c r="D891" s="42">
        <v>1384.12</v>
      </c>
      <c r="E891" s="42">
        <v>1385.86</v>
      </c>
      <c r="F891" s="2">
        <v>13810000000</v>
      </c>
    </row>
    <row r="892" spans="1:6">
      <c r="A892" s="32">
        <v>42508</v>
      </c>
      <c r="B892" s="42">
        <v>1406.95</v>
      </c>
      <c r="C892" s="42">
        <v>1410.04</v>
      </c>
      <c r="D892" s="42">
        <v>1399.36</v>
      </c>
      <c r="E892" s="42">
        <v>1400.5</v>
      </c>
      <c r="F892" s="2">
        <v>11330000000</v>
      </c>
    </row>
    <row r="893" spans="1:6">
      <c r="A893" s="32">
        <v>42507</v>
      </c>
      <c r="B893" s="42">
        <v>1405.3</v>
      </c>
      <c r="C893" s="42">
        <v>1411.02</v>
      </c>
      <c r="D893" s="42">
        <v>1402.43</v>
      </c>
      <c r="E893" s="42">
        <v>1406.57</v>
      </c>
      <c r="F893" s="2">
        <v>11820000000</v>
      </c>
    </row>
    <row r="894" spans="1:6">
      <c r="A894" s="32">
        <v>42506</v>
      </c>
      <c r="B894" s="42">
        <v>1403.24</v>
      </c>
      <c r="C894" s="42">
        <v>1406.03</v>
      </c>
      <c r="D894" s="42">
        <v>1392.99</v>
      </c>
      <c r="E894" s="42">
        <v>1397.63</v>
      </c>
      <c r="F894" s="2">
        <v>12290000000</v>
      </c>
    </row>
    <row r="895" spans="1:6">
      <c r="A895" s="32">
        <v>42503</v>
      </c>
      <c r="B895" s="42">
        <v>1400</v>
      </c>
      <c r="C895" s="42">
        <v>1404.57</v>
      </c>
      <c r="D895" s="42">
        <v>1394.25</v>
      </c>
      <c r="E895" s="42">
        <v>1394.69</v>
      </c>
      <c r="F895" s="2">
        <v>12060000000</v>
      </c>
    </row>
    <row r="896" spans="1:6">
      <c r="A896" s="32">
        <v>42502</v>
      </c>
      <c r="B896" s="42">
        <v>1384.82</v>
      </c>
      <c r="C896" s="42">
        <v>1399.39</v>
      </c>
      <c r="D896" s="42">
        <v>1383.04</v>
      </c>
      <c r="E896" s="42">
        <v>1399.31</v>
      </c>
      <c r="F896" s="2">
        <v>11880000000</v>
      </c>
    </row>
    <row r="897" spans="1:6">
      <c r="A897" s="32">
        <v>42501</v>
      </c>
      <c r="B897" s="42">
        <v>1391.15</v>
      </c>
      <c r="C897" s="42">
        <v>1394.18</v>
      </c>
      <c r="D897" s="42">
        <v>1382.27</v>
      </c>
      <c r="E897" s="42">
        <v>1382.41</v>
      </c>
      <c r="F897" s="2">
        <v>10530000000</v>
      </c>
    </row>
    <row r="898" spans="1:6">
      <c r="A898" s="32">
        <v>42500</v>
      </c>
      <c r="B898" s="42">
        <v>1387.17</v>
      </c>
      <c r="C898" s="42">
        <v>1393.62</v>
      </c>
      <c r="D898" s="42">
        <v>1384.25</v>
      </c>
      <c r="E898" s="42">
        <v>1390.13</v>
      </c>
      <c r="F898" s="2">
        <v>9940000000</v>
      </c>
    </row>
    <row r="899" spans="1:6">
      <c r="A899" s="32">
        <v>42499</v>
      </c>
      <c r="B899" s="42">
        <v>1389.78</v>
      </c>
      <c r="C899" s="42">
        <v>1394.28</v>
      </c>
      <c r="D899" s="42">
        <v>1381.66</v>
      </c>
      <c r="E899" s="42">
        <v>1394.14</v>
      </c>
      <c r="F899" s="2">
        <v>8720000000</v>
      </c>
    </row>
    <row r="900" spans="1:6">
      <c r="A900" s="32">
        <v>42494</v>
      </c>
      <c r="B900" s="42">
        <v>1392.58</v>
      </c>
      <c r="C900" s="42">
        <v>1393.56</v>
      </c>
      <c r="D900" s="42">
        <v>1384.18</v>
      </c>
      <c r="E900" s="42">
        <v>1390.7</v>
      </c>
      <c r="F900" s="2">
        <v>8200000000</v>
      </c>
    </row>
    <row r="901" spans="1:6">
      <c r="A901" s="32">
        <v>42493</v>
      </c>
      <c r="B901" s="42">
        <v>1403.53</v>
      </c>
      <c r="C901" s="42">
        <v>1409.92</v>
      </c>
      <c r="D901" s="42">
        <v>1397.12</v>
      </c>
      <c r="E901" s="42">
        <v>1397.87</v>
      </c>
      <c r="F901" s="2">
        <v>10450000000</v>
      </c>
    </row>
    <row r="902" spans="1:6">
      <c r="A902" s="32">
        <v>42489</v>
      </c>
      <c r="B902" s="42">
        <v>1399.15</v>
      </c>
      <c r="C902" s="42">
        <v>1404.61</v>
      </c>
      <c r="D902" s="42">
        <v>1394.25</v>
      </c>
      <c r="E902" s="42">
        <v>1404.61</v>
      </c>
      <c r="F902" s="2">
        <v>11790000000</v>
      </c>
    </row>
    <row r="903" spans="1:6">
      <c r="A903" s="32">
        <v>42488</v>
      </c>
      <c r="B903" s="42">
        <v>1416.35</v>
      </c>
      <c r="C903" s="42">
        <v>1419.21</v>
      </c>
      <c r="D903" s="42">
        <v>1396.16</v>
      </c>
      <c r="E903" s="42">
        <v>1399.91</v>
      </c>
      <c r="F903" s="2">
        <v>10240000000</v>
      </c>
    </row>
    <row r="904" spans="1:6">
      <c r="A904" s="32">
        <v>42487</v>
      </c>
      <c r="B904" s="42">
        <v>1421.8</v>
      </c>
      <c r="C904" s="42">
        <v>1423.15</v>
      </c>
      <c r="D904" s="42">
        <v>1409.17</v>
      </c>
      <c r="E904" s="42">
        <v>1411.84</v>
      </c>
      <c r="F904" s="2">
        <v>8430000000</v>
      </c>
    </row>
    <row r="905" spans="1:6">
      <c r="A905" s="32">
        <v>42486</v>
      </c>
      <c r="B905" s="42">
        <v>1408</v>
      </c>
      <c r="C905" s="42">
        <v>1421.89</v>
      </c>
      <c r="D905" s="42">
        <v>1405.55</v>
      </c>
      <c r="E905" s="42">
        <v>1418.78</v>
      </c>
      <c r="F905" s="2">
        <v>11740000000</v>
      </c>
    </row>
    <row r="906" spans="1:6">
      <c r="A906" s="32">
        <v>42485</v>
      </c>
      <c r="B906" s="42">
        <v>1410.66</v>
      </c>
      <c r="C906" s="42">
        <v>1413.99</v>
      </c>
      <c r="D906" s="42">
        <v>1406.38</v>
      </c>
      <c r="E906" s="42">
        <v>1408.71</v>
      </c>
      <c r="F906" s="2">
        <v>8570000000</v>
      </c>
    </row>
    <row r="907" spans="1:6">
      <c r="A907" s="32">
        <v>42482</v>
      </c>
      <c r="B907" s="42">
        <v>1425.27</v>
      </c>
      <c r="C907" s="42">
        <v>1425.76</v>
      </c>
      <c r="D907" s="42">
        <v>1410.81</v>
      </c>
      <c r="E907" s="42">
        <v>1410.81</v>
      </c>
      <c r="F907" s="2">
        <v>8620000000</v>
      </c>
    </row>
    <row r="908" spans="1:6">
      <c r="A908" s="32">
        <v>42481</v>
      </c>
      <c r="B908" s="42">
        <v>1425.72</v>
      </c>
      <c r="C908" s="42">
        <v>1432.25</v>
      </c>
      <c r="D908" s="42">
        <v>1420.75</v>
      </c>
      <c r="E908" s="42">
        <v>1423.9</v>
      </c>
      <c r="F908" s="2">
        <v>9720000000</v>
      </c>
    </row>
    <row r="909" spans="1:6">
      <c r="A909" s="32">
        <v>42480</v>
      </c>
      <c r="B909" s="42">
        <v>1416.78</v>
      </c>
      <c r="C909" s="42">
        <v>1419.77</v>
      </c>
      <c r="D909" s="42">
        <v>1407.97</v>
      </c>
      <c r="E909" s="42">
        <v>1414.96</v>
      </c>
      <c r="F909" s="2">
        <v>9210000000</v>
      </c>
    </row>
    <row r="910" spans="1:6">
      <c r="A910" s="32">
        <v>42479</v>
      </c>
      <c r="B910" s="42">
        <v>1403.81</v>
      </c>
      <c r="C910" s="42">
        <v>1417.96</v>
      </c>
      <c r="D910" s="42">
        <v>1402.16</v>
      </c>
      <c r="E910" s="42">
        <v>1416</v>
      </c>
      <c r="F910" s="2">
        <v>9730000000</v>
      </c>
    </row>
    <row r="911" spans="1:6">
      <c r="A911" s="32">
        <v>42478</v>
      </c>
      <c r="B911" s="42">
        <v>1387.08</v>
      </c>
      <c r="C911" s="42">
        <v>1398.81</v>
      </c>
      <c r="D911" s="42">
        <v>1384.39</v>
      </c>
      <c r="E911" s="42">
        <v>1398.77</v>
      </c>
      <c r="F911" s="2">
        <v>8820000000</v>
      </c>
    </row>
    <row r="912" spans="1:6">
      <c r="A912" s="32">
        <v>42472</v>
      </c>
      <c r="B912" s="42">
        <v>1374.92</v>
      </c>
      <c r="C912" s="42">
        <v>1386.04</v>
      </c>
      <c r="D912" s="42">
        <v>1373.83</v>
      </c>
      <c r="E912" s="42">
        <v>1385.42</v>
      </c>
      <c r="F912" s="2">
        <v>7660000000</v>
      </c>
    </row>
    <row r="913" spans="1:6">
      <c r="A913" s="32">
        <v>42471</v>
      </c>
      <c r="B913" s="42">
        <v>1370.31</v>
      </c>
      <c r="C913" s="42">
        <v>1375.47</v>
      </c>
      <c r="D913" s="42">
        <v>1364.96</v>
      </c>
      <c r="E913" s="42">
        <v>1369.84</v>
      </c>
      <c r="F913" s="2">
        <v>5920000000</v>
      </c>
    </row>
    <row r="914" spans="1:6">
      <c r="A914" s="32">
        <v>42468</v>
      </c>
      <c r="B914" s="42">
        <v>1357.23</v>
      </c>
      <c r="C914" s="42">
        <v>1370.68</v>
      </c>
      <c r="D914" s="42">
        <v>1351.27</v>
      </c>
      <c r="E914" s="42">
        <v>1369.64</v>
      </c>
      <c r="F914" s="2">
        <v>10310000000</v>
      </c>
    </row>
    <row r="915" spans="1:6">
      <c r="A915" s="32">
        <v>42467</v>
      </c>
      <c r="B915" s="42">
        <v>1375.19</v>
      </c>
      <c r="C915" s="42">
        <v>1379.25</v>
      </c>
      <c r="D915" s="42">
        <v>1356.68</v>
      </c>
      <c r="E915" s="42">
        <v>1356.69</v>
      </c>
      <c r="F915" s="2">
        <v>9660000000</v>
      </c>
    </row>
    <row r="916" spans="1:6">
      <c r="A916" s="32">
        <v>42465</v>
      </c>
      <c r="B916" s="42">
        <v>1389.75</v>
      </c>
      <c r="C916" s="42">
        <v>1390.11</v>
      </c>
      <c r="D916" s="42">
        <v>1373.34</v>
      </c>
      <c r="E916" s="42">
        <v>1373.59</v>
      </c>
      <c r="F916" s="2">
        <v>10740000000</v>
      </c>
    </row>
    <row r="917" spans="1:6">
      <c r="A917" s="32">
        <v>42464</v>
      </c>
      <c r="B917" s="42">
        <v>1399.59</v>
      </c>
      <c r="C917" s="42">
        <v>1403.27</v>
      </c>
      <c r="D917" s="42">
        <v>1396.42</v>
      </c>
      <c r="E917" s="42">
        <v>1400.27</v>
      </c>
      <c r="F917" s="2">
        <v>7650000000</v>
      </c>
    </row>
    <row r="918" spans="1:6">
      <c r="A918" s="32">
        <v>42461</v>
      </c>
      <c r="B918" s="42">
        <v>1405.07</v>
      </c>
      <c r="C918" s="42">
        <v>1406.24</v>
      </c>
      <c r="D918" s="42">
        <v>1395.44</v>
      </c>
      <c r="E918" s="42">
        <v>1400.72</v>
      </c>
      <c r="F918" s="2">
        <v>7020000000</v>
      </c>
    </row>
    <row r="919" spans="1:6">
      <c r="A919" s="32">
        <v>42460</v>
      </c>
      <c r="B919" s="42">
        <v>1406.85</v>
      </c>
      <c r="C919" s="42">
        <v>1412.92</v>
      </c>
      <c r="D919" s="42">
        <v>1402.01</v>
      </c>
      <c r="E919" s="42">
        <v>1407.7</v>
      </c>
      <c r="F919" s="2">
        <v>8050000000</v>
      </c>
    </row>
    <row r="920" spans="1:6">
      <c r="A920" s="32">
        <v>42459</v>
      </c>
      <c r="B920" s="42">
        <v>1401.08</v>
      </c>
      <c r="C920" s="42">
        <v>1419.72</v>
      </c>
      <c r="D920" s="42">
        <v>1400.55</v>
      </c>
      <c r="E920" s="42">
        <v>1410.29</v>
      </c>
      <c r="F920" s="2">
        <v>9440000000</v>
      </c>
    </row>
    <row r="921" spans="1:6">
      <c r="A921" s="32">
        <v>42458</v>
      </c>
      <c r="B921" s="42">
        <v>1389.04</v>
      </c>
      <c r="C921" s="42">
        <v>1394.78</v>
      </c>
      <c r="D921" s="42">
        <v>1386.29</v>
      </c>
      <c r="E921" s="42">
        <v>1392.85</v>
      </c>
      <c r="F921" s="2">
        <v>8210000000</v>
      </c>
    </row>
    <row r="922" spans="1:6">
      <c r="A922" s="32">
        <v>42457</v>
      </c>
      <c r="B922" s="42">
        <v>1395.69</v>
      </c>
      <c r="C922" s="42">
        <v>1399.22</v>
      </c>
      <c r="D922" s="42">
        <v>1386.98</v>
      </c>
      <c r="E922" s="42">
        <v>1389.01</v>
      </c>
      <c r="F922" s="2">
        <v>7860000000</v>
      </c>
    </row>
    <row r="923" spans="1:6">
      <c r="A923" s="32">
        <v>42454</v>
      </c>
      <c r="B923" s="42">
        <v>1407.43</v>
      </c>
      <c r="C923" s="42">
        <v>1410.17</v>
      </c>
      <c r="D923" s="42">
        <v>1394.53</v>
      </c>
      <c r="E923" s="42">
        <v>1394.78</v>
      </c>
      <c r="F923" s="2">
        <v>8700000000</v>
      </c>
    </row>
    <row r="924" spans="1:6">
      <c r="A924" s="32">
        <v>42453</v>
      </c>
      <c r="B924" s="42">
        <v>1407.36</v>
      </c>
      <c r="C924" s="42">
        <v>1412.8</v>
      </c>
      <c r="D924" s="42">
        <v>1403.53</v>
      </c>
      <c r="E924" s="42">
        <v>1405.41</v>
      </c>
      <c r="F924" s="2">
        <v>9460000000</v>
      </c>
    </row>
    <row r="925" spans="1:6">
      <c r="A925" s="32">
        <v>42452</v>
      </c>
      <c r="B925" s="42">
        <v>1396.24</v>
      </c>
      <c r="C925" s="42">
        <v>1412.16</v>
      </c>
      <c r="D925" s="42">
        <v>1393.16</v>
      </c>
      <c r="E925" s="42">
        <v>1412.16</v>
      </c>
      <c r="F925" s="2">
        <v>10510000000</v>
      </c>
    </row>
    <row r="926" spans="1:6">
      <c r="A926" s="32">
        <v>42451</v>
      </c>
      <c r="B926" s="42">
        <v>1400.95</v>
      </c>
      <c r="C926" s="42">
        <v>1402.03</v>
      </c>
      <c r="D926" s="42">
        <v>1391.23</v>
      </c>
      <c r="E926" s="42">
        <v>1397.2</v>
      </c>
      <c r="F926" s="2">
        <v>10040000000</v>
      </c>
    </row>
    <row r="927" spans="1:6">
      <c r="A927" s="32">
        <v>42450</v>
      </c>
      <c r="B927" s="42">
        <v>1384.72</v>
      </c>
      <c r="C927" s="42">
        <v>1393.68</v>
      </c>
      <c r="D927" s="42">
        <v>1380.16</v>
      </c>
      <c r="E927" s="42">
        <v>1393.63</v>
      </c>
      <c r="F927" s="2">
        <v>11030000000</v>
      </c>
    </row>
    <row r="928" spans="1:6">
      <c r="A928" s="32">
        <v>42447</v>
      </c>
      <c r="B928" s="42">
        <v>1386.46</v>
      </c>
      <c r="C928" s="42">
        <v>1388.7</v>
      </c>
      <c r="D928" s="42">
        <v>1376.41</v>
      </c>
      <c r="E928" s="42">
        <v>1382.96</v>
      </c>
      <c r="F928" s="2">
        <v>12120000000</v>
      </c>
    </row>
    <row r="929" spans="1:6">
      <c r="A929" s="32">
        <v>42446</v>
      </c>
      <c r="B929" s="42">
        <v>1388.09</v>
      </c>
      <c r="C929" s="42">
        <v>1389.77</v>
      </c>
      <c r="D929" s="42">
        <v>1379.96</v>
      </c>
      <c r="E929" s="42">
        <v>1380.2</v>
      </c>
      <c r="F929" s="2">
        <v>11580000000</v>
      </c>
    </row>
    <row r="930" spans="1:6">
      <c r="A930" s="32">
        <v>42445</v>
      </c>
      <c r="B930" s="42">
        <v>1387.01</v>
      </c>
      <c r="C930" s="42">
        <v>1392.24</v>
      </c>
      <c r="D930" s="42">
        <v>1370.08</v>
      </c>
      <c r="E930" s="42">
        <v>1377.8</v>
      </c>
      <c r="F930" s="2">
        <v>17060000000</v>
      </c>
    </row>
    <row r="931" spans="1:6">
      <c r="A931" s="32">
        <v>42444</v>
      </c>
      <c r="B931" s="42">
        <v>1389.67</v>
      </c>
      <c r="C931" s="42">
        <v>1391.76</v>
      </c>
      <c r="D931" s="42">
        <v>1380.23</v>
      </c>
      <c r="E931" s="42">
        <v>1382.93</v>
      </c>
      <c r="F931" s="2">
        <v>10100000000</v>
      </c>
    </row>
    <row r="932" spans="1:6">
      <c r="A932" s="32">
        <v>42443</v>
      </c>
      <c r="B932" s="42">
        <v>1401.58</v>
      </c>
      <c r="C932" s="42">
        <v>1407.21</v>
      </c>
      <c r="D932" s="42">
        <v>1392.51</v>
      </c>
      <c r="E932" s="42">
        <v>1394.27</v>
      </c>
      <c r="F932" s="2">
        <v>10060000000</v>
      </c>
    </row>
    <row r="933" spans="1:6">
      <c r="A933" s="32">
        <v>42440</v>
      </c>
      <c r="B933" s="42">
        <v>1385.27</v>
      </c>
      <c r="C933" s="42">
        <v>1396.86</v>
      </c>
      <c r="D933" s="42">
        <v>1385.26</v>
      </c>
      <c r="E933" s="42">
        <v>1393.41</v>
      </c>
      <c r="F933" s="2">
        <v>11050000000</v>
      </c>
    </row>
    <row r="934" spans="1:6">
      <c r="A934" s="32">
        <v>42439</v>
      </c>
      <c r="B934" s="42">
        <v>1392.13</v>
      </c>
      <c r="C934" s="42">
        <v>1392.49</v>
      </c>
      <c r="D934" s="42">
        <v>1376.34</v>
      </c>
      <c r="E934" s="42">
        <v>1379.06</v>
      </c>
      <c r="F934" s="2">
        <v>22380000000</v>
      </c>
    </row>
    <row r="935" spans="1:6">
      <c r="A935" s="32">
        <v>42438</v>
      </c>
      <c r="B935" s="42">
        <v>1371.35</v>
      </c>
      <c r="C935" s="42">
        <v>1391.13</v>
      </c>
      <c r="D935" s="42">
        <v>1366.81</v>
      </c>
      <c r="E935" s="42">
        <v>1390.66</v>
      </c>
      <c r="F935" s="2">
        <v>12540000000</v>
      </c>
    </row>
    <row r="936" spans="1:6">
      <c r="A936" s="32">
        <v>42437</v>
      </c>
      <c r="B936" s="42">
        <v>1391.58</v>
      </c>
      <c r="C936" s="42">
        <v>1397.75</v>
      </c>
      <c r="D936" s="42">
        <v>1373.86</v>
      </c>
      <c r="E936" s="42">
        <v>1374.62</v>
      </c>
      <c r="F936" s="2">
        <v>16230000000</v>
      </c>
    </row>
    <row r="937" spans="1:6">
      <c r="A937" s="32">
        <v>42436</v>
      </c>
      <c r="B937" s="42">
        <v>1386.53</v>
      </c>
      <c r="C937" s="42">
        <v>1396.3</v>
      </c>
      <c r="D937" s="42">
        <v>1385.91</v>
      </c>
      <c r="E937" s="42">
        <v>1395.75</v>
      </c>
      <c r="F937" s="2">
        <v>13950000000</v>
      </c>
    </row>
    <row r="938" spans="1:6">
      <c r="A938" s="32">
        <v>42433</v>
      </c>
      <c r="B938" s="42">
        <v>1385.03</v>
      </c>
      <c r="C938" s="42">
        <v>1389.24</v>
      </c>
      <c r="D938" s="42">
        <v>1376.37</v>
      </c>
      <c r="E938" s="42">
        <v>1379.53</v>
      </c>
      <c r="F938" s="2">
        <v>10720000000</v>
      </c>
    </row>
    <row r="939" spans="1:6">
      <c r="A939" s="32">
        <v>42432</v>
      </c>
      <c r="B939" s="42">
        <v>1371.46</v>
      </c>
      <c r="C939" s="42">
        <v>1383.47</v>
      </c>
      <c r="D939" s="42">
        <v>1369.94</v>
      </c>
      <c r="E939" s="42">
        <v>1379.33</v>
      </c>
      <c r="F939" s="2">
        <v>11470000000</v>
      </c>
    </row>
    <row r="940" spans="1:6">
      <c r="A940" s="32">
        <v>42431</v>
      </c>
      <c r="B940" s="42">
        <v>1355.01</v>
      </c>
      <c r="C940" s="42">
        <v>1372.46</v>
      </c>
      <c r="D940" s="42">
        <v>1352.81</v>
      </c>
      <c r="E940" s="42">
        <v>1365.31</v>
      </c>
      <c r="F940" s="2">
        <v>15520000000</v>
      </c>
    </row>
    <row r="941" spans="1:6">
      <c r="A941" s="32">
        <v>42430</v>
      </c>
      <c r="B941" s="42">
        <v>1335.52</v>
      </c>
      <c r="C941" s="42">
        <v>1347.33</v>
      </c>
      <c r="D941" s="42">
        <v>1331.55</v>
      </c>
      <c r="E941" s="42">
        <v>1346.95</v>
      </c>
      <c r="F941" s="2">
        <v>10160000000</v>
      </c>
    </row>
    <row r="942" spans="1:6">
      <c r="A942" s="32">
        <v>42429</v>
      </c>
      <c r="B942" s="42">
        <v>1342.43</v>
      </c>
      <c r="C942" s="42">
        <v>1343.94</v>
      </c>
      <c r="D942" s="42">
        <v>1331.57</v>
      </c>
      <c r="E942" s="42">
        <v>1332.37</v>
      </c>
      <c r="F942" s="2">
        <v>7950000000</v>
      </c>
    </row>
    <row r="943" spans="1:6">
      <c r="A943" s="32">
        <v>42426</v>
      </c>
      <c r="B943" s="42">
        <v>1338.48</v>
      </c>
      <c r="C943" s="42">
        <v>1343.51</v>
      </c>
      <c r="D943" s="42">
        <v>1335.74</v>
      </c>
      <c r="E943" s="42">
        <v>1343.07</v>
      </c>
      <c r="F943" s="2">
        <v>8620000000</v>
      </c>
    </row>
    <row r="944" spans="1:6">
      <c r="A944" s="32">
        <v>42425</v>
      </c>
      <c r="B944" s="42">
        <v>1338.04</v>
      </c>
      <c r="C944" s="42">
        <v>1338.98</v>
      </c>
      <c r="D944" s="42">
        <v>1326.68</v>
      </c>
      <c r="E944" s="42">
        <v>1333.42</v>
      </c>
      <c r="F944" s="2">
        <v>8940000000</v>
      </c>
    </row>
    <row r="945" spans="1:6">
      <c r="A945" s="32">
        <v>42424</v>
      </c>
      <c r="B945" s="42">
        <v>1323.01</v>
      </c>
      <c r="C945" s="42">
        <v>1336.15</v>
      </c>
      <c r="D945" s="42">
        <v>1320.91</v>
      </c>
      <c r="E945" s="42">
        <v>1331.93</v>
      </c>
      <c r="F945" s="2">
        <v>9200000000</v>
      </c>
    </row>
    <row r="946" spans="1:6">
      <c r="A946" s="32">
        <v>42423</v>
      </c>
      <c r="B946" s="42">
        <v>1325.24</v>
      </c>
      <c r="C946" s="42">
        <v>1329.24</v>
      </c>
      <c r="D946" s="42">
        <v>1319.22</v>
      </c>
      <c r="E946" s="42">
        <v>1325.79</v>
      </c>
      <c r="F946" s="2">
        <v>9280000000</v>
      </c>
    </row>
    <row r="947" spans="1:6">
      <c r="A947" s="32">
        <v>42419</v>
      </c>
      <c r="B947" s="42">
        <v>1295.01</v>
      </c>
      <c r="C947" s="42">
        <v>1320.23</v>
      </c>
      <c r="D947" s="42">
        <v>1293.48</v>
      </c>
      <c r="E947" s="42">
        <v>1320.19</v>
      </c>
      <c r="F947" s="2">
        <v>9730000000</v>
      </c>
    </row>
    <row r="948" spans="1:6">
      <c r="A948" s="32">
        <v>42418</v>
      </c>
      <c r="B948" s="42">
        <v>1297.23</v>
      </c>
      <c r="C948" s="42">
        <v>1301.33</v>
      </c>
      <c r="D948" s="42">
        <v>1287.8399999999999</v>
      </c>
      <c r="E948" s="42">
        <v>1294.5899999999999</v>
      </c>
      <c r="F948" s="2">
        <v>8880000000</v>
      </c>
    </row>
    <row r="949" spans="1:6">
      <c r="A949" s="32">
        <v>42417</v>
      </c>
      <c r="B949" s="42">
        <v>1287.25</v>
      </c>
      <c r="C949" s="42">
        <v>1288.6199999999999</v>
      </c>
      <c r="D949" s="42">
        <v>1275.72</v>
      </c>
      <c r="E949" s="42">
        <v>1288.47</v>
      </c>
      <c r="F949" s="2">
        <v>9760000000</v>
      </c>
    </row>
    <row r="950" spans="1:6">
      <c r="A950" s="32">
        <v>42416</v>
      </c>
      <c r="B950" s="42">
        <v>1296.69</v>
      </c>
      <c r="C950" s="42">
        <v>1298.71</v>
      </c>
      <c r="D950" s="42">
        <v>1286.26</v>
      </c>
      <c r="E950" s="42">
        <v>1289.3599999999999</v>
      </c>
      <c r="F950" s="2">
        <v>7840000000</v>
      </c>
    </row>
    <row r="951" spans="1:6">
      <c r="A951" s="32">
        <v>42415</v>
      </c>
      <c r="B951" s="42">
        <v>1287.05</v>
      </c>
      <c r="C951" s="42">
        <v>1294.55</v>
      </c>
      <c r="D951" s="42">
        <v>1284.8900000000001</v>
      </c>
      <c r="E951" s="42">
        <v>1288.4000000000001</v>
      </c>
      <c r="F951" s="2">
        <v>6970000000</v>
      </c>
    </row>
    <row r="952" spans="1:6">
      <c r="A952" s="32">
        <v>42412</v>
      </c>
      <c r="B952" s="42">
        <v>1282.8599999999999</v>
      </c>
      <c r="C952" s="42">
        <v>1286.2</v>
      </c>
      <c r="D952" s="42">
        <v>1270.8399999999999</v>
      </c>
      <c r="E952" s="42">
        <v>1276.49</v>
      </c>
      <c r="F952" s="2">
        <v>8840000000</v>
      </c>
    </row>
    <row r="953" spans="1:6">
      <c r="A953" s="32">
        <v>42411</v>
      </c>
      <c r="B953" s="42">
        <v>1300.3699999999999</v>
      </c>
      <c r="C953" s="42">
        <v>1307.25</v>
      </c>
      <c r="D953" s="42">
        <v>1280.74</v>
      </c>
      <c r="E953" s="42">
        <v>1280.74</v>
      </c>
      <c r="F953" s="2">
        <v>10770000000</v>
      </c>
    </row>
    <row r="954" spans="1:6">
      <c r="A954" s="32">
        <v>42410</v>
      </c>
      <c r="B954" s="42">
        <v>1300.32</v>
      </c>
      <c r="C954" s="42">
        <v>1306.3499999999999</v>
      </c>
      <c r="D954" s="42">
        <v>1296.02</v>
      </c>
      <c r="E954" s="42">
        <v>1304.74</v>
      </c>
      <c r="F954" s="2">
        <v>7820000000</v>
      </c>
    </row>
    <row r="955" spans="1:6">
      <c r="A955" s="32">
        <v>42409</v>
      </c>
      <c r="B955" s="42">
        <v>1300.3399999999999</v>
      </c>
      <c r="C955" s="42">
        <v>1303.99</v>
      </c>
      <c r="D955" s="42">
        <v>1294.5999999999999</v>
      </c>
      <c r="E955" s="42">
        <v>1303.96</v>
      </c>
      <c r="F955" s="2">
        <v>7180000000</v>
      </c>
    </row>
    <row r="956" spans="1:6">
      <c r="A956" s="32">
        <v>42408</v>
      </c>
      <c r="B956" s="42">
        <v>1308.46</v>
      </c>
      <c r="C956" s="42">
        <v>1313.29</v>
      </c>
      <c r="D956" s="42">
        <v>1304.71</v>
      </c>
      <c r="E956" s="42">
        <v>1307.57</v>
      </c>
      <c r="F956" s="2">
        <v>5980000000</v>
      </c>
    </row>
    <row r="957" spans="1:6">
      <c r="A957" s="32">
        <v>42405</v>
      </c>
      <c r="B957" s="42">
        <v>1303.97</v>
      </c>
      <c r="C957" s="42">
        <v>1307.95</v>
      </c>
      <c r="D957" s="42">
        <v>1300.24</v>
      </c>
      <c r="E957" s="42">
        <v>1306.29</v>
      </c>
      <c r="F957" s="2">
        <v>8030000000</v>
      </c>
    </row>
    <row r="958" spans="1:6">
      <c r="A958" s="32">
        <v>42404</v>
      </c>
      <c r="B958" s="42">
        <v>1298.8900000000001</v>
      </c>
      <c r="C958" s="42">
        <v>1301.8699999999999</v>
      </c>
      <c r="D958" s="42">
        <v>1294.67</v>
      </c>
      <c r="E958" s="42">
        <v>1297.1099999999999</v>
      </c>
      <c r="F958" s="2">
        <v>9470000000</v>
      </c>
    </row>
    <row r="959" spans="1:6">
      <c r="A959" s="32">
        <v>42403</v>
      </c>
      <c r="B959" s="42">
        <v>1277.3800000000001</v>
      </c>
      <c r="C959" s="42">
        <v>1291.8699999999999</v>
      </c>
      <c r="D959" s="42">
        <v>1275.4100000000001</v>
      </c>
      <c r="E959" s="42">
        <v>1291.77</v>
      </c>
      <c r="F959" s="2">
        <v>8650000000</v>
      </c>
    </row>
    <row r="960" spans="1:6">
      <c r="A960" s="32">
        <v>42402</v>
      </c>
      <c r="B960" s="42">
        <v>1295.76</v>
      </c>
      <c r="C960" s="42">
        <v>1300.0999999999999</v>
      </c>
      <c r="D960" s="42">
        <v>1284.6400000000001</v>
      </c>
      <c r="E960" s="42">
        <v>1285.3</v>
      </c>
      <c r="F960" s="2">
        <v>12770000000</v>
      </c>
    </row>
    <row r="961" spans="1:6">
      <c r="A961" s="32">
        <v>42401</v>
      </c>
      <c r="B961" s="42">
        <v>1300.8499999999999</v>
      </c>
      <c r="C961" s="42">
        <v>1308.26</v>
      </c>
      <c r="D961" s="42">
        <v>1293.27</v>
      </c>
      <c r="E961" s="42">
        <v>1297.3399999999999</v>
      </c>
      <c r="F961" s="2">
        <v>11150000000</v>
      </c>
    </row>
    <row r="962" spans="1:6">
      <c r="A962" s="32">
        <v>42398</v>
      </c>
      <c r="B962" s="42">
        <v>1291.97</v>
      </c>
      <c r="C962" s="42">
        <v>1301.01</v>
      </c>
      <c r="D962" s="42">
        <v>1287.23</v>
      </c>
      <c r="E962" s="42">
        <v>1300.98</v>
      </c>
      <c r="F962" s="2">
        <v>9970000000</v>
      </c>
    </row>
    <row r="963" spans="1:6">
      <c r="A963" s="32">
        <v>42397</v>
      </c>
      <c r="B963" s="42">
        <v>1284.21</v>
      </c>
      <c r="C963" s="42">
        <v>1288.8800000000001</v>
      </c>
      <c r="D963" s="42">
        <v>1274.53</v>
      </c>
      <c r="E963" s="42">
        <v>1288.4000000000001</v>
      </c>
      <c r="F963" s="2">
        <v>9780000000</v>
      </c>
    </row>
    <row r="964" spans="1:6">
      <c r="A964" s="32">
        <v>42396</v>
      </c>
      <c r="B964" s="42">
        <v>1276.69</v>
      </c>
      <c r="C964" s="42">
        <v>1286.1600000000001</v>
      </c>
      <c r="D964" s="42">
        <v>1275.79</v>
      </c>
      <c r="E964" s="42">
        <v>1278.29</v>
      </c>
      <c r="F964" s="2">
        <v>10780000000</v>
      </c>
    </row>
    <row r="965" spans="1:6">
      <c r="A965" s="32">
        <v>42395</v>
      </c>
      <c r="B965" s="42">
        <v>1261.3</v>
      </c>
      <c r="C965" s="42">
        <v>1271.5</v>
      </c>
      <c r="D965" s="42">
        <v>1259.3499999999999</v>
      </c>
      <c r="E965" s="42">
        <v>1268.07</v>
      </c>
      <c r="F965" s="2">
        <v>8590000000</v>
      </c>
    </row>
    <row r="966" spans="1:6">
      <c r="A966" s="32">
        <v>42394</v>
      </c>
      <c r="B966" s="42">
        <v>1277.28</v>
      </c>
      <c r="C966" s="42">
        <v>1283.51</v>
      </c>
      <c r="D966" s="42">
        <v>1267.58</v>
      </c>
      <c r="E966" s="42">
        <v>1267.7</v>
      </c>
      <c r="F966" s="2">
        <v>11580000000</v>
      </c>
    </row>
    <row r="967" spans="1:6">
      <c r="A967" s="32">
        <v>42391</v>
      </c>
      <c r="B967" s="42">
        <v>1260.53</v>
      </c>
      <c r="C967" s="42">
        <v>1272.0899999999999</v>
      </c>
      <c r="D967" s="42">
        <v>1254.8</v>
      </c>
      <c r="E967" s="42">
        <v>1268.03</v>
      </c>
      <c r="F967" s="2">
        <v>9770000000</v>
      </c>
    </row>
    <row r="968" spans="1:6">
      <c r="A968" s="32">
        <v>42390</v>
      </c>
      <c r="B968" s="42">
        <v>1260.77</v>
      </c>
      <c r="C968" s="42">
        <v>1263.67</v>
      </c>
      <c r="D968" s="42">
        <v>1237.56</v>
      </c>
      <c r="E968" s="42">
        <v>1245.6099999999999</v>
      </c>
      <c r="F968" s="2">
        <v>13780000000</v>
      </c>
    </row>
    <row r="969" spans="1:6">
      <c r="A969" s="32">
        <v>42389</v>
      </c>
      <c r="B969" s="42">
        <v>1253.43</v>
      </c>
      <c r="C969" s="42">
        <v>1257.92</v>
      </c>
      <c r="D969" s="42">
        <v>1244.94</v>
      </c>
      <c r="E969" s="42">
        <v>1248.98</v>
      </c>
      <c r="F969" s="2">
        <v>9320000000</v>
      </c>
    </row>
    <row r="970" spans="1:6">
      <c r="A970" s="32">
        <v>42388</v>
      </c>
      <c r="B970" s="42">
        <v>1248.76</v>
      </c>
      <c r="C970" s="42">
        <v>1269.98</v>
      </c>
      <c r="D970" s="42">
        <v>1248.3900000000001</v>
      </c>
      <c r="E970" s="42">
        <v>1266.01</v>
      </c>
      <c r="F970" s="2">
        <v>10110000000</v>
      </c>
    </row>
    <row r="971" spans="1:6">
      <c r="A971" s="32">
        <v>42387</v>
      </c>
      <c r="B971" s="42">
        <v>1234.8</v>
      </c>
      <c r="C971" s="42">
        <v>1250.6600000000001</v>
      </c>
      <c r="D971" s="42">
        <v>1231.32</v>
      </c>
      <c r="E971" s="42">
        <v>1245.05</v>
      </c>
      <c r="F971" s="2">
        <v>7760000000</v>
      </c>
    </row>
    <row r="972" spans="1:6">
      <c r="A972" s="32">
        <v>42384</v>
      </c>
      <c r="B972" s="42">
        <v>1269.4000000000001</v>
      </c>
      <c r="C972" s="42">
        <v>1273.82</v>
      </c>
      <c r="D972" s="42">
        <v>1245.3599999999999</v>
      </c>
      <c r="E972" s="42">
        <v>1245.8499999999999</v>
      </c>
      <c r="F972" s="2">
        <v>9180000000</v>
      </c>
    </row>
    <row r="973" spans="1:6">
      <c r="A973" s="32">
        <v>42383</v>
      </c>
      <c r="B973" s="42">
        <v>1264.93</v>
      </c>
      <c r="C973" s="42">
        <v>1273.9100000000001</v>
      </c>
      <c r="D973" s="42">
        <v>1260.4100000000001</v>
      </c>
      <c r="E973" s="42">
        <v>1263.29</v>
      </c>
      <c r="F973" s="2">
        <v>9840000000</v>
      </c>
    </row>
    <row r="974" spans="1:6">
      <c r="A974" s="32">
        <v>42382</v>
      </c>
      <c r="B974" s="42">
        <v>1268.32</v>
      </c>
      <c r="C974" s="42">
        <v>1279.21</v>
      </c>
      <c r="D974" s="42">
        <v>1262.53</v>
      </c>
      <c r="E974" s="42">
        <v>1278.6099999999999</v>
      </c>
      <c r="F974" s="2">
        <v>10720000000</v>
      </c>
    </row>
    <row r="975" spans="1:6">
      <c r="A975" s="32">
        <v>42381</v>
      </c>
      <c r="B975" s="42">
        <v>1232.1600000000001</v>
      </c>
      <c r="C975" s="42">
        <v>1255.78</v>
      </c>
      <c r="D975" s="42">
        <v>1231.92</v>
      </c>
      <c r="E975" s="42">
        <v>1255.3</v>
      </c>
      <c r="F975" s="2">
        <v>9060000000</v>
      </c>
    </row>
    <row r="976" spans="1:6">
      <c r="A976" s="32">
        <v>42380</v>
      </c>
      <c r="B976" s="42">
        <v>1233.8599999999999</v>
      </c>
      <c r="C976" s="42">
        <v>1235.18</v>
      </c>
      <c r="D976" s="42">
        <v>1220.96</v>
      </c>
      <c r="E976" s="42">
        <v>1234.5</v>
      </c>
      <c r="F976" s="2">
        <v>7900000000</v>
      </c>
    </row>
    <row r="977" spans="1:6">
      <c r="A977" s="32">
        <v>42377</v>
      </c>
      <c r="B977" s="42">
        <v>1231.8800000000001</v>
      </c>
      <c r="C977" s="42">
        <v>1246.7</v>
      </c>
      <c r="D977" s="42">
        <v>1228.18</v>
      </c>
      <c r="E977" s="42">
        <v>1244.18</v>
      </c>
      <c r="F977" s="2">
        <v>7910000000</v>
      </c>
    </row>
    <row r="978" spans="1:6">
      <c r="A978" s="32">
        <v>42376</v>
      </c>
      <c r="B978" s="42">
        <v>1238.06</v>
      </c>
      <c r="C978" s="42">
        <v>1244.04</v>
      </c>
      <c r="D978" s="42">
        <v>1224.83</v>
      </c>
      <c r="E978" s="42">
        <v>1224.83</v>
      </c>
      <c r="F978" s="2">
        <v>9620000000</v>
      </c>
    </row>
    <row r="979" spans="1:6">
      <c r="A979" s="32">
        <v>42375</v>
      </c>
      <c r="B979" s="42">
        <v>1250.1400000000001</v>
      </c>
      <c r="C979" s="42">
        <v>1260.8800000000001</v>
      </c>
      <c r="D979" s="42">
        <v>1247.8900000000001</v>
      </c>
      <c r="E979" s="42">
        <v>1260.04</v>
      </c>
      <c r="F979" s="2">
        <v>7910000000</v>
      </c>
    </row>
    <row r="980" spans="1:6">
      <c r="A980" s="32">
        <v>42374</v>
      </c>
      <c r="B980" s="42">
        <v>1267.99</v>
      </c>
      <c r="C980" s="42">
        <v>1270.07</v>
      </c>
      <c r="D980" s="42">
        <v>1251.8699999999999</v>
      </c>
      <c r="E980" s="42">
        <v>1253.3399999999999</v>
      </c>
      <c r="F980" s="2">
        <v>9880000000</v>
      </c>
    </row>
    <row r="981" spans="1:6">
      <c r="A981" s="32">
        <v>42373</v>
      </c>
      <c r="B981" s="42">
        <v>1286.26</v>
      </c>
      <c r="C981" s="42">
        <v>1286.3599999999999</v>
      </c>
      <c r="D981" s="42">
        <v>1260.96</v>
      </c>
      <c r="E981" s="42">
        <v>1263.4100000000001</v>
      </c>
      <c r="F981" s="2">
        <v>9400000000</v>
      </c>
    </row>
    <row r="982" spans="1:6">
      <c r="A982" s="32">
        <v>42368</v>
      </c>
      <c r="B982" s="42">
        <v>1285.52</v>
      </c>
      <c r="C982" s="42">
        <v>1294.8399999999999</v>
      </c>
      <c r="D982" s="42">
        <v>1285.29</v>
      </c>
      <c r="E982" s="42">
        <v>1288.02</v>
      </c>
      <c r="F982" s="2">
        <v>6320000000</v>
      </c>
    </row>
    <row r="983" spans="1:6">
      <c r="A983" s="32">
        <v>42367</v>
      </c>
      <c r="B983" s="42">
        <v>1281.9000000000001</v>
      </c>
      <c r="C983" s="42">
        <v>1287.3599999999999</v>
      </c>
      <c r="D983" s="42">
        <v>1276.47</v>
      </c>
      <c r="E983" s="42">
        <v>1283.78</v>
      </c>
      <c r="F983" s="2">
        <v>5150000000</v>
      </c>
    </row>
    <row r="984" spans="1:6">
      <c r="A984" s="32">
        <v>42366</v>
      </c>
      <c r="B984" s="42">
        <v>1285.6500000000001</v>
      </c>
      <c r="C984" s="42">
        <v>1287.3900000000001</v>
      </c>
      <c r="D984" s="42">
        <v>1280.98</v>
      </c>
      <c r="E984" s="42">
        <v>1285.8699999999999</v>
      </c>
      <c r="F984" s="2">
        <v>5110000000</v>
      </c>
    </row>
    <row r="985" spans="1:6">
      <c r="A985" s="32">
        <v>42363</v>
      </c>
      <c r="B985" s="42">
        <v>1286.6600000000001</v>
      </c>
      <c r="C985" s="42">
        <v>1287.46</v>
      </c>
      <c r="D985" s="42">
        <v>1275.43</v>
      </c>
      <c r="E985" s="42">
        <v>1282.93</v>
      </c>
      <c r="F985" s="2">
        <v>4680000000</v>
      </c>
    </row>
    <row r="986" spans="1:6">
      <c r="A986" s="32">
        <v>42362</v>
      </c>
      <c r="B986" s="42">
        <v>1285.7</v>
      </c>
      <c r="C986" s="42">
        <v>1287.0999999999999</v>
      </c>
      <c r="D986" s="42">
        <v>1280.02</v>
      </c>
      <c r="E986" s="42">
        <v>1284.1500000000001</v>
      </c>
      <c r="F986" s="2">
        <v>6630000000</v>
      </c>
    </row>
    <row r="987" spans="1:6">
      <c r="A987" s="32">
        <v>42361</v>
      </c>
      <c r="B987" s="42">
        <v>1270.47</v>
      </c>
      <c r="C987" s="42">
        <v>1275.94</v>
      </c>
      <c r="D987" s="42">
        <v>1266.25</v>
      </c>
      <c r="E987" s="42">
        <v>1274.5</v>
      </c>
      <c r="F987" s="2">
        <v>7680000000</v>
      </c>
    </row>
    <row r="988" spans="1:6">
      <c r="A988" s="32">
        <v>42360</v>
      </c>
      <c r="B988" s="42">
        <v>1274.71</v>
      </c>
      <c r="C988" s="42">
        <v>1278.94</v>
      </c>
      <c r="D988" s="42">
        <v>1258.73</v>
      </c>
      <c r="E988" s="42">
        <v>1261.6600000000001</v>
      </c>
      <c r="F988" s="2">
        <v>11940000000</v>
      </c>
    </row>
    <row r="989" spans="1:6">
      <c r="A989" s="32">
        <v>42359</v>
      </c>
      <c r="B989" s="42">
        <v>1271.28</v>
      </c>
      <c r="C989" s="42">
        <v>1280.08</v>
      </c>
      <c r="D989" s="42">
        <v>1262.28</v>
      </c>
      <c r="E989" s="42">
        <v>1264.44</v>
      </c>
      <c r="F989" s="2">
        <v>11880000000</v>
      </c>
    </row>
    <row r="990" spans="1:6">
      <c r="A990" s="32">
        <v>42356</v>
      </c>
      <c r="B990" s="42">
        <v>1302.05</v>
      </c>
      <c r="C990" s="42">
        <v>1302.3900000000001</v>
      </c>
      <c r="D990" s="42">
        <v>1284.3599999999999</v>
      </c>
      <c r="E990" s="42">
        <v>1284.92</v>
      </c>
      <c r="F990" s="2">
        <v>8670000000</v>
      </c>
    </row>
    <row r="991" spans="1:6">
      <c r="A991" s="32">
        <v>42355</v>
      </c>
      <c r="B991" s="42">
        <v>1297.1600000000001</v>
      </c>
      <c r="C991" s="42">
        <v>1313.09</v>
      </c>
      <c r="D991" s="42">
        <v>1296.25</v>
      </c>
      <c r="E991" s="42">
        <v>1310.3399999999999</v>
      </c>
      <c r="F991" s="2">
        <v>8760000000</v>
      </c>
    </row>
    <row r="992" spans="1:6">
      <c r="A992" s="32">
        <v>42354</v>
      </c>
      <c r="B992" s="42">
        <v>1304.76</v>
      </c>
      <c r="C992" s="42">
        <v>1308.54</v>
      </c>
      <c r="D992" s="42">
        <v>1296.24</v>
      </c>
      <c r="E992" s="42">
        <v>1299.1199999999999</v>
      </c>
      <c r="F992" s="2">
        <v>8970000000</v>
      </c>
    </row>
    <row r="993" spans="1:6">
      <c r="A993" s="32">
        <v>42353</v>
      </c>
      <c r="B993" s="42">
        <v>1276.96</v>
      </c>
      <c r="C993" s="42">
        <v>1300.53</v>
      </c>
      <c r="D993" s="42">
        <v>1273.29</v>
      </c>
      <c r="E993" s="42">
        <v>1300.51</v>
      </c>
      <c r="F993" s="2">
        <v>10770000000</v>
      </c>
    </row>
    <row r="994" spans="1:6">
      <c r="A994" s="32">
        <v>42352</v>
      </c>
      <c r="B994" s="42">
        <v>1262.44</v>
      </c>
      <c r="C994" s="42">
        <v>1270.04</v>
      </c>
      <c r="D994" s="42">
        <v>1251.99</v>
      </c>
      <c r="E994" s="42">
        <v>1267.6099999999999</v>
      </c>
      <c r="F994" s="2">
        <v>8350000000</v>
      </c>
    </row>
    <row r="995" spans="1:6">
      <c r="A995" s="32">
        <v>42349</v>
      </c>
      <c r="B995" s="42">
        <v>1297.0999999999999</v>
      </c>
      <c r="C995" s="42">
        <v>1297.73</v>
      </c>
      <c r="D995" s="42">
        <v>1278.3</v>
      </c>
      <c r="E995" s="42">
        <v>1280.92</v>
      </c>
      <c r="F995" s="2">
        <v>7480000000</v>
      </c>
    </row>
    <row r="996" spans="1:6">
      <c r="A996" s="32">
        <v>42347</v>
      </c>
      <c r="B996" s="42">
        <v>1309.22</v>
      </c>
      <c r="C996" s="42">
        <v>1316.19</v>
      </c>
      <c r="D996" s="42">
        <v>1294.4100000000001</v>
      </c>
      <c r="E996" s="42">
        <v>1297.82</v>
      </c>
      <c r="F996" s="2">
        <v>7730000000</v>
      </c>
    </row>
    <row r="997" spans="1:6">
      <c r="A997" s="32">
        <v>42346</v>
      </c>
      <c r="B997" s="42">
        <v>1323.85</v>
      </c>
      <c r="C997" s="42">
        <v>1324.61</v>
      </c>
      <c r="D997" s="42">
        <v>1306.2</v>
      </c>
      <c r="E997" s="42">
        <v>1306.98</v>
      </c>
      <c r="F997" s="2">
        <v>8610000000</v>
      </c>
    </row>
    <row r="998" spans="1:6">
      <c r="A998" s="32">
        <v>42342</v>
      </c>
      <c r="B998" s="42">
        <v>1334.26</v>
      </c>
      <c r="C998" s="42">
        <v>1337.73</v>
      </c>
      <c r="D998" s="42">
        <v>1330.87</v>
      </c>
      <c r="E998" s="42">
        <v>1333.57</v>
      </c>
      <c r="F998" s="2">
        <v>7400000000</v>
      </c>
    </row>
    <row r="999" spans="1:6">
      <c r="A999" s="32">
        <v>42341</v>
      </c>
      <c r="B999" s="42">
        <v>1332.6</v>
      </c>
      <c r="C999" s="42">
        <v>1342.21</v>
      </c>
      <c r="D999" s="42">
        <v>1325.86</v>
      </c>
      <c r="E999" s="42">
        <v>1340.62</v>
      </c>
      <c r="F999" s="2">
        <v>9900000000</v>
      </c>
    </row>
    <row r="1000" spans="1:6">
      <c r="A1000" s="32">
        <v>42340</v>
      </c>
      <c r="B1000" s="42">
        <v>1356.88</v>
      </c>
      <c r="C1000" s="42">
        <v>1364.96</v>
      </c>
      <c r="D1000" s="42">
        <v>1339.3</v>
      </c>
      <c r="E1000" s="42">
        <v>1339.45</v>
      </c>
      <c r="F1000" s="2">
        <v>8980000000</v>
      </c>
    </row>
    <row r="1001" spans="1:6">
      <c r="A1001" s="32">
        <v>42339</v>
      </c>
      <c r="B1001" s="42">
        <v>1363.13</v>
      </c>
      <c r="C1001" s="42">
        <v>1364.83</v>
      </c>
      <c r="D1001" s="42">
        <v>1353.08</v>
      </c>
      <c r="E1001" s="42">
        <v>1357.01</v>
      </c>
      <c r="F1001" s="2">
        <v>8090000000</v>
      </c>
    </row>
    <row r="1002" spans="1:6">
      <c r="A1002" s="32">
        <v>42338</v>
      </c>
      <c r="B1002" s="42">
        <v>1360.72</v>
      </c>
      <c r="C1002" s="42">
        <v>1369.99</v>
      </c>
      <c r="D1002" s="42">
        <v>1354.1</v>
      </c>
      <c r="E1002" s="42">
        <v>1359.7</v>
      </c>
      <c r="F1002" s="2">
        <v>8630000000</v>
      </c>
    </row>
    <row r="1003" spans="1:6">
      <c r="A1003" s="32">
        <v>42335</v>
      </c>
      <c r="B1003" s="42">
        <v>1364.17</v>
      </c>
      <c r="C1003" s="42">
        <v>1368.92</v>
      </c>
      <c r="D1003" s="42">
        <v>1359.96</v>
      </c>
      <c r="E1003" s="42">
        <v>1363.13</v>
      </c>
      <c r="F1003" s="2">
        <v>7120000000</v>
      </c>
    </row>
    <row r="1004" spans="1:6">
      <c r="A1004" s="32">
        <v>42334</v>
      </c>
      <c r="B1004" s="42">
        <v>1383.84</v>
      </c>
      <c r="C1004" s="42">
        <v>1386.13</v>
      </c>
      <c r="D1004" s="42">
        <v>1363.61</v>
      </c>
      <c r="E1004" s="42">
        <v>1365.81</v>
      </c>
      <c r="F1004" s="2">
        <v>8690000000</v>
      </c>
    </row>
    <row r="1005" spans="1:6">
      <c r="A1005" s="32">
        <v>42333</v>
      </c>
      <c r="B1005" s="42">
        <v>1388.53</v>
      </c>
      <c r="C1005" s="42">
        <v>1391.08</v>
      </c>
      <c r="D1005" s="42">
        <v>1377.88</v>
      </c>
      <c r="E1005" s="42">
        <v>1381.46</v>
      </c>
      <c r="F1005" s="2">
        <v>7070000000</v>
      </c>
    </row>
    <row r="1006" spans="1:6">
      <c r="A1006" s="32">
        <v>42332</v>
      </c>
      <c r="B1006" s="42">
        <v>1395.73</v>
      </c>
      <c r="C1006" s="42">
        <v>1400.2</v>
      </c>
      <c r="D1006" s="42">
        <v>1383.03</v>
      </c>
      <c r="E1006" s="42">
        <v>1384.92</v>
      </c>
      <c r="F1006" s="2">
        <v>7620000000</v>
      </c>
    </row>
    <row r="1007" spans="1:6">
      <c r="A1007" s="32">
        <v>42331</v>
      </c>
      <c r="B1007" s="42">
        <v>1397.27</v>
      </c>
      <c r="C1007" s="42">
        <v>1401.77</v>
      </c>
      <c r="D1007" s="42">
        <v>1393.99</v>
      </c>
      <c r="E1007" s="42">
        <v>1394.22</v>
      </c>
      <c r="F1007" s="2">
        <v>7490000000</v>
      </c>
    </row>
    <row r="1008" spans="1:6">
      <c r="A1008" s="32">
        <v>42328</v>
      </c>
      <c r="B1008" s="42">
        <v>1386.99</v>
      </c>
      <c r="C1008" s="42">
        <v>1396.33</v>
      </c>
      <c r="D1008" s="42">
        <v>1383.14</v>
      </c>
      <c r="E1008" s="42">
        <v>1393.84</v>
      </c>
      <c r="F1008" s="2">
        <v>7700000000</v>
      </c>
    </row>
    <row r="1009" spans="1:6">
      <c r="A1009" s="32">
        <v>42327</v>
      </c>
      <c r="B1009" s="42">
        <v>1384.19</v>
      </c>
      <c r="C1009" s="42">
        <v>1388.34</v>
      </c>
      <c r="D1009" s="42">
        <v>1381.41</v>
      </c>
      <c r="E1009" s="42">
        <v>1384.97</v>
      </c>
      <c r="F1009" s="2">
        <v>8940000000</v>
      </c>
    </row>
    <row r="1010" spans="1:6">
      <c r="A1010" s="32">
        <v>42326</v>
      </c>
      <c r="B1010" s="42">
        <v>1390.95</v>
      </c>
      <c r="C1010" s="42">
        <v>1394.28</v>
      </c>
      <c r="D1010" s="42">
        <v>1374.97</v>
      </c>
      <c r="E1010" s="42">
        <v>1376.82</v>
      </c>
      <c r="F1010" s="2">
        <v>7920000000</v>
      </c>
    </row>
    <row r="1011" spans="1:6">
      <c r="A1011" s="32">
        <v>42325</v>
      </c>
      <c r="B1011" s="42">
        <v>1396.54</v>
      </c>
      <c r="C1011" s="42">
        <v>1398.19</v>
      </c>
      <c r="D1011" s="42">
        <v>1388.76</v>
      </c>
      <c r="E1011" s="42">
        <v>1390.17</v>
      </c>
      <c r="F1011" s="2">
        <v>8440000000</v>
      </c>
    </row>
    <row r="1012" spans="1:6">
      <c r="A1012" s="32">
        <v>42324</v>
      </c>
      <c r="B1012" s="42">
        <v>1370.51</v>
      </c>
      <c r="C1012" s="42">
        <v>1388.81</v>
      </c>
      <c r="D1012" s="42">
        <v>1368.79</v>
      </c>
      <c r="E1012" s="42">
        <v>1388.62</v>
      </c>
      <c r="F1012" s="2">
        <v>8040000000</v>
      </c>
    </row>
    <row r="1013" spans="1:6">
      <c r="A1013" s="32">
        <v>42321</v>
      </c>
      <c r="B1013" s="42">
        <v>1380.34</v>
      </c>
      <c r="C1013" s="42">
        <v>1385.7</v>
      </c>
      <c r="D1013" s="42">
        <v>1379.1</v>
      </c>
      <c r="E1013" s="42">
        <v>1382.46</v>
      </c>
      <c r="F1013" s="2">
        <v>8630000000</v>
      </c>
    </row>
    <row r="1014" spans="1:6">
      <c r="A1014" s="32">
        <v>42320</v>
      </c>
      <c r="B1014" s="42">
        <v>1383.88</v>
      </c>
      <c r="C1014" s="42">
        <v>1387.75</v>
      </c>
      <c r="D1014" s="42">
        <v>1379.1</v>
      </c>
      <c r="E1014" s="42">
        <v>1384.29</v>
      </c>
      <c r="F1014" s="2">
        <v>12510000000</v>
      </c>
    </row>
    <row r="1015" spans="1:6">
      <c r="A1015" s="32">
        <v>42319</v>
      </c>
      <c r="B1015" s="42">
        <v>1398.58</v>
      </c>
      <c r="C1015" s="42">
        <v>1400.97</v>
      </c>
      <c r="D1015" s="42">
        <v>1389.94</v>
      </c>
      <c r="E1015" s="42">
        <v>1390.15</v>
      </c>
      <c r="F1015" s="2">
        <v>10450000000</v>
      </c>
    </row>
    <row r="1016" spans="1:6">
      <c r="A1016" s="32">
        <v>42318</v>
      </c>
      <c r="B1016" s="42">
        <v>1398.19</v>
      </c>
      <c r="C1016" s="42">
        <v>1403.26</v>
      </c>
      <c r="D1016" s="42">
        <v>1394.71</v>
      </c>
      <c r="E1016" s="42">
        <v>1398.38</v>
      </c>
      <c r="F1016" s="2">
        <v>8940000000</v>
      </c>
    </row>
    <row r="1017" spans="1:6">
      <c r="A1017" s="32">
        <v>42317</v>
      </c>
      <c r="B1017" s="42">
        <v>1412.15</v>
      </c>
      <c r="C1017" s="42">
        <v>1413.7</v>
      </c>
      <c r="D1017" s="42">
        <v>1401.77</v>
      </c>
      <c r="E1017" s="42">
        <v>1402.57</v>
      </c>
      <c r="F1017" s="2">
        <v>7880000000</v>
      </c>
    </row>
    <row r="1018" spans="1:6">
      <c r="A1018" s="32">
        <v>42314</v>
      </c>
      <c r="B1018" s="42">
        <v>1411.47</v>
      </c>
      <c r="C1018" s="42">
        <v>1416.42</v>
      </c>
      <c r="D1018" s="42">
        <v>1408.94</v>
      </c>
      <c r="E1018" s="42">
        <v>1414.54</v>
      </c>
      <c r="F1018" s="2">
        <v>9440000000</v>
      </c>
    </row>
    <row r="1019" spans="1:6">
      <c r="A1019" s="32">
        <v>42313</v>
      </c>
      <c r="B1019" s="42">
        <v>1421.23</v>
      </c>
      <c r="C1019" s="42">
        <v>1427.05</v>
      </c>
      <c r="D1019" s="42">
        <v>1412.51</v>
      </c>
      <c r="E1019" s="42">
        <v>1413.16</v>
      </c>
      <c r="F1019" s="2">
        <v>9570000000</v>
      </c>
    </row>
    <row r="1020" spans="1:6">
      <c r="A1020" s="32">
        <v>42312</v>
      </c>
      <c r="B1020" s="42">
        <v>1420.65</v>
      </c>
      <c r="C1020" s="42">
        <v>1425.36</v>
      </c>
      <c r="D1020" s="42">
        <v>1417.47</v>
      </c>
      <c r="E1020" s="42">
        <v>1423.42</v>
      </c>
      <c r="F1020" s="2">
        <v>8700000000</v>
      </c>
    </row>
    <row r="1021" spans="1:6">
      <c r="A1021" s="32">
        <v>42311</v>
      </c>
      <c r="B1021" s="42">
        <v>1419.45</v>
      </c>
      <c r="C1021" s="42">
        <v>1420.6</v>
      </c>
      <c r="D1021" s="42">
        <v>1408.53</v>
      </c>
      <c r="E1021" s="42">
        <v>1412.62</v>
      </c>
      <c r="F1021" s="2">
        <v>7540000000</v>
      </c>
    </row>
    <row r="1022" spans="1:6">
      <c r="A1022" s="32">
        <v>42310</v>
      </c>
      <c r="B1022" s="42">
        <v>1395.63</v>
      </c>
      <c r="C1022" s="42">
        <v>1413.57</v>
      </c>
      <c r="D1022" s="42">
        <v>1395.35</v>
      </c>
      <c r="E1022" s="42">
        <v>1413.34</v>
      </c>
      <c r="F1022" s="2">
        <v>7170000000</v>
      </c>
    </row>
    <row r="1023" spans="1:6">
      <c r="A1023" s="32">
        <v>42307</v>
      </c>
      <c r="B1023" s="42">
        <v>1391.41</v>
      </c>
      <c r="C1023" s="42">
        <v>1398.9</v>
      </c>
      <c r="D1023" s="42">
        <v>1389.83</v>
      </c>
      <c r="E1023" s="42">
        <v>1394.94</v>
      </c>
      <c r="F1023" s="2">
        <v>7210000000</v>
      </c>
    </row>
    <row r="1024" spans="1:6">
      <c r="A1024" s="32">
        <v>42306</v>
      </c>
      <c r="B1024" s="42">
        <v>1409.62</v>
      </c>
      <c r="C1024" s="42">
        <v>1411.29</v>
      </c>
      <c r="D1024" s="42">
        <v>1387.75</v>
      </c>
      <c r="E1024" s="42">
        <v>1390.04</v>
      </c>
      <c r="F1024" s="2">
        <v>10230000000</v>
      </c>
    </row>
    <row r="1025" spans="1:6">
      <c r="A1025" s="32">
        <v>42305</v>
      </c>
      <c r="B1025" s="42">
        <v>1422.97</v>
      </c>
      <c r="C1025" s="42">
        <v>1423.94</v>
      </c>
      <c r="D1025" s="42">
        <v>1407.02</v>
      </c>
      <c r="E1025" s="42">
        <v>1409.26</v>
      </c>
      <c r="F1025" s="2">
        <v>11130000000</v>
      </c>
    </row>
    <row r="1026" spans="1:6">
      <c r="A1026" s="32">
        <v>42304</v>
      </c>
      <c r="B1026" s="42">
        <v>1422.73</v>
      </c>
      <c r="C1026" s="42">
        <v>1428.78</v>
      </c>
      <c r="D1026" s="42">
        <v>1421.15</v>
      </c>
      <c r="E1026" s="42">
        <v>1424.05</v>
      </c>
      <c r="F1026" s="2">
        <v>7630000000</v>
      </c>
    </row>
    <row r="1027" spans="1:6">
      <c r="A1027" s="32">
        <v>42303</v>
      </c>
      <c r="B1027" s="42">
        <v>1429.03</v>
      </c>
      <c r="C1027" s="42">
        <v>1431.86</v>
      </c>
      <c r="D1027" s="42">
        <v>1423.24</v>
      </c>
      <c r="E1027" s="42">
        <v>1424.16</v>
      </c>
      <c r="F1027" s="2">
        <v>7730000000</v>
      </c>
    </row>
    <row r="1028" spans="1:6">
      <c r="A1028" s="32">
        <v>42299</v>
      </c>
      <c r="B1028" s="42">
        <v>1415.52</v>
      </c>
      <c r="C1028" s="42">
        <v>1417.89</v>
      </c>
      <c r="D1028" s="42">
        <v>1413.48</v>
      </c>
      <c r="E1028" s="42">
        <v>1416.14</v>
      </c>
      <c r="F1028" s="2">
        <v>6860000000</v>
      </c>
    </row>
    <row r="1029" spans="1:6">
      <c r="A1029" s="32">
        <v>42298</v>
      </c>
      <c r="B1029" s="42">
        <v>1421.63</v>
      </c>
      <c r="C1029" s="42">
        <v>1424.29</v>
      </c>
      <c r="D1029" s="42">
        <v>1412.28</v>
      </c>
      <c r="E1029" s="42">
        <v>1415.8</v>
      </c>
      <c r="F1029" s="2">
        <v>7110000000</v>
      </c>
    </row>
    <row r="1030" spans="1:6">
      <c r="A1030" s="32">
        <v>42297</v>
      </c>
      <c r="B1030" s="42">
        <v>1415.55</v>
      </c>
      <c r="C1030" s="42">
        <v>1424.07</v>
      </c>
      <c r="D1030" s="42">
        <v>1414.97</v>
      </c>
      <c r="E1030" s="42">
        <v>1418.63</v>
      </c>
      <c r="F1030" s="2">
        <v>6720000000</v>
      </c>
    </row>
    <row r="1031" spans="1:6">
      <c r="A1031" s="32">
        <v>42296</v>
      </c>
      <c r="B1031" s="42">
        <v>1421.61</v>
      </c>
      <c r="C1031" s="42">
        <v>1426.81</v>
      </c>
      <c r="D1031" s="42">
        <v>1413.34</v>
      </c>
      <c r="E1031" s="42">
        <v>1416.91</v>
      </c>
      <c r="F1031" s="2">
        <v>7430000000</v>
      </c>
    </row>
    <row r="1032" spans="1:6">
      <c r="A1032" s="32">
        <v>42293</v>
      </c>
      <c r="B1032" s="42">
        <v>1428.99</v>
      </c>
      <c r="C1032" s="42">
        <v>1429.54</v>
      </c>
      <c r="D1032" s="42">
        <v>1416.65</v>
      </c>
      <c r="E1032" s="42">
        <v>1418.38</v>
      </c>
      <c r="F1032" s="2">
        <v>9000000000</v>
      </c>
    </row>
    <row r="1033" spans="1:6">
      <c r="A1033" s="32">
        <v>42292</v>
      </c>
      <c r="B1033" s="42">
        <v>1413</v>
      </c>
      <c r="C1033" s="42">
        <v>1426.17</v>
      </c>
      <c r="D1033" s="42">
        <v>1412.36</v>
      </c>
      <c r="E1033" s="42">
        <v>1425.32</v>
      </c>
      <c r="F1033" s="2">
        <v>9140000000</v>
      </c>
    </row>
    <row r="1034" spans="1:6">
      <c r="A1034" s="32">
        <v>42291</v>
      </c>
      <c r="B1034" s="42">
        <v>1405.29</v>
      </c>
      <c r="C1034" s="42">
        <v>1414.85</v>
      </c>
      <c r="D1034" s="42">
        <v>1404.47</v>
      </c>
      <c r="E1034" s="42">
        <v>1405.08</v>
      </c>
      <c r="F1034" s="2">
        <v>8450000000</v>
      </c>
    </row>
    <row r="1035" spans="1:6">
      <c r="A1035" s="32">
        <v>42290</v>
      </c>
      <c r="B1035" s="42">
        <v>1408.33</v>
      </c>
      <c r="C1035" s="42">
        <v>1410.15</v>
      </c>
      <c r="D1035" s="42">
        <v>1399.52</v>
      </c>
      <c r="E1035" s="42">
        <v>1406.69</v>
      </c>
      <c r="F1035" s="2">
        <v>9580000000</v>
      </c>
    </row>
    <row r="1036" spans="1:6">
      <c r="A1036" s="32">
        <v>42289</v>
      </c>
      <c r="B1036" s="42">
        <v>1415.44</v>
      </c>
      <c r="C1036" s="42">
        <v>1417.51</v>
      </c>
      <c r="D1036" s="42">
        <v>1406.61</v>
      </c>
      <c r="E1036" s="42">
        <v>1412.49</v>
      </c>
      <c r="F1036" s="2">
        <v>10680000000</v>
      </c>
    </row>
    <row r="1037" spans="1:6">
      <c r="A1037" s="32">
        <v>42286</v>
      </c>
      <c r="B1037" s="42">
        <v>1404.68</v>
      </c>
      <c r="C1037" s="42">
        <v>1415.53</v>
      </c>
      <c r="D1037" s="42">
        <v>1403.54</v>
      </c>
      <c r="E1037" s="42">
        <v>1411.33</v>
      </c>
      <c r="F1037" s="2">
        <v>11020000000</v>
      </c>
    </row>
    <row r="1038" spans="1:6">
      <c r="A1038" s="32">
        <v>42285</v>
      </c>
      <c r="B1038" s="42">
        <v>1393.79</v>
      </c>
      <c r="C1038" s="42">
        <v>1401.84</v>
      </c>
      <c r="D1038" s="42">
        <v>1390</v>
      </c>
      <c r="E1038" s="42">
        <v>1392.15</v>
      </c>
      <c r="F1038" s="2">
        <v>12580000000</v>
      </c>
    </row>
    <row r="1039" spans="1:6">
      <c r="A1039" s="32">
        <v>42284</v>
      </c>
      <c r="B1039" s="42">
        <v>1376.47</v>
      </c>
      <c r="C1039" s="42">
        <v>1394.05</v>
      </c>
      <c r="D1039" s="42">
        <v>1373.59</v>
      </c>
      <c r="E1039" s="42">
        <v>1393.66</v>
      </c>
      <c r="F1039" s="2">
        <v>9150000000</v>
      </c>
    </row>
    <row r="1040" spans="1:6">
      <c r="A1040" s="32">
        <v>42283</v>
      </c>
      <c r="B1040" s="42">
        <v>1367.9</v>
      </c>
      <c r="C1040" s="42">
        <v>1372.56</v>
      </c>
      <c r="D1040" s="42">
        <v>1363.39</v>
      </c>
      <c r="E1040" s="42">
        <v>1370.69</v>
      </c>
      <c r="F1040" s="2">
        <v>8820000000</v>
      </c>
    </row>
    <row r="1041" spans="1:6">
      <c r="A1041" s="32">
        <v>42282</v>
      </c>
      <c r="B1041" s="42">
        <v>1354.11</v>
      </c>
      <c r="C1041" s="42">
        <v>1363.98</v>
      </c>
      <c r="D1041" s="42">
        <v>1353.73</v>
      </c>
      <c r="E1041" s="42">
        <v>1363.17</v>
      </c>
      <c r="F1041" s="2">
        <v>7630000000</v>
      </c>
    </row>
    <row r="1042" spans="1:6">
      <c r="A1042" s="32">
        <v>42279</v>
      </c>
      <c r="B1042" s="42">
        <v>1345.68</v>
      </c>
      <c r="C1042" s="42">
        <v>1351.03</v>
      </c>
      <c r="D1042" s="42">
        <v>1342</v>
      </c>
      <c r="E1042" s="42">
        <v>1346.35</v>
      </c>
      <c r="F1042" s="2">
        <v>7310000000</v>
      </c>
    </row>
    <row r="1043" spans="1:6">
      <c r="A1043" s="32">
        <v>42278</v>
      </c>
      <c r="B1043" s="42">
        <v>1353.92</v>
      </c>
      <c r="C1043" s="42">
        <v>1358.15</v>
      </c>
      <c r="D1043" s="42">
        <v>1344.96</v>
      </c>
      <c r="E1043" s="42">
        <v>1345.15</v>
      </c>
      <c r="F1043" s="2">
        <v>9980000000</v>
      </c>
    </row>
    <row r="1044" spans="1:6">
      <c r="A1044" s="32">
        <v>42277</v>
      </c>
      <c r="B1044" s="42">
        <v>1353.06</v>
      </c>
      <c r="C1044" s="42">
        <v>1356.62</v>
      </c>
      <c r="D1044" s="42">
        <v>1348.24</v>
      </c>
      <c r="E1044" s="42">
        <v>1349</v>
      </c>
      <c r="F1044" s="2">
        <v>9470000000</v>
      </c>
    </row>
    <row r="1045" spans="1:6">
      <c r="A1045" s="32">
        <v>42276</v>
      </c>
      <c r="B1045" s="42">
        <v>1342.36</v>
      </c>
      <c r="C1045" s="42">
        <v>1358.63</v>
      </c>
      <c r="D1045" s="42">
        <v>1341.3</v>
      </c>
      <c r="E1045" s="42">
        <v>1348.84</v>
      </c>
      <c r="F1045" s="2">
        <v>10400000000</v>
      </c>
    </row>
    <row r="1046" spans="1:6">
      <c r="A1046" s="32">
        <v>42275</v>
      </c>
      <c r="B1046" s="42">
        <v>1368.56</v>
      </c>
      <c r="C1046" s="42">
        <v>1369.1</v>
      </c>
      <c r="D1046" s="42">
        <v>1352.02</v>
      </c>
      <c r="E1046" s="42">
        <v>1352.13</v>
      </c>
      <c r="F1046" s="2">
        <v>8490000000</v>
      </c>
    </row>
    <row r="1047" spans="1:6">
      <c r="A1047" s="32">
        <v>42272</v>
      </c>
      <c r="B1047" s="42">
        <v>1375.31</v>
      </c>
      <c r="C1047" s="42">
        <v>1380.59</v>
      </c>
      <c r="D1047" s="42">
        <v>1368.43</v>
      </c>
      <c r="E1047" s="42">
        <v>1376.83</v>
      </c>
      <c r="F1047" s="2">
        <v>9270000000</v>
      </c>
    </row>
    <row r="1048" spans="1:6">
      <c r="A1048" s="32">
        <v>42271</v>
      </c>
      <c r="B1048" s="42">
        <v>1371.9</v>
      </c>
      <c r="C1048" s="42">
        <v>1375.83</v>
      </c>
      <c r="D1048" s="42">
        <v>1365.6</v>
      </c>
      <c r="E1048" s="42">
        <v>1372.35</v>
      </c>
      <c r="F1048" s="2">
        <v>9320000000</v>
      </c>
    </row>
    <row r="1049" spans="1:6">
      <c r="A1049" s="32">
        <v>42270</v>
      </c>
      <c r="B1049" s="42">
        <v>1372.43</v>
      </c>
      <c r="C1049" s="42">
        <v>1378.64</v>
      </c>
      <c r="D1049" s="42">
        <v>1364.73</v>
      </c>
      <c r="E1049" s="42">
        <v>1375.17</v>
      </c>
      <c r="F1049" s="2">
        <v>7920000000</v>
      </c>
    </row>
    <row r="1050" spans="1:6">
      <c r="A1050" s="32">
        <v>42269</v>
      </c>
      <c r="B1050" s="42">
        <v>1396.38</v>
      </c>
      <c r="C1050" s="42">
        <v>1397.29</v>
      </c>
      <c r="D1050" s="42">
        <v>1377.79</v>
      </c>
      <c r="E1050" s="42">
        <v>1379.32</v>
      </c>
      <c r="F1050" s="2">
        <v>9680000000</v>
      </c>
    </row>
    <row r="1051" spans="1:6">
      <c r="A1051" s="32">
        <v>42268</v>
      </c>
      <c r="B1051" s="42">
        <v>1384.76</v>
      </c>
      <c r="C1051" s="42">
        <v>1394.35</v>
      </c>
      <c r="D1051" s="42">
        <v>1382.44</v>
      </c>
      <c r="E1051" s="42">
        <v>1392.73</v>
      </c>
      <c r="F1051" s="2">
        <v>7850000000</v>
      </c>
    </row>
    <row r="1052" spans="1:6">
      <c r="A1052" s="32">
        <v>42265</v>
      </c>
      <c r="B1052" s="42">
        <v>1394</v>
      </c>
      <c r="C1052" s="42">
        <v>1397.77</v>
      </c>
      <c r="D1052" s="42">
        <v>1386.79</v>
      </c>
      <c r="E1052" s="42">
        <v>1390.32</v>
      </c>
      <c r="F1052" s="2">
        <v>10120000000</v>
      </c>
    </row>
    <row r="1053" spans="1:6">
      <c r="A1053" s="32">
        <v>42264</v>
      </c>
      <c r="B1053" s="42">
        <v>1387</v>
      </c>
      <c r="C1053" s="42">
        <v>1392.81</v>
      </c>
      <c r="D1053" s="42">
        <v>1384.62</v>
      </c>
      <c r="E1053" s="42">
        <v>1389.7</v>
      </c>
      <c r="F1053" s="2">
        <v>8410000000</v>
      </c>
    </row>
    <row r="1054" spans="1:6">
      <c r="A1054" s="32">
        <v>42263</v>
      </c>
      <c r="B1054" s="42">
        <v>1375.28</v>
      </c>
      <c r="C1054" s="42">
        <v>1382.42</v>
      </c>
      <c r="D1054" s="42">
        <v>1369.45</v>
      </c>
      <c r="E1054" s="42">
        <v>1381.8</v>
      </c>
      <c r="F1054" s="2">
        <v>8920000000</v>
      </c>
    </row>
    <row r="1055" spans="1:6">
      <c r="A1055" s="32">
        <v>42262</v>
      </c>
      <c r="B1055" s="42">
        <v>1377.33</v>
      </c>
      <c r="C1055" s="42">
        <v>1381.09</v>
      </c>
      <c r="D1055" s="42">
        <v>1368.31</v>
      </c>
      <c r="E1055" s="42">
        <v>1370.65</v>
      </c>
      <c r="F1055" s="2">
        <v>11930000000</v>
      </c>
    </row>
    <row r="1056" spans="1:6">
      <c r="A1056" s="32">
        <v>42261</v>
      </c>
      <c r="B1056" s="42">
        <v>1382.64</v>
      </c>
      <c r="C1056" s="42">
        <v>1385.12</v>
      </c>
      <c r="D1056" s="42">
        <v>1371.96</v>
      </c>
      <c r="E1056" s="42">
        <v>1377.15</v>
      </c>
      <c r="F1056" s="2">
        <v>10500000000</v>
      </c>
    </row>
    <row r="1057" spans="1:6">
      <c r="A1057" s="32">
        <v>42258</v>
      </c>
      <c r="B1057" s="42">
        <v>1399.3</v>
      </c>
      <c r="C1057" s="42">
        <v>1403.3</v>
      </c>
      <c r="D1057" s="42">
        <v>1381.48</v>
      </c>
      <c r="E1057" s="42">
        <v>1381.72</v>
      </c>
      <c r="F1057" s="2">
        <v>12300000000</v>
      </c>
    </row>
    <row r="1058" spans="1:6">
      <c r="A1058" s="32">
        <v>42257</v>
      </c>
      <c r="B1058" s="42">
        <v>1386.49</v>
      </c>
      <c r="C1058" s="42">
        <v>1396.16</v>
      </c>
      <c r="D1058" s="42">
        <v>1384.39</v>
      </c>
      <c r="E1058" s="42">
        <v>1396.16</v>
      </c>
      <c r="F1058" s="2">
        <v>9490000000</v>
      </c>
    </row>
    <row r="1059" spans="1:6">
      <c r="A1059" s="32">
        <v>42256</v>
      </c>
      <c r="B1059" s="42">
        <v>1390.17</v>
      </c>
      <c r="C1059" s="42">
        <v>1398.57</v>
      </c>
      <c r="D1059" s="42">
        <v>1385.89</v>
      </c>
      <c r="E1059" s="42">
        <v>1396.29</v>
      </c>
      <c r="F1059" s="2">
        <v>11950000000</v>
      </c>
    </row>
    <row r="1060" spans="1:6">
      <c r="A1060" s="32">
        <v>42255</v>
      </c>
      <c r="B1060" s="42">
        <v>1371.31</v>
      </c>
      <c r="C1060" s="42">
        <v>1379.92</v>
      </c>
      <c r="D1060" s="42">
        <v>1360.08</v>
      </c>
      <c r="E1060" s="42">
        <v>1379.32</v>
      </c>
      <c r="F1060" s="2">
        <v>9910000000</v>
      </c>
    </row>
    <row r="1061" spans="1:6">
      <c r="A1061" s="32">
        <v>42254</v>
      </c>
      <c r="B1061" s="42">
        <v>1368.28</v>
      </c>
      <c r="C1061" s="42">
        <v>1374.27</v>
      </c>
      <c r="D1061" s="42">
        <v>1365.7</v>
      </c>
      <c r="E1061" s="42">
        <v>1371.4</v>
      </c>
      <c r="F1061" s="2">
        <v>9110000000</v>
      </c>
    </row>
    <row r="1062" spans="1:6">
      <c r="A1062" s="32">
        <v>42251</v>
      </c>
      <c r="B1062" s="42">
        <v>1378.64</v>
      </c>
      <c r="C1062" s="42">
        <v>1381.68</v>
      </c>
      <c r="D1062" s="42">
        <v>1368.89</v>
      </c>
      <c r="E1062" s="42">
        <v>1370.75</v>
      </c>
      <c r="F1062" s="2">
        <v>11710000000</v>
      </c>
    </row>
    <row r="1063" spans="1:6">
      <c r="A1063" s="32">
        <v>42250</v>
      </c>
      <c r="B1063" s="42">
        <v>1379.78</v>
      </c>
      <c r="C1063" s="42">
        <v>1386.54</v>
      </c>
      <c r="D1063" s="42">
        <v>1378.93</v>
      </c>
      <c r="E1063" s="42">
        <v>1383.48</v>
      </c>
      <c r="F1063" s="2">
        <v>11010000000</v>
      </c>
    </row>
    <row r="1064" spans="1:6">
      <c r="A1064" s="32">
        <v>42249</v>
      </c>
      <c r="B1064" s="42">
        <v>1360.52</v>
      </c>
      <c r="C1064" s="42">
        <v>1375.72</v>
      </c>
      <c r="D1064" s="42">
        <v>1355.27</v>
      </c>
      <c r="E1064" s="42">
        <v>1372.45</v>
      </c>
      <c r="F1064" s="2">
        <v>10960000000</v>
      </c>
    </row>
    <row r="1065" spans="1:6">
      <c r="A1065" s="32">
        <v>42248</v>
      </c>
      <c r="B1065" s="42">
        <v>1381.64</v>
      </c>
      <c r="C1065" s="42">
        <v>1384.18</v>
      </c>
      <c r="D1065" s="42">
        <v>1361.77</v>
      </c>
      <c r="E1065" s="42">
        <v>1362.39</v>
      </c>
      <c r="F1065" s="2">
        <v>15440000000</v>
      </c>
    </row>
    <row r="1066" spans="1:6">
      <c r="A1066" s="32">
        <v>42247</v>
      </c>
      <c r="B1066" s="42">
        <v>1367.81</v>
      </c>
      <c r="C1066" s="42">
        <v>1382.41</v>
      </c>
      <c r="D1066" s="42">
        <v>1364.34</v>
      </c>
      <c r="E1066" s="42">
        <v>1382.41</v>
      </c>
      <c r="F1066" s="2">
        <v>11990000000</v>
      </c>
    </row>
    <row r="1067" spans="1:6">
      <c r="A1067" s="32">
        <v>42244</v>
      </c>
      <c r="B1067" s="42">
        <v>1374.36</v>
      </c>
      <c r="C1067" s="42">
        <v>1380.66</v>
      </c>
      <c r="D1067" s="42">
        <v>1358.76</v>
      </c>
      <c r="E1067" s="42">
        <v>1365.94</v>
      </c>
      <c r="F1067" s="2">
        <v>10770000000</v>
      </c>
    </row>
    <row r="1068" spans="1:6">
      <c r="A1068" s="32">
        <v>42243</v>
      </c>
      <c r="B1068" s="42">
        <v>1338.37</v>
      </c>
      <c r="C1068" s="42">
        <v>1359.23</v>
      </c>
      <c r="D1068" s="42">
        <v>1336.59</v>
      </c>
      <c r="E1068" s="42">
        <v>1358.03</v>
      </c>
      <c r="F1068" s="2">
        <v>16180000000</v>
      </c>
    </row>
    <row r="1069" spans="1:6">
      <c r="A1069" s="32">
        <v>42242</v>
      </c>
      <c r="B1069" s="42">
        <v>1314.91</v>
      </c>
      <c r="C1069" s="42">
        <v>1333.3</v>
      </c>
      <c r="D1069" s="42">
        <v>1314.86</v>
      </c>
      <c r="E1069" s="42">
        <v>1320.08</v>
      </c>
      <c r="F1069" s="2">
        <v>15770000000</v>
      </c>
    </row>
    <row r="1070" spans="1:6">
      <c r="A1070" s="32">
        <v>42241</v>
      </c>
      <c r="B1070" s="42">
        <v>1315.71</v>
      </c>
      <c r="C1070" s="42">
        <v>1323.88</v>
      </c>
      <c r="D1070" s="42">
        <v>1292.1400000000001</v>
      </c>
      <c r="E1070" s="42">
        <v>1323.88</v>
      </c>
      <c r="F1070" s="2">
        <v>13920000000</v>
      </c>
    </row>
    <row r="1071" spans="1:6">
      <c r="A1071" s="32">
        <v>42240</v>
      </c>
      <c r="B1071" s="42">
        <v>1334.62</v>
      </c>
      <c r="C1071" s="42">
        <v>1336.79</v>
      </c>
      <c r="D1071" s="42">
        <v>1301.06</v>
      </c>
      <c r="E1071" s="42">
        <v>1301.06</v>
      </c>
      <c r="F1071" s="2">
        <v>16110000000</v>
      </c>
    </row>
    <row r="1072" spans="1:6">
      <c r="A1072" s="32">
        <v>42237</v>
      </c>
      <c r="B1072" s="42">
        <v>1365.93</v>
      </c>
      <c r="C1072" s="42">
        <v>1369.84</v>
      </c>
      <c r="D1072" s="42">
        <v>1357.9</v>
      </c>
      <c r="E1072" s="42">
        <v>1365.61</v>
      </c>
      <c r="F1072" s="2">
        <v>11420000000</v>
      </c>
    </row>
    <row r="1073" spans="1:6">
      <c r="A1073" s="32">
        <v>42236</v>
      </c>
      <c r="B1073" s="42">
        <v>1372.66</v>
      </c>
      <c r="C1073" s="42">
        <v>1379.5</v>
      </c>
      <c r="D1073" s="42">
        <v>1370.04</v>
      </c>
      <c r="E1073" s="42">
        <v>1372.53</v>
      </c>
      <c r="F1073" s="2">
        <v>10460000000</v>
      </c>
    </row>
    <row r="1074" spans="1:6">
      <c r="A1074" s="32">
        <v>42235</v>
      </c>
      <c r="B1074" s="42">
        <v>1376.19</v>
      </c>
      <c r="C1074" s="42">
        <v>1383.3</v>
      </c>
      <c r="D1074" s="42">
        <v>1370.24</v>
      </c>
      <c r="E1074" s="42">
        <v>1379.12</v>
      </c>
      <c r="F1074" s="2">
        <v>9410000000</v>
      </c>
    </row>
    <row r="1075" spans="1:6">
      <c r="A1075" s="32">
        <v>42234</v>
      </c>
      <c r="B1075" s="42">
        <v>1371.88</v>
      </c>
      <c r="C1075" s="42">
        <v>1388.12</v>
      </c>
      <c r="D1075" s="42">
        <v>1362.31</v>
      </c>
      <c r="E1075" s="42">
        <v>1372.61</v>
      </c>
      <c r="F1075" s="2">
        <v>18760000000</v>
      </c>
    </row>
    <row r="1076" spans="1:6">
      <c r="A1076" s="32">
        <v>42233</v>
      </c>
      <c r="B1076" s="42">
        <v>1414.64</v>
      </c>
      <c r="C1076" s="42">
        <v>1418.69</v>
      </c>
      <c r="D1076" s="42">
        <v>1408.74</v>
      </c>
      <c r="E1076" s="42">
        <v>1408.74</v>
      </c>
      <c r="F1076" s="2">
        <v>8640000000</v>
      </c>
    </row>
    <row r="1077" spans="1:6">
      <c r="A1077" s="32">
        <v>42230</v>
      </c>
      <c r="B1077" s="42">
        <v>1404.24</v>
      </c>
      <c r="C1077" s="42">
        <v>1416.47</v>
      </c>
      <c r="D1077" s="42">
        <v>1399.39</v>
      </c>
      <c r="E1077" s="42">
        <v>1413.92</v>
      </c>
      <c r="F1077" s="2">
        <v>9680000000</v>
      </c>
    </row>
    <row r="1078" spans="1:6">
      <c r="A1078" s="32">
        <v>42229</v>
      </c>
      <c r="B1078" s="42">
        <v>1399.3</v>
      </c>
      <c r="C1078" s="42">
        <v>1404.15</v>
      </c>
      <c r="D1078" s="42">
        <v>1382.7</v>
      </c>
      <c r="E1078" s="42">
        <v>1404.15</v>
      </c>
      <c r="F1078" s="2">
        <v>10370000000</v>
      </c>
    </row>
    <row r="1079" spans="1:6">
      <c r="A1079" s="32">
        <v>42227</v>
      </c>
      <c r="B1079" s="42">
        <v>1423.31</v>
      </c>
      <c r="C1079" s="42">
        <v>1425.68</v>
      </c>
      <c r="D1079" s="42">
        <v>1408.32</v>
      </c>
      <c r="E1079" s="42">
        <v>1408.32</v>
      </c>
      <c r="F1079" s="2">
        <v>9300000000</v>
      </c>
    </row>
    <row r="1080" spans="1:6">
      <c r="A1080" s="32">
        <v>42226</v>
      </c>
      <c r="B1080" s="42">
        <v>1423.3</v>
      </c>
      <c r="C1080" s="42">
        <v>1425.63</v>
      </c>
      <c r="D1080" s="42">
        <v>1418.89</v>
      </c>
      <c r="E1080" s="42">
        <v>1420.13</v>
      </c>
      <c r="F1080" s="2">
        <v>11000000000</v>
      </c>
    </row>
    <row r="1081" spans="1:6">
      <c r="A1081" s="32">
        <v>42223</v>
      </c>
      <c r="B1081" s="42">
        <v>1429.92</v>
      </c>
      <c r="C1081" s="42">
        <v>1433.15</v>
      </c>
      <c r="D1081" s="42">
        <v>1426.95</v>
      </c>
      <c r="E1081" s="42">
        <v>1428.79</v>
      </c>
      <c r="F1081" s="2">
        <v>7030000000</v>
      </c>
    </row>
    <row r="1082" spans="1:6">
      <c r="A1082" s="32">
        <v>42222</v>
      </c>
      <c r="B1082" s="42">
        <v>1436.66</v>
      </c>
      <c r="C1082" s="42">
        <v>1439.22</v>
      </c>
      <c r="D1082" s="42">
        <v>1428.53</v>
      </c>
      <c r="E1082" s="42">
        <v>1430.58</v>
      </c>
      <c r="F1082" s="2">
        <v>8440000000</v>
      </c>
    </row>
    <row r="1083" spans="1:6">
      <c r="A1083" s="32">
        <v>42221</v>
      </c>
      <c r="B1083" s="42">
        <v>1438.16</v>
      </c>
      <c r="C1083" s="42">
        <v>1441.38</v>
      </c>
      <c r="D1083" s="42">
        <v>1433.84</v>
      </c>
      <c r="E1083" s="42">
        <v>1436.36</v>
      </c>
      <c r="F1083" s="2">
        <v>11830000000</v>
      </c>
    </row>
    <row r="1084" spans="1:6">
      <c r="A1084" s="32">
        <v>42220</v>
      </c>
      <c r="B1084" s="42">
        <v>1438.67</v>
      </c>
      <c r="C1084" s="42">
        <v>1439.06</v>
      </c>
      <c r="D1084" s="42">
        <v>1428.52</v>
      </c>
      <c r="E1084" s="42">
        <v>1432.16</v>
      </c>
      <c r="F1084" s="2">
        <v>9530000000</v>
      </c>
    </row>
    <row r="1085" spans="1:6">
      <c r="A1085" s="32">
        <v>42219</v>
      </c>
      <c r="B1085" s="42">
        <v>1435.62</v>
      </c>
      <c r="C1085" s="42">
        <v>1442.16</v>
      </c>
      <c r="D1085" s="42">
        <v>1432.1</v>
      </c>
      <c r="E1085" s="42">
        <v>1442.04</v>
      </c>
      <c r="F1085" s="2">
        <v>8000000000</v>
      </c>
    </row>
    <row r="1086" spans="1:6">
      <c r="A1086" s="32">
        <v>42216</v>
      </c>
      <c r="B1086" s="42">
        <v>1424.01</v>
      </c>
      <c r="C1086" s="42">
        <v>1440.12</v>
      </c>
      <c r="D1086" s="42">
        <v>1423.14</v>
      </c>
      <c r="E1086" s="42">
        <v>1440.12</v>
      </c>
      <c r="F1086" s="2">
        <v>7740000000</v>
      </c>
    </row>
    <row r="1087" spans="1:6">
      <c r="A1087" s="32">
        <v>42214</v>
      </c>
      <c r="B1087" s="42">
        <v>1413.96</v>
      </c>
      <c r="C1087" s="42">
        <v>1419.07</v>
      </c>
      <c r="D1087" s="42">
        <v>1401.06</v>
      </c>
      <c r="E1087" s="42">
        <v>1417.49</v>
      </c>
      <c r="F1087" s="2">
        <v>8810000000</v>
      </c>
    </row>
    <row r="1088" spans="1:6">
      <c r="A1088" s="32">
        <v>42213</v>
      </c>
      <c r="B1088" s="42">
        <v>1416.02</v>
      </c>
      <c r="C1088" s="42">
        <v>1422.38</v>
      </c>
      <c r="D1088" s="42">
        <v>1401.13</v>
      </c>
      <c r="E1088" s="42">
        <v>1408.07</v>
      </c>
      <c r="F1088" s="2">
        <v>10700000000</v>
      </c>
    </row>
    <row r="1089" spans="1:6">
      <c r="A1089" s="32">
        <v>42212</v>
      </c>
      <c r="B1089" s="42">
        <v>1431.86</v>
      </c>
      <c r="C1089" s="42">
        <v>1433.95</v>
      </c>
      <c r="D1089" s="42">
        <v>1410.72</v>
      </c>
      <c r="E1089" s="42">
        <v>1412.55</v>
      </c>
      <c r="F1089" s="2">
        <v>8930000000</v>
      </c>
    </row>
    <row r="1090" spans="1:6">
      <c r="A1090" s="32">
        <v>42209</v>
      </c>
      <c r="B1090" s="42">
        <v>1440.78</v>
      </c>
      <c r="C1090" s="42">
        <v>1441.92</v>
      </c>
      <c r="D1090" s="42">
        <v>1433.01</v>
      </c>
      <c r="E1090" s="42">
        <v>1438.08</v>
      </c>
      <c r="F1090" s="2">
        <v>6810000000</v>
      </c>
    </row>
    <row r="1091" spans="1:6">
      <c r="A1091" s="32">
        <v>42208</v>
      </c>
      <c r="B1091" s="42">
        <v>1447.16</v>
      </c>
      <c r="C1091" s="42">
        <v>1453.47</v>
      </c>
      <c r="D1091" s="42">
        <v>1444.21</v>
      </c>
      <c r="E1091" s="42">
        <v>1444.66</v>
      </c>
      <c r="F1091" s="2">
        <v>8420000000</v>
      </c>
    </row>
    <row r="1092" spans="1:6">
      <c r="A1092" s="32">
        <v>42207</v>
      </c>
      <c r="B1092" s="42">
        <v>1441.38</v>
      </c>
      <c r="C1092" s="42">
        <v>1449.53</v>
      </c>
      <c r="D1092" s="42">
        <v>1432.58</v>
      </c>
      <c r="E1092" s="42">
        <v>1447.84</v>
      </c>
      <c r="F1092" s="2">
        <v>10670000000</v>
      </c>
    </row>
    <row r="1093" spans="1:6">
      <c r="A1093" s="32">
        <v>42206</v>
      </c>
      <c r="B1093" s="42">
        <v>1467.61</v>
      </c>
      <c r="C1093" s="42">
        <v>1468.25</v>
      </c>
      <c r="D1093" s="42">
        <v>1442.79</v>
      </c>
      <c r="E1093" s="42">
        <v>1447.44</v>
      </c>
      <c r="F1093" s="2">
        <v>11670000000</v>
      </c>
    </row>
    <row r="1094" spans="1:6">
      <c r="A1094" s="32">
        <v>42205</v>
      </c>
      <c r="B1094" s="42">
        <v>1480.12</v>
      </c>
      <c r="C1094" s="42">
        <v>1481.27</v>
      </c>
      <c r="D1094" s="42">
        <v>1466.64</v>
      </c>
      <c r="E1094" s="42">
        <v>1466.71</v>
      </c>
      <c r="F1094" s="2">
        <v>13750000000</v>
      </c>
    </row>
    <row r="1095" spans="1:6">
      <c r="A1095" s="32">
        <v>42202</v>
      </c>
      <c r="B1095" s="42">
        <v>1482.61</v>
      </c>
      <c r="C1095" s="42">
        <v>1484.25</v>
      </c>
      <c r="D1095" s="42">
        <v>1476.9</v>
      </c>
      <c r="E1095" s="42">
        <v>1479.31</v>
      </c>
      <c r="F1095" s="2">
        <v>6770000000</v>
      </c>
    </row>
    <row r="1096" spans="1:6">
      <c r="A1096" s="32">
        <v>42201</v>
      </c>
      <c r="B1096" s="42">
        <v>1488.97</v>
      </c>
      <c r="C1096" s="42">
        <v>1490.62</v>
      </c>
      <c r="D1096" s="42">
        <v>1476.43</v>
      </c>
      <c r="E1096" s="42">
        <v>1481.26</v>
      </c>
      <c r="F1096" s="2">
        <v>10410000000</v>
      </c>
    </row>
    <row r="1097" spans="1:6">
      <c r="A1097" s="32">
        <v>42200</v>
      </c>
      <c r="B1097" s="42">
        <v>1490.99</v>
      </c>
      <c r="C1097" s="42">
        <v>1496.17</v>
      </c>
      <c r="D1097" s="42">
        <v>1486.74</v>
      </c>
      <c r="E1097" s="42">
        <v>1486.74</v>
      </c>
      <c r="F1097" s="2">
        <v>7650000000</v>
      </c>
    </row>
    <row r="1098" spans="1:6">
      <c r="A1098" s="32">
        <v>42199</v>
      </c>
      <c r="B1098" s="42">
        <v>1493.39</v>
      </c>
      <c r="C1098" s="42">
        <v>1494.96</v>
      </c>
      <c r="D1098" s="42">
        <v>1487.01</v>
      </c>
      <c r="E1098" s="42">
        <v>1488.4</v>
      </c>
      <c r="F1098" s="2">
        <v>7640000000</v>
      </c>
    </row>
    <row r="1099" spans="1:6">
      <c r="A1099" s="32">
        <v>42198</v>
      </c>
      <c r="B1099" s="42">
        <v>1484.52</v>
      </c>
      <c r="C1099" s="42">
        <v>1493.63</v>
      </c>
      <c r="D1099" s="42">
        <v>1480.64</v>
      </c>
      <c r="E1099" s="42">
        <v>1490.65</v>
      </c>
      <c r="F1099" s="2">
        <v>7180000000</v>
      </c>
    </row>
    <row r="1100" spans="1:6">
      <c r="A1100" s="32">
        <v>42195</v>
      </c>
      <c r="B1100" s="42">
        <v>1482.18</v>
      </c>
      <c r="C1100" s="42">
        <v>1486.29</v>
      </c>
      <c r="D1100" s="42">
        <v>1476.91</v>
      </c>
      <c r="E1100" s="42">
        <v>1484.9</v>
      </c>
      <c r="F1100" s="2">
        <v>9320000000</v>
      </c>
    </row>
    <row r="1101" spans="1:6">
      <c r="A1101" s="32">
        <v>42194</v>
      </c>
      <c r="B1101" s="42">
        <v>1469.59</v>
      </c>
      <c r="C1101" s="42">
        <v>1479.28</v>
      </c>
      <c r="D1101" s="42">
        <v>1461.57</v>
      </c>
      <c r="E1101" s="42">
        <v>1472.57</v>
      </c>
      <c r="F1101" s="2">
        <v>8520000000</v>
      </c>
    </row>
    <row r="1102" spans="1:6">
      <c r="A1102" s="32">
        <v>42193</v>
      </c>
      <c r="B1102" s="42">
        <v>1476.01</v>
      </c>
      <c r="C1102" s="42">
        <v>1478.97</v>
      </c>
      <c r="D1102" s="42">
        <v>1466.74</v>
      </c>
      <c r="E1102" s="42">
        <v>1470.25</v>
      </c>
      <c r="F1102" s="2">
        <v>7400000000</v>
      </c>
    </row>
    <row r="1103" spans="1:6">
      <c r="A1103" s="32">
        <v>42192</v>
      </c>
      <c r="B1103" s="42">
        <v>1477.16</v>
      </c>
      <c r="C1103" s="42">
        <v>1484.9</v>
      </c>
      <c r="D1103" s="42">
        <v>1475.88</v>
      </c>
      <c r="E1103" s="42">
        <v>1483.77</v>
      </c>
      <c r="F1103" s="2">
        <v>7730000000</v>
      </c>
    </row>
    <row r="1104" spans="1:6">
      <c r="A1104" s="32">
        <v>42191</v>
      </c>
      <c r="B1104" s="42">
        <v>1479.81</v>
      </c>
      <c r="C1104" s="42">
        <v>1482.23</v>
      </c>
      <c r="D1104" s="42">
        <v>1470.37</v>
      </c>
      <c r="E1104" s="42">
        <v>1473.23</v>
      </c>
      <c r="F1104" s="2">
        <v>8520000000</v>
      </c>
    </row>
    <row r="1105" spans="1:6">
      <c r="A1105" s="32">
        <v>42188</v>
      </c>
      <c r="B1105" s="42">
        <v>1490.44</v>
      </c>
      <c r="C1105" s="42">
        <v>1495.37</v>
      </c>
      <c r="D1105" s="42">
        <v>1485.5</v>
      </c>
      <c r="E1105" s="42">
        <v>1489.59</v>
      </c>
      <c r="F1105" s="2">
        <v>7990000000</v>
      </c>
    </row>
    <row r="1106" spans="1:6">
      <c r="A1106" s="32">
        <v>42187</v>
      </c>
      <c r="B1106" s="42">
        <v>1504.72</v>
      </c>
      <c r="C1106" s="42">
        <v>1505.41</v>
      </c>
      <c r="D1106" s="42">
        <v>1490.8</v>
      </c>
      <c r="E1106" s="42">
        <v>1491.62</v>
      </c>
      <c r="F1106" s="2">
        <v>10370000000</v>
      </c>
    </row>
    <row r="1107" spans="1:6">
      <c r="A1107" s="32">
        <v>42185</v>
      </c>
      <c r="B1107" s="42">
        <v>1510.18</v>
      </c>
      <c r="C1107" s="42">
        <v>1512.65</v>
      </c>
      <c r="D1107" s="42">
        <v>1499.15</v>
      </c>
      <c r="E1107" s="42">
        <v>1504.55</v>
      </c>
      <c r="F1107" s="2">
        <v>10900000000</v>
      </c>
    </row>
    <row r="1108" spans="1:6">
      <c r="A1108" s="32">
        <v>42184</v>
      </c>
      <c r="B1108" s="42">
        <v>1501.03</v>
      </c>
      <c r="C1108" s="42">
        <v>1516.93</v>
      </c>
      <c r="D1108" s="42">
        <v>1495.86</v>
      </c>
      <c r="E1108" s="42">
        <v>1511.19</v>
      </c>
      <c r="F1108" s="2">
        <v>8540000000</v>
      </c>
    </row>
    <row r="1109" spans="1:6">
      <c r="A1109" s="32">
        <v>42181</v>
      </c>
      <c r="B1109" s="42">
        <v>1520.92</v>
      </c>
      <c r="C1109" s="42">
        <v>1524.59</v>
      </c>
      <c r="D1109" s="42">
        <v>1516.96</v>
      </c>
      <c r="E1109" s="42">
        <v>1518.03</v>
      </c>
      <c r="F1109" s="2">
        <v>7730000000</v>
      </c>
    </row>
    <row r="1110" spans="1:6">
      <c r="A1110" s="32">
        <v>42180</v>
      </c>
      <c r="B1110" s="42">
        <v>1517.35</v>
      </c>
      <c r="C1110" s="42">
        <v>1523.42</v>
      </c>
      <c r="D1110" s="42">
        <v>1512.76</v>
      </c>
      <c r="E1110" s="42">
        <v>1519.47</v>
      </c>
      <c r="F1110" s="2">
        <v>9270000000</v>
      </c>
    </row>
    <row r="1111" spans="1:6">
      <c r="A1111" s="32">
        <v>42179</v>
      </c>
      <c r="B1111" s="42">
        <v>1507.39</v>
      </c>
      <c r="C1111" s="42">
        <v>1518.61</v>
      </c>
      <c r="D1111" s="42">
        <v>1506.72</v>
      </c>
      <c r="E1111" s="42">
        <v>1518.26</v>
      </c>
      <c r="F1111" s="2">
        <v>8850000000</v>
      </c>
    </row>
    <row r="1112" spans="1:6">
      <c r="A1112" s="32">
        <v>42178</v>
      </c>
      <c r="B1112" s="42">
        <v>1512.23</v>
      </c>
      <c r="C1112" s="42">
        <v>1513.31</v>
      </c>
      <c r="D1112" s="42">
        <v>1500.97</v>
      </c>
      <c r="E1112" s="42">
        <v>1503.23</v>
      </c>
      <c r="F1112" s="2">
        <v>7530000000</v>
      </c>
    </row>
    <row r="1113" spans="1:6">
      <c r="A1113" s="32">
        <v>42177</v>
      </c>
      <c r="B1113" s="42">
        <v>1492.55</v>
      </c>
      <c r="C1113" s="42">
        <v>1509.39</v>
      </c>
      <c r="D1113" s="42">
        <v>1492.18</v>
      </c>
      <c r="E1113" s="42">
        <v>1504.06</v>
      </c>
      <c r="F1113" s="2">
        <v>7670000000</v>
      </c>
    </row>
    <row r="1114" spans="1:6">
      <c r="A1114" s="32">
        <v>42174</v>
      </c>
      <c r="B1114" s="42">
        <v>1507.6</v>
      </c>
      <c r="C1114" s="42">
        <v>1508.19</v>
      </c>
      <c r="D1114" s="42">
        <v>1488.07</v>
      </c>
      <c r="E1114" s="42">
        <v>1491.46</v>
      </c>
      <c r="F1114" s="2">
        <v>9600000000</v>
      </c>
    </row>
    <row r="1115" spans="1:6">
      <c r="A1115" s="32">
        <v>42173</v>
      </c>
      <c r="B1115" s="42">
        <v>1517.13</v>
      </c>
      <c r="C1115" s="42">
        <v>1518.44</v>
      </c>
      <c r="D1115" s="42">
        <v>1506.57</v>
      </c>
      <c r="E1115" s="42">
        <v>1508.04</v>
      </c>
      <c r="F1115" s="2">
        <v>8740000000</v>
      </c>
    </row>
    <row r="1116" spans="1:6">
      <c r="A1116" s="32">
        <v>42172</v>
      </c>
      <c r="B1116" s="42">
        <v>1507.23</v>
      </c>
      <c r="C1116" s="42">
        <v>1516.52</v>
      </c>
      <c r="D1116" s="42">
        <v>1504.16</v>
      </c>
      <c r="E1116" s="42">
        <v>1514.79</v>
      </c>
      <c r="F1116" s="2">
        <v>8460000000</v>
      </c>
    </row>
    <row r="1117" spans="1:6">
      <c r="A1117" s="32">
        <v>42171</v>
      </c>
      <c r="B1117" s="42">
        <v>1502.26</v>
      </c>
      <c r="C1117" s="42">
        <v>1507.93</v>
      </c>
      <c r="D1117" s="42">
        <v>1501.28</v>
      </c>
      <c r="E1117" s="42">
        <v>1503.28</v>
      </c>
      <c r="F1117" s="2">
        <v>7770000000</v>
      </c>
    </row>
    <row r="1118" spans="1:6">
      <c r="A1118" s="32">
        <v>42170</v>
      </c>
      <c r="B1118" s="42">
        <v>1507.05</v>
      </c>
      <c r="C1118" s="42">
        <v>1507.66</v>
      </c>
      <c r="D1118" s="42">
        <v>1496.76</v>
      </c>
      <c r="E1118" s="42">
        <v>1501.89</v>
      </c>
      <c r="F1118" s="2">
        <v>7560000000</v>
      </c>
    </row>
    <row r="1119" spans="1:6">
      <c r="A1119" s="32">
        <v>42167</v>
      </c>
      <c r="B1119" s="42">
        <v>1515.64</v>
      </c>
      <c r="C1119" s="42">
        <v>1517.1</v>
      </c>
      <c r="D1119" s="42">
        <v>1506.69</v>
      </c>
      <c r="E1119" s="42">
        <v>1508.23</v>
      </c>
      <c r="F1119" s="2">
        <v>7650000000</v>
      </c>
    </row>
    <row r="1120" spans="1:6">
      <c r="A1120" s="32">
        <v>42166</v>
      </c>
      <c r="B1120" s="42">
        <v>1512.95</v>
      </c>
      <c r="C1120" s="42">
        <v>1518.34</v>
      </c>
      <c r="D1120" s="42">
        <v>1510.74</v>
      </c>
      <c r="E1120" s="42">
        <v>1514.81</v>
      </c>
      <c r="F1120" s="2">
        <v>8510000000</v>
      </c>
    </row>
    <row r="1121" spans="1:6">
      <c r="A1121" s="32">
        <v>42165</v>
      </c>
      <c r="B1121" s="42">
        <v>1496.65</v>
      </c>
      <c r="C1121" s="42">
        <v>1510.68</v>
      </c>
      <c r="D1121" s="42">
        <v>1496.37</v>
      </c>
      <c r="E1121" s="42">
        <v>1504.04</v>
      </c>
      <c r="F1121" s="2">
        <v>6850000000</v>
      </c>
    </row>
    <row r="1122" spans="1:6">
      <c r="A1122" s="32">
        <v>42164</v>
      </c>
      <c r="B1122" s="42">
        <v>1504.59</v>
      </c>
      <c r="C1122" s="42">
        <v>1505.23</v>
      </c>
      <c r="D1122" s="42">
        <v>1490.64</v>
      </c>
      <c r="E1122" s="42">
        <v>1492.32</v>
      </c>
      <c r="F1122" s="2">
        <v>8140000000</v>
      </c>
    </row>
    <row r="1123" spans="1:6">
      <c r="A1123" s="32">
        <v>42163</v>
      </c>
      <c r="B1123" s="42">
        <v>1507.72</v>
      </c>
      <c r="C1123" s="42">
        <v>1511.5</v>
      </c>
      <c r="D1123" s="42">
        <v>1501.62</v>
      </c>
      <c r="E1123" s="42">
        <v>1508.28</v>
      </c>
      <c r="F1123" s="2">
        <v>6030000000</v>
      </c>
    </row>
    <row r="1124" spans="1:6">
      <c r="A1124" s="32">
        <v>42160</v>
      </c>
      <c r="B1124" s="42">
        <v>1490.51</v>
      </c>
      <c r="C1124" s="42">
        <v>1509.06</v>
      </c>
      <c r="D1124" s="42">
        <v>1490.29</v>
      </c>
      <c r="E1124" s="42">
        <v>1507.37</v>
      </c>
      <c r="F1124" s="2">
        <v>7560000000</v>
      </c>
    </row>
    <row r="1125" spans="1:6">
      <c r="A1125" s="32">
        <v>42159</v>
      </c>
      <c r="B1125" s="42">
        <v>1484.57</v>
      </c>
      <c r="C1125" s="42">
        <v>1491.81</v>
      </c>
      <c r="D1125" s="42">
        <v>1476.16</v>
      </c>
      <c r="E1125" s="42">
        <v>1490.9</v>
      </c>
      <c r="F1125" s="2">
        <v>9380000000</v>
      </c>
    </row>
    <row r="1126" spans="1:6">
      <c r="A1126" s="32">
        <v>42158</v>
      </c>
      <c r="B1126" s="42">
        <v>1480.36</v>
      </c>
      <c r="C1126" s="42">
        <v>1487.38</v>
      </c>
      <c r="D1126" s="42">
        <v>1477.15</v>
      </c>
      <c r="E1126" s="42">
        <v>1482.07</v>
      </c>
      <c r="F1126" s="2">
        <v>6250000000</v>
      </c>
    </row>
    <row r="1127" spans="1:6">
      <c r="A1127" s="32">
        <v>42157</v>
      </c>
      <c r="B1127" s="42">
        <v>1492.45</v>
      </c>
      <c r="C1127" s="42">
        <v>1494.19</v>
      </c>
      <c r="D1127" s="42">
        <v>1476.28</v>
      </c>
      <c r="E1127" s="42">
        <v>1476.87</v>
      </c>
      <c r="F1127" s="2">
        <v>6170000000</v>
      </c>
    </row>
    <row r="1128" spans="1:6">
      <c r="A1128" s="32">
        <v>42153</v>
      </c>
      <c r="B1128" s="42">
        <v>1495.64</v>
      </c>
      <c r="C1128" s="42">
        <v>1500.5</v>
      </c>
      <c r="D1128" s="42">
        <v>1491.57</v>
      </c>
      <c r="E1128" s="42">
        <v>1496.05</v>
      </c>
      <c r="F1128" s="2">
        <v>6070000000</v>
      </c>
    </row>
    <row r="1129" spans="1:6">
      <c r="A1129" s="32">
        <v>42152</v>
      </c>
      <c r="B1129" s="42">
        <v>1502.49</v>
      </c>
      <c r="C1129" s="42">
        <v>1503.38</v>
      </c>
      <c r="D1129" s="42">
        <v>1487.15</v>
      </c>
      <c r="E1129" s="42">
        <v>1493.61</v>
      </c>
      <c r="F1129" s="2">
        <v>5680000000</v>
      </c>
    </row>
    <row r="1130" spans="1:6">
      <c r="A1130" s="32">
        <v>42151</v>
      </c>
      <c r="B1130" s="42">
        <v>1491.43</v>
      </c>
      <c r="C1130" s="42">
        <v>1501.61</v>
      </c>
      <c r="D1130" s="42">
        <v>1486.63</v>
      </c>
      <c r="E1130" s="42">
        <v>1500.84</v>
      </c>
      <c r="F1130" s="2">
        <v>5540000000</v>
      </c>
    </row>
    <row r="1131" spans="1:6">
      <c r="A1131" s="32">
        <v>42150</v>
      </c>
      <c r="B1131" s="42">
        <v>1508.12</v>
      </c>
      <c r="C1131" s="42">
        <v>1513.02</v>
      </c>
      <c r="D1131" s="42">
        <v>1497.98</v>
      </c>
      <c r="E1131" s="42">
        <v>1497.98</v>
      </c>
      <c r="F1131" s="2">
        <v>8260000000</v>
      </c>
    </row>
    <row r="1132" spans="1:6">
      <c r="A1132" s="32">
        <v>42149</v>
      </c>
      <c r="B1132" s="42">
        <v>1526.3</v>
      </c>
      <c r="C1132" s="42">
        <v>1528.13</v>
      </c>
      <c r="D1132" s="42">
        <v>1508.16</v>
      </c>
      <c r="E1132" s="42">
        <v>1508.16</v>
      </c>
      <c r="F1132" s="2">
        <v>5610000000</v>
      </c>
    </row>
    <row r="1133" spans="1:6">
      <c r="A1133" s="32">
        <v>42146</v>
      </c>
      <c r="B1133" s="42">
        <v>1533.17</v>
      </c>
      <c r="C1133" s="42">
        <v>1536.3</v>
      </c>
      <c r="D1133" s="42">
        <v>1522.06</v>
      </c>
      <c r="E1133" s="42">
        <v>1523.86</v>
      </c>
      <c r="F1133" s="2">
        <v>6930000000</v>
      </c>
    </row>
    <row r="1134" spans="1:6">
      <c r="A1134" s="32">
        <v>42145</v>
      </c>
      <c r="B1134" s="42">
        <v>1523.33</v>
      </c>
      <c r="C1134" s="42">
        <v>1529.94</v>
      </c>
      <c r="D1134" s="42">
        <v>1522.59</v>
      </c>
      <c r="E1134" s="42">
        <v>1526.25</v>
      </c>
      <c r="F1134" s="2">
        <v>7690000000</v>
      </c>
    </row>
    <row r="1135" spans="1:6">
      <c r="A1135" s="32">
        <v>42144</v>
      </c>
      <c r="B1135" s="42">
        <v>1527.65</v>
      </c>
      <c r="C1135" s="42">
        <v>1530.85</v>
      </c>
      <c r="D1135" s="42">
        <v>1518.38</v>
      </c>
      <c r="E1135" s="42">
        <v>1520.11</v>
      </c>
      <c r="F1135" s="2">
        <v>6950000000</v>
      </c>
    </row>
    <row r="1136" spans="1:6">
      <c r="A1136" s="32">
        <v>42143</v>
      </c>
      <c r="B1136" s="42">
        <v>1513.83</v>
      </c>
      <c r="C1136" s="42">
        <v>1527.6</v>
      </c>
      <c r="D1136" s="42">
        <v>1513.13</v>
      </c>
      <c r="E1136" s="42">
        <v>1525.96</v>
      </c>
      <c r="F1136" s="2">
        <v>6580000000</v>
      </c>
    </row>
    <row r="1137" spans="1:6">
      <c r="A1137" s="32">
        <v>42142</v>
      </c>
      <c r="B1137" s="42">
        <v>1510.21</v>
      </c>
      <c r="C1137" s="42">
        <v>1515.65</v>
      </c>
      <c r="D1137" s="42">
        <v>1505.67</v>
      </c>
      <c r="E1137" s="42">
        <v>1510.41</v>
      </c>
      <c r="F1137" s="2">
        <v>6210000000</v>
      </c>
    </row>
    <row r="1138" spans="1:6">
      <c r="A1138" s="32">
        <v>42139</v>
      </c>
      <c r="B1138" s="42">
        <v>1496.98</v>
      </c>
      <c r="C1138" s="42">
        <v>1512.19</v>
      </c>
      <c r="D1138" s="42">
        <v>1494.79</v>
      </c>
      <c r="E1138" s="42">
        <v>1512.19</v>
      </c>
      <c r="F1138" s="2">
        <v>7150000000</v>
      </c>
    </row>
    <row r="1139" spans="1:6">
      <c r="A1139" s="32">
        <v>42138</v>
      </c>
      <c r="B1139" s="42">
        <v>1496.2</v>
      </c>
      <c r="C1139" s="42">
        <v>1500.38</v>
      </c>
      <c r="D1139" s="42">
        <v>1484.95</v>
      </c>
      <c r="E1139" s="42">
        <v>1497.4</v>
      </c>
      <c r="F1139" s="2">
        <v>6550000000</v>
      </c>
    </row>
    <row r="1140" spans="1:6">
      <c r="A1140" s="32">
        <v>42137</v>
      </c>
      <c r="B1140" s="42">
        <v>1490.93</v>
      </c>
      <c r="C1140" s="42">
        <v>1497.02</v>
      </c>
      <c r="D1140" s="42">
        <v>1487.46</v>
      </c>
      <c r="E1140" s="42">
        <v>1495.95</v>
      </c>
      <c r="F1140" s="2">
        <v>6350000000</v>
      </c>
    </row>
    <row r="1141" spans="1:6">
      <c r="A1141" s="32">
        <v>42136</v>
      </c>
      <c r="B1141" s="42">
        <v>1499.28</v>
      </c>
      <c r="C1141" s="42">
        <v>1501.12</v>
      </c>
      <c r="D1141" s="42">
        <v>1478.9</v>
      </c>
      <c r="E1141" s="42">
        <v>1485.72</v>
      </c>
      <c r="F1141" s="2">
        <v>7860000000</v>
      </c>
    </row>
    <row r="1142" spans="1:6">
      <c r="A1142" s="32">
        <v>42135</v>
      </c>
      <c r="B1142" s="42">
        <v>1517.05</v>
      </c>
      <c r="C1142" s="42">
        <v>1520.49</v>
      </c>
      <c r="D1142" s="42">
        <v>1501.3</v>
      </c>
      <c r="E1142" s="42">
        <v>1501.3</v>
      </c>
      <c r="F1142" s="2">
        <v>6640000000</v>
      </c>
    </row>
    <row r="1143" spans="1:6">
      <c r="A1143" s="32">
        <v>42132</v>
      </c>
      <c r="B1143" s="42">
        <v>1502.29</v>
      </c>
      <c r="C1143" s="42">
        <v>1514.64</v>
      </c>
      <c r="D1143" s="42">
        <v>1494.92</v>
      </c>
      <c r="E1143" s="42">
        <v>1510.51</v>
      </c>
      <c r="F1143" s="2">
        <v>7160000000</v>
      </c>
    </row>
    <row r="1144" spans="1:6">
      <c r="A1144" s="32">
        <v>42131</v>
      </c>
      <c r="B1144" s="42">
        <v>1514.84</v>
      </c>
      <c r="C1144" s="42">
        <v>1521.86</v>
      </c>
      <c r="D1144" s="42">
        <v>1498.31</v>
      </c>
      <c r="E1144" s="42">
        <v>1498.31</v>
      </c>
      <c r="F1144" s="2">
        <v>14240000000</v>
      </c>
    </row>
    <row r="1145" spans="1:6">
      <c r="A1145" s="32">
        <v>42130</v>
      </c>
      <c r="B1145" s="42">
        <v>1529.56</v>
      </c>
      <c r="C1145" s="42">
        <v>1531.75</v>
      </c>
      <c r="D1145" s="42">
        <v>1514.79</v>
      </c>
      <c r="E1145" s="42">
        <v>1519.88</v>
      </c>
      <c r="F1145" s="2">
        <v>7950000000</v>
      </c>
    </row>
    <row r="1146" spans="1:6">
      <c r="A1146" s="32">
        <v>42124</v>
      </c>
      <c r="B1146" s="42">
        <v>1520.55</v>
      </c>
      <c r="C1146" s="42">
        <v>1531.5</v>
      </c>
      <c r="D1146" s="42">
        <v>1520.01</v>
      </c>
      <c r="E1146" s="42">
        <v>1526.74</v>
      </c>
      <c r="F1146" s="2">
        <v>6370000000</v>
      </c>
    </row>
    <row r="1147" spans="1:6">
      <c r="A1147" s="32">
        <v>42123</v>
      </c>
      <c r="B1147" s="42">
        <v>1521.55</v>
      </c>
      <c r="C1147" s="42">
        <v>1529.29</v>
      </c>
      <c r="D1147" s="42">
        <v>1513.42</v>
      </c>
      <c r="E1147" s="42">
        <v>1522.47</v>
      </c>
      <c r="F1147" s="2">
        <v>8420000000</v>
      </c>
    </row>
    <row r="1148" spans="1:6">
      <c r="A1148" s="32">
        <v>42122</v>
      </c>
      <c r="B1148" s="42">
        <v>1549.2</v>
      </c>
      <c r="C1148" s="42">
        <v>1549.53</v>
      </c>
      <c r="D1148" s="42">
        <v>1525.92</v>
      </c>
      <c r="E1148" s="42">
        <v>1531.53</v>
      </c>
      <c r="F1148" s="2">
        <v>8710000000</v>
      </c>
    </row>
    <row r="1149" spans="1:6">
      <c r="A1149" s="32">
        <v>42121</v>
      </c>
      <c r="B1149" s="42">
        <v>1559.2</v>
      </c>
      <c r="C1149" s="42">
        <v>1562.64</v>
      </c>
      <c r="D1149" s="42">
        <v>1546.66</v>
      </c>
      <c r="E1149" s="42">
        <v>1548.83</v>
      </c>
      <c r="F1149" s="2">
        <v>8520000000</v>
      </c>
    </row>
    <row r="1150" spans="1:6">
      <c r="A1150" s="32">
        <v>42118</v>
      </c>
      <c r="B1150" s="42">
        <v>1549.68</v>
      </c>
      <c r="C1150" s="42">
        <v>1556.1</v>
      </c>
      <c r="D1150" s="42">
        <v>1545.83</v>
      </c>
      <c r="E1150" s="42">
        <v>1555.46</v>
      </c>
      <c r="F1150" s="2">
        <v>8500000000</v>
      </c>
    </row>
    <row r="1151" spans="1:6">
      <c r="A1151" s="32">
        <v>42117</v>
      </c>
      <c r="B1151" s="42">
        <v>1556.61</v>
      </c>
      <c r="C1151" s="42">
        <v>1562.32</v>
      </c>
      <c r="D1151" s="42">
        <v>1543.47</v>
      </c>
      <c r="E1151" s="42">
        <v>1544.84</v>
      </c>
      <c r="F1151" s="2">
        <v>8680000000</v>
      </c>
    </row>
    <row r="1152" spans="1:6">
      <c r="A1152" s="32">
        <v>42116</v>
      </c>
      <c r="B1152" s="42">
        <v>1571.15</v>
      </c>
      <c r="C1152" s="42">
        <v>1571.5</v>
      </c>
      <c r="D1152" s="42">
        <v>1552</v>
      </c>
      <c r="E1152" s="42">
        <v>1552.01</v>
      </c>
      <c r="F1152" s="2">
        <v>7640000000</v>
      </c>
    </row>
    <row r="1153" spans="1:6">
      <c r="A1153" s="32">
        <v>42115</v>
      </c>
      <c r="B1153" s="42">
        <v>1566.35</v>
      </c>
      <c r="C1153" s="42">
        <v>1572.04</v>
      </c>
      <c r="D1153" s="42">
        <v>1565.3</v>
      </c>
      <c r="E1153" s="42">
        <v>1569.35</v>
      </c>
      <c r="F1153" s="2">
        <v>7540000000</v>
      </c>
    </row>
    <row r="1154" spans="1:6">
      <c r="A1154" s="32">
        <v>42114</v>
      </c>
      <c r="B1154" s="42">
        <v>1565.67</v>
      </c>
      <c r="C1154" s="42">
        <v>1567.04</v>
      </c>
      <c r="D1154" s="42">
        <v>1556.25</v>
      </c>
      <c r="E1154" s="42">
        <v>1560.32</v>
      </c>
      <c r="F1154" s="2">
        <v>7920000000</v>
      </c>
    </row>
    <row r="1155" spans="1:6">
      <c r="A1155" s="32">
        <v>42111</v>
      </c>
      <c r="B1155" s="42">
        <v>1572.88</v>
      </c>
      <c r="C1155" s="42">
        <v>1575.39</v>
      </c>
      <c r="D1155" s="42">
        <v>1566.65</v>
      </c>
      <c r="E1155" s="42">
        <v>1566.85</v>
      </c>
      <c r="F1155" s="2">
        <v>8830000000</v>
      </c>
    </row>
    <row r="1156" spans="1:6">
      <c r="A1156" s="32">
        <v>42110</v>
      </c>
      <c r="B1156" s="42">
        <v>1560.86</v>
      </c>
      <c r="C1156" s="42">
        <v>1570</v>
      </c>
      <c r="D1156" s="42">
        <v>1555.96</v>
      </c>
      <c r="E1156" s="42">
        <v>1570</v>
      </c>
      <c r="F1156" s="2">
        <v>6430000000</v>
      </c>
    </row>
    <row r="1157" spans="1:6">
      <c r="A1157" s="32">
        <v>42104</v>
      </c>
      <c r="B1157" s="42">
        <v>1547.92</v>
      </c>
      <c r="C1157" s="42">
        <v>1549.66</v>
      </c>
      <c r="D1157" s="42">
        <v>1540.25</v>
      </c>
      <c r="E1157" s="42">
        <v>1547.83</v>
      </c>
      <c r="F1157" s="2">
        <v>5530000000</v>
      </c>
    </row>
    <row r="1158" spans="1:6">
      <c r="A1158" s="32">
        <v>42103</v>
      </c>
      <c r="B1158" s="42">
        <v>1545.86</v>
      </c>
      <c r="C1158" s="42">
        <v>1550.83</v>
      </c>
      <c r="D1158" s="42">
        <v>1542.25</v>
      </c>
      <c r="E1158" s="42">
        <v>1545.11</v>
      </c>
      <c r="F1158" s="2">
        <v>5390000000</v>
      </c>
    </row>
    <row r="1159" spans="1:6">
      <c r="A1159" s="32">
        <v>42102</v>
      </c>
      <c r="B1159" s="42">
        <v>1553.11</v>
      </c>
      <c r="C1159" s="42">
        <v>1556.13</v>
      </c>
      <c r="D1159" s="42">
        <v>1544.14</v>
      </c>
      <c r="E1159" s="42">
        <v>1544.86</v>
      </c>
      <c r="F1159" s="2">
        <v>10230000000</v>
      </c>
    </row>
    <row r="1160" spans="1:6">
      <c r="A1160" s="32">
        <v>42101</v>
      </c>
      <c r="B1160" s="42">
        <v>1545.21</v>
      </c>
      <c r="C1160" s="42">
        <v>1555.1</v>
      </c>
      <c r="D1160" s="42">
        <v>1543.58</v>
      </c>
      <c r="E1160" s="42">
        <v>1549.53</v>
      </c>
      <c r="F1160" s="2">
        <v>7460000000</v>
      </c>
    </row>
    <row r="1161" spans="1:6">
      <c r="A1161" s="32">
        <v>42097</v>
      </c>
      <c r="B1161" s="42">
        <v>1536.04</v>
      </c>
      <c r="C1161" s="42">
        <v>1537.97</v>
      </c>
      <c r="D1161" s="42">
        <v>1530.63</v>
      </c>
      <c r="E1161" s="42">
        <v>1536.05</v>
      </c>
      <c r="F1161" s="2">
        <v>7490000000</v>
      </c>
    </row>
    <row r="1162" spans="1:6">
      <c r="A1162" s="32">
        <v>42096</v>
      </c>
      <c r="B1162" s="42">
        <v>1530.84</v>
      </c>
      <c r="C1162" s="42">
        <v>1539.65</v>
      </c>
      <c r="D1162" s="42">
        <v>1525.3</v>
      </c>
      <c r="E1162" s="42">
        <v>1532.23</v>
      </c>
      <c r="F1162" s="2">
        <v>11290000000</v>
      </c>
    </row>
    <row r="1163" spans="1:6">
      <c r="A1163" s="32">
        <v>42095</v>
      </c>
      <c r="B1163" s="42">
        <v>1506.35</v>
      </c>
      <c r="C1163" s="42">
        <v>1525.63</v>
      </c>
      <c r="D1163" s="42">
        <v>1502.74</v>
      </c>
      <c r="E1163" s="42">
        <v>1525.58</v>
      </c>
      <c r="F1163" s="2">
        <v>33800000000</v>
      </c>
    </row>
    <row r="1164" spans="1:6">
      <c r="A1164" s="32">
        <v>42094</v>
      </c>
      <c r="B1164" s="42">
        <v>1502.25</v>
      </c>
      <c r="C1164" s="42">
        <v>1509.33</v>
      </c>
      <c r="D1164" s="42">
        <v>1498.89</v>
      </c>
      <c r="E1164" s="42">
        <v>1505.94</v>
      </c>
      <c r="F1164" s="2">
        <v>52940000000</v>
      </c>
    </row>
    <row r="1165" spans="1:6">
      <c r="A1165" s="32">
        <v>42093</v>
      </c>
      <c r="B1165" s="42">
        <v>1501.08</v>
      </c>
      <c r="C1165" s="42">
        <v>1504.54</v>
      </c>
      <c r="D1165" s="42">
        <v>1495.37</v>
      </c>
      <c r="E1165" s="42">
        <v>1496.51</v>
      </c>
      <c r="F1165" s="2">
        <v>7020000000</v>
      </c>
    </row>
    <row r="1166" spans="1:6">
      <c r="A1166" s="32">
        <v>42090</v>
      </c>
      <c r="B1166" s="42">
        <v>1494.22</v>
      </c>
      <c r="C1166" s="42">
        <v>1496.02</v>
      </c>
      <c r="D1166" s="42">
        <v>1484.91</v>
      </c>
      <c r="E1166" s="42">
        <v>1495.22</v>
      </c>
      <c r="F1166" s="2">
        <v>7940000000</v>
      </c>
    </row>
    <row r="1167" spans="1:6">
      <c r="A1167" s="32">
        <v>42089</v>
      </c>
      <c r="B1167" s="42">
        <v>1506.08</v>
      </c>
      <c r="C1167" s="42">
        <v>1512.76</v>
      </c>
      <c r="D1167" s="42">
        <v>1496.38</v>
      </c>
      <c r="E1167" s="42">
        <v>1496.41</v>
      </c>
      <c r="F1167" s="2">
        <v>9840000000</v>
      </c>
    </row>
    <row r="1168" spans="1:6">
      <c r="A1168" s="32">
        <v>42088</v>
      </c>
      <c r="B1168" s="42">
        <v>1514.04</v>
      </c>
      <c r="C1168" s="42">
        <v>1520.88</v>
      </c>
      <c r="D1168" s="42">
        <v>1512.77</v>
      </c>
      <c r="E1168" s="42">
        <v>1512.8</v>
      </c>
      <c r="F1168" s="2">
        <v>8420000000</v>
      </c>
    </row>
    <row r="1169" spans="1:6">
      <c r="A1169" s="32">
        <v>42087</v>
      </c>
      <c r="B1169" s="42">
        <v>1518.47</v>
      </c>
      <c r="C1169" s="42">
        <v>1519.09</v>
      </c>
      <c r="D1169" s="42">
        <v>1499.88</v>
      </c>
      <c r="E1169" s="42">
        <v>1514.45</v>
      </c>
      <c r="F1169" s="2">
        <v>14810000000</v>
      </c>
    </row>
    <row r="1170" spans="1:6">
      <c r="A1170" s="32">
        <v>42086</v>
      </c>
      <c r="B1170" s="42">
        <v>1535.86</v>
      </c>
      <c r="C1170" s="42">
        <v>1539.57</v>
      </c>
      <c r="D1170" s="42">
        <v>1518.79</v>
      </c>
      <c r="E1170" s="42">
        <v>1520.01</v>
      </c>
      <c r="F1170" s="2">
        <v>16690000000</v>
      </c>
    </row>
    <row r="1171" spans="1:6">
      <c r="A1171" s="32">
        <v>42083</v>
      </c>
      <c r="B1171" s="42">
        <v>1533.91</v>
      </c>
      <c r="C1171" s="42">
        <v>1535.36</v>
      </c>
      <c r="D1171" s="42">
        <v>1517.3</v>
      </c>
      <c r="E1171" s="42">
        <v>1529.96</v>
      </c>
      <c r="F1171" s="2">
        <v>10200000000</v>
      </c>
    </row>
    <row r="1172" spans="1:6">
      <c r="A1172" s="32">
        <v>42082</v>
      </c>
      <c r="B1172" s="42">
        <v>1543.63</v>
      </c>
      <c r="C1172" s="42">
        <v>1544.69</v>
      </c>
      <c r="D1172" s="42">
        <v>1529.66</v>
      </c>
      <c r="E1172" s="42">
        <v>1532.13</v>
      </c>
      <c r="F1172" s="2">
        <v>8930000000</v>
      </c>
    </row>
    <row r="1173" spans="1:6">
      <c r="A1173" s="32">
        <v>42081</v>
      </c>
      <c r="B1173" s="42">
        <v>1513.99</v>
      </c>
      <c r="C1173" s="42">
        <v>1533.14</v>
      </c>
      <c r="D1173" s="42">
        <v>1512.25</v>
      </c>
      <c r="E1173" s="42">
        <v>1531.5</v>
      </c>
      <c r="F1173" s="2">
        <v>8280000000</v>
      </c>
    </row>
    <row r="1174" spans="1:6">
      <c r="A1174" s="32">
        <v>42080</v>
      </c>
      <c r="B1174" s="42">
        <v>1525.5</v>
      </c>
      <c r="C1174" s="42">
        <v>1527.95</v>
      </c>
      <c r="D1174" s="42">
        <v>1511.4</v>
      </c>
      <c r="E1174" s="42">
        <v>1512.84</v>
      </c>
      <c r="F1174" s="2">
        <v>9920000000</v>
      </c>
    </row>
    <row r="1175" spans="1:6">
      <c r="A1175" s="32">
        <v>42079</v>
      </c>
      <c r="B1175" s="42">
        <v>1534.47</v>
      </c>
      <c r="C1175" s="42">
        <v>1535.9</v>
      </c>
      <c r="D1175" s="42">
        <v>1512.17</v>
      </c>
      <c r="E1175" s="42">
        <v>1515.57</v>
      </c>
      <c r="F1175" s="2">
        <v>11990000000</v>
      </c>
    </row>
    <row r="1176" spans="1:6">
      <c r="A1176" s="32">
        <v>42076</v>
      </c>
      <c r="B1176" s="42">
        <v>1547.68</v>
      </c>
      <c r="C1176" s="42">
        <v>1551.86</v>
      </c>
      <c r="D1176" s="42">
        <v>1539.56</v>
      </c>
      <c r="E1176" s="42">
        <v>1541.55</v>
      </c>
      <c r="F1176" s="2">
        <v>8880000000</v>
      </c>
    </row>
    <row r="1177" spans="1:6">
      <c r="A1177" s="32">
        <v>42075</v>
      </c>
      <c r="B1177" s="42">
        <v>1543.06</v>
      </c>
      <c r="C1177" s="42">
        <v>1549.02</v>
      </c>
      <c r="D1177" s="42">
        <v>1534.11</v>
      </c>
      <c r="E1177" s="42">
        <v>1544.34</v>
      </c>
      <c r="F1177" s="2">
        <v>8930000000</v>
      </c>
    </row>
    <row r="1178" spans="1:6">
      <c r="A1178" s="32">
        <v>42074</v>
      </c>
      <c r="B1178" s="42">
        <v>1524.38</v>
      </c>
      <c r="C1178" s="42">
        <v>1544.19</v>
      </c>
      <c r="D1178" s="42">
        <v>1520.2</v>
      </c>
      <c r="E1178" s="42">
        <v>1543.84</v>
      </c>
      <c r="F1178" s="2">
        <v>11390000000</v>
      </c>
    </row>
    <row r="1179" spans="1:6">
      <c r="A1179" s="32">
        <v>42073</v>
      </c>
      <c r="B1179" s="42">
        <v>1560.94</v>
      </c>
      <c r="C1179" s="42">
        <v>1562.82</v>
      </c>
      <c r="D1179" s="42">
        <v>1531</v>
      </c>
      <c r="E1179" s="42">
        <v>1531.04</v>
      </c>
      <c r="F1179" s="2">
        <v>10420000000</v>
      </c>
    </row>
    <row r="1180" spans="1:6">
      <c r="A1180" s="32">
        <v>42072</v>
      </c>
      <c r="B1180" s="42">
        <v>1558.54</v>
      </c>
      <c r="C1180" s="42">
        <v>1565.19</v>
      </c>
      <c r="D1180" s="42">
        <v>1553.17</v>
      </c>
      <c r="E1180" s="42">
        <v>1559.71</v>
      </c>
      <c r="F1180" s="2">
        <v>9540000000</v>
      </c>
    </row>
    <row r="1181" spans="1:6">
      <c r="A1181" s="32">
        <v>42069</v>
      </c>
      <c r="B1181" s="42">
        <v>1553.05</v>
      </c>
      <c r="C1181" s="42">
        <v>1568.7</v>
      </c>
      <c r="D1181" s="42">
        <v>1552.06</v>
      </c>
      <c r="E1181" s="42">
        <v>1568.29</v>
      </c>
      <c r="F1181" s="2">
        <v>9320000000</v>
      </c>
    </row>
    <row r="1182" spans="1:6">
      <c r="A1182" s="32">
        <v>42068</v>
      </c>
      <c r="B1182" s="42">
        <v>1559.4</v>
      </c>
      <c r="C1182" s="42">
        <v>1561.88</v>
      </c>
      <c r="D1182" s="42">
        <v>1545.1</v>
      </c>
      <c r="E1182" s="42">
        <v>1553.33</v>
      </c>
      <c r="F1182" s="2">
        <v>15070000000</v>
      </c>
    </row>
    <row r="1183" spans="1:6">
      <c r="A1183" s="32">
        <v>42066</v>
      </c>
      <c r="B1183" s="42">
        <v>1580.36</v>
      </c>
      <c r="C1183" s="42">
        <v>1582.67</v>
      </c>
      <c r="D1183" s="42">
        <v>1562.84</v>
      </c>
      <c r="E1183" s="42">
        <v>1562.84</v>
      </c>
      <c r="F1183" s="2">
        <v>19970000000</v>
      </c>
    </row>
    <row r="1184" spans="1:6">
      <c r="A1184" s="32">
        <v>42065</v>
      </c>
      <c r="B1184" s="42">
        <v>1588.14</v>
      </c>
      <c r="C1184" s="42">
        <v>1590.02</v>
      </c>
      <c r="D1184" s="42">
        <v>1573.64</v>
      </c>
      <c r="E1184" s="42">
        <v>1582.14</v>
      </c>
      <c r="F1184" s="2">
        <v>16550000000</v>
      </c>
    </row>
    <row r="1185" spans="1:6">
      <c r="A1185" s="32">
        <v>42062</v>
      </c>
      <c r="B1185" s="42">
        <v>1590.93</v>
      </c>
      <c r="C1185" s="42">
        <v>1594.44</v>
      </c>
      <c r="D1185" s="42">
        <v>1586.1</v>
      </c>
      <c r="E1185" s="42">
        <v>1587.01</v>
      </c>
      <c r="F1185" s="2">
        <v>15490000000</v>
      </c>
    </row>
    <row r="1186" spans="1:6">
      <c r="A1186" s="32">
        <v>42061</v>
      </c>
      <c r="B1186" s="42">
        <v>1590.29</v>
      </c>
      <c r="C1186" s="42">
        <v>1593.56</v>
      </c>
      <c r="D1186" s="42">
        <v>1566.96</v>
      </c>
      <c r="E1186" s="42">
        <v>1593.55</v>
      </c>
      <c r="F1186" s="2">
        <v>15840000000</v>
      </c>
    </row>
    <row r="1187" spans="1:6">
      <c r="A1187" s="32">
        <v>42060</v>
      </c>
      <c r="B1187" s="42">
        <v>1602.16</v>
      </c>
      <c r="C1187" s="42">
        <v>1603.1</v>
      </c>
      <c r="D1187" s="42">
        <v>1584.12</v>
      </c>
      <c r="E1187" s="42">
        <v>1589.33</v>
      </c>
      <c r="F1187" s="2">
        <v>13570000000</v>
      </c>
    </row>
    <row r="1188" spans="1:6">
      <c r="A1188" s="32">
        <v>42059</v>
      </c>
      <c r="B1188" s="42">
        <v>1597</v>
      </c>
      <c r="C1188" s="42">
        <v>1604.96</v>
      </c>
      <c r="D1188" s="42">
        <v>1595.48</v>
      </c>
      <c r="E1188" s="42">
        <v>1598.66</v>
      </c>
      <c r="F1188" s="2">
        <v>12820000000</v>
      </c>
    </row>
    <row r="1189" spans="1:6">
      <c r="A1189" s="32">
        <v>42058</v>
      </c>
      <c r="B1189" s="42">
        <v>1608.53</v>
      </c>
      <c r="C1189" s="42">
        <v>1610.24</v>
      </c>
      <c r="D1189" s="42">
        <v>1593.48</v>
      </c>
      <c r="E1189" s="42">
        <v>1593.89</v>
      </c>
      <c r="F1189" s="2">
        <v>15780000000</v>
      </c>
    </row>
    <row r="1190" spans="1:6">
      <c r="A1190" s="32">
        <v>42055</v>
      </c>
      <c r="B1190" s="42">
        <v>1604.56</v>
      </c>
      <c r="C1190" s="42">
        <v>1609.15</v>
      </c>
      <c r="D1190" s="42">
        <v>1600.63</v>
      </c>
      <c r="E1190" s="42">
        <v>1603.45</v>
      </c>
      <c r="F1190" s="2">
        <v>11440000000</v>
      </c>
    </row>
    <row r="1191" spans="1:6">
      <c r="A1191" s="32">
        <v>42054</v>
      </c>
      <c r="B1191" s="42">
        <v>1603.22</v>
      </c>
      <c r="C1191" s="42">
        <v>1608</v>
      </c>
      <c r="D1191" s="42">
        <v>1598.18</v>
      </c>
      <c r="E1191" s="42">
        <v>1599.96</v>
      </c>
      <c r="F1191" s="2">
        <v>12520000000</v>
      </c>
    </row>
    <row r="1192" spans="1:6">
      <c r="A1192" s="32">
        <v>42053</v>
      </c>
      <c r="B1192" s="42">
        <v>1590.71</v>
      </c>
      <c r="C1192" s="42">
        <v>1603.7</v>
      </c>
      <c r="D1192" s="42">
        <v>1590.21</v>
      </c>
      <c r="E1192" s="42">
        <v>1603.14</v>
      </c>
      <c r="F1192" s="2">
        <v>18190000000</v>
      </c>
    </row>
    <row r="1193" spans="1:6">
      <c r="A1193" s="32">
        <v>42052</v>
      </c>
      <c r="B1193" s="42">
        <v>1607.32</v>
      </c>
      <c r="C1193" s="42">
        <v>1610.21</v>
      </c>
      <c r="D1193" s="42">
        <v>1587.75</v>
      </c>
      <c r="E1193" s="42">
        <v>1587.75</v>
      </c>
      <c r="F1193" s="2">
        <v>14620000000</v>
      </c>
    </row>
    <row r="1194" spans="1:6">
      <c r="A1194" s="32">
        <v>42051</v>
      </c>
      <c r="B1194" s="42">
        <v>1616.89</v>
      </c>
      <c r="C1194" s="42">
        <v>1619.17</v>
      </c>
      <c r="D1194" s="42">
        <v>1607.83</v>
      </c>
      <c r="E1194" s="42">
        <v>1608.04</v>
      </c>
      <c r="F1194" s="2">
        <v>10870000000</v>
      </c>
    </row>
    <row r="1195" spans="1:6">
      <c r="A1195" s="32">
        <v>42048</v>
      </c>
      <c r="B1195" s="42">
        <v>1616.79</v>
      </c>
      <c r="C1195" s="42">
        <v>1619.65</v>
      </c>
      <c r="D1195" s="42">
        <v>1611.58</v>
      </c>
      <c r="E1195" s="42">
        <v>1615.89</v>
      </c>
      <c r="F1195" s="2">
        <v>11980000000</v>
      </c>
    </row>
    <row r="1196" spans="1:6">
      <c r="A1196" s="32">
        <v>42047</v>
      </c>
      <c r="B1196" s="42">
        <v>1606.06</v>
      </c>
      <c r="C1196" s="42">
        <v>1613.44</v>
      </c>
      <c r="D1196" s="42">
        <v>1598.64</v>
      </c>
      <c r="E1196" s="42">
        <v>1613.4</v>
      </c>
      <c r="F1196" s="2">
        <v>10710000000</v>
      </c>
    </row>
    <row r="1197" spans="1:6">
      <c r="A1197" s="32">
        <v>42046</v>
      </c>
      <c r="B1197" s="42">
        <v>1599.42</v>
      </c>
      <c r="C1197" s="42">
        <v>1605.69</v>
      </c>
      <c r="D1197" s="42">
        <v>1583.93</v>
      </c>
      <c r="E1197" s="42">
        <v>1605.11</v>
      </c>
      <c r="F1197" s="2">
        <v>11620000000</v>
      </c>
    </row>
    <row r="1198" spans="1:6">
      <c r="A1198" s="32">
        <v>42045</v>
      </c>
      <c r="B1198" s="42">
        <v>1600.57</v>
      </c>
      <c r="C1198" s="42">
        <v>1606.69</v>
      </c>
      <c r="D1198" s="42">
        <v>1592.59</v>
      </c>
      <c r="E1198" s="42">
        <v>1594.96</v>
      </c>
      <c r="F1198" s="2">
        <v>13260000000</v>
      </c>
    </row>
    <row r="1199" spans="1:6">
      <c r="A1199" s="32">
        <v>42044</v>
      </c>
      <c r="B1199" s="42">
        <v>1609.78</v>
      </c>
      <c r="C1199" s="42">
        <v>1614.97</v>
      </c>
      <c r="D1199" s="42">
        <v>1601.77</v>
      </c>
      <c r="E1199" s="42">
        <v>1601.77</v>
      </c>
      <c r="F1199" s="2">
        <v>14940000000</v>
      </c>
    </row>
    <row r="1200" spans="1:6">
      <c r="A1200" s="32">
        <v>42041</v>
      </c>
      <c r="B1200" s="42">
        <v>1614.47</v>
      </c>
      <c r="C1200" s="42">
        <v>1615.78</v>
      </c>
      <c r="D1200" s="42">
        <v>1609.07</v>
      </c>
      <c r="E1200" s="42">
        <v>1613.63</v>
      </c>
      <c r="F1200" s="2">
        <v>10770000000</v>
      </c>
    </row>
    <row r="1201" spans="1:6">
      <c r="A1201" s="32">
        <v>42040</v>
      </c>
      <c r="B1201" s="42">
        <v>1595.06</v>
      </c>
      <c r="C1201" s="42">
        <v>1607.92</v>
      </c>
      <c r="D1201" s="42">
        <v>1588.06</v>
      </c>
      <c r="E1201" s="42">
        <v>1607.92</v>
      </c>
      <c r="F1201" s="2">
        <v>10840000000</v>
      </c>
    </row>
    <row r="1202" spans="1:6">
      <c r="A1202" s="32">
        <v>42039</v>
      </c>
      <c r="B1202" s="42">
        <v>1616.41</v>
      </c>
      <c r="C1202" s="42">
        <v>1619.77</v>
      </c>
      <c r="D1202" s="42">
        <v>1599.81</v>
      </c>
      <c r="E1202" s="42">
        <v>1599.81</v>
      </c>
      <c r="F1202" s="2">
        <v>13780000000</v>
      </c>
    </row>
    <row r="1203" spans="1:6">
      <c r="A1203" s="32">
        <v>42038</v>
      </c>
      <c r="B1203" s="42">
        <v>1592.08</v>
      </c>
      <c r="C1203" s="42">
        <v>1604.84</v>
      </c>
      <c r="D1203" s="42">
        <v>1591.85</v>
      </c>
      <c r="E1203" s="42">
        <v>1602.54</v>
      </c>
      <c r="F1203" s="2">
        <v>17020000000</v>
      </c>
    </row>
    <row r="1204" spans="1:6">
      <c r="A1204" s="32">
        <v>42037</v>
      </c>
      <c r="B1204" s="42">
        <v>1577.65</v>
      </c>
      <c r="C1204" s="42">
        <v>1583.99</v>
      </c>
      <c r="D1204" s="42">
        <v>1571.69</v>
      </c>
      <c r="E1204" s="42">
        <v>1582.7</v>
      </c>
      <c r="F1204" s="2">
        <v>20480000000</v>
      </c>
    </row>
    <row r="1205" spans="1:6">
      <c r="A1205" s="32">
        <v>42034</v>
      </c>
      <c r="B1205" s="42">
        <v>1591.54</v>
      </c>
      <c r="C1205" s="42">
        <v>1592.83</v>
      </c>
      <c r="D1205" s="42">
        <v>1581.01</v>
      </c>
      <c r="E1205" s="42">
        <v>1581.25</v>
      </c>
      <c r="F1205" s="2">
        <v>12630000000</v>
      </c>
    </row>
    <row r="1206" spans="1:6">
      <c r="A1206" s="32">
        <v>42033</v>
      </c>
      <c r="B1206" s="42">
        <v>1591.94</v>
      </c>
      <c r="C1206" s="42">
        <v>1599.49</v>
      </c>
      <c r="D1206" s="42">
        <v>1582.36</v>
      </c>
      <c r="E1206" s="42">
        <v>1586.4</v>
      </c>
      <c r="F1206" s="2">
        <v>20480000000</v>
      </c>
    </row>
    <row r="1207" spans="1:6">
      <c r="A1207" s="32">
        <v>42032</v>
      </c>
      <c r="B1207" s="42">
        <v>1594.5</v>
      </c>
      <c r="C1207" s="42">
        <v>1603.12</v>
      </c>
      <c r="D1207" s="42">
        <v>1582.66</v>
      </c>
      <c r="E1207" s="42">
        <v>1592.81</v>
      </c>
      <c r="F1207" s="2">
        <v>15500000000</v>
      </c>
    </row>
    <row r="1208" spans="1:6">
      <c r="A1208" s="32">
        <v>42031</v>
      </c>
      <c r="B1208" s="42">
        <v>1589.44</v>
      </c>
      <c r="C1208" s="42">
        <v>1605.67</v>
      </c>
      <c r="D1208" s="42">
        <v>1586.94</v>
      </c>
      <c r="E1208" s="42">
        <v>1589.81</v>
      </c>
      <c r="F1208" s="2">
        <v>13410000000</v>
      </c>
    </row>
    <row r="1209" spans="1:6">
      <c r="A1209" s="32">
        <v>42030</v>
      </c>
      <c r="B1209" s="42">
        <v>1602.13</v>
      </c>
      <c r="C1209" s="42">
        <v>1610.78</v>
      </c>
      <c r="D1209" s="42">
        <v>1588.04</v>
      </c>
      <c r="E1209" s="42">
        <v>1588.31</v>
      </c>
      <c r="F1209" s="2">
        <v>12420000000</v>
      </c>
    </row>
    <row r="1210" spans="1:6">
      <c r="A1210" s="32">
        <v>42027</v>
      </c>
      <c r="B1210" s="42">
        <v>1570.81</v>
      </c>
      <c r="C1210" s="42">
        <v>1601.05</v>
      </c>
      <c r="D1210" s="42">
        <v>1569.52</v>
      </c>
      <c r="E1210" s="42">
        <v>1598.33</v>
      </c>
      <c r="F1210" s="2">
        <v>14420000000</v>
      </c>
    </row>
    <row r="1211" spans="1:6">
      <c r="A1211" s="32">
        <v>42026</v>
      </c>
      <c r="B1211" s="42">
        <v>1546.76</v>
      </c>
      <c r="C1211" s="42">
        <v>1561.3</v>
      </c>
      <c r="D1211" s="42">
        <v>1543.67</v>
      </c>
      <c r="E1211" s="42">
        <v>1560.34</v>
      </c>
      <c r="F1211" s="2">
        <v>14020000000</v>
      </c>
    </row>
    <row r="1212" spans="1:6">
      <c r="A1212" s="32">
        <v>42025</v>
      </c>
      <c r="B1212" s="42">
        <v>1538.31</v>
      </c>
      <c r="C1212" s="42">
        <v>1540.08</v>
      </c>
      <c r="D1212" s="42">
        <v>1530.83</v>
      </c>
      <c r="E1212" s="42">
        <v>1537.36</v>
      </c>
      <c r="F1212" s="2">
        <v>12520000000</v>
      </c>
    </row>
    <row r="1213" spans="1:6">
      <c r="A1213" s="32">
        <v>42024</v>
      </c>
      <c r="B1213" s="42">
        <v>1539.46</v>
      </c>
      <c r="C1213" s="42">
        <v>1542.6</v>
      </c>
      <c r="D1213" s="42">
        <v>1531.55</v>
      </c>
      <c r="E1213" s="42">
        <v>1535.09</v>
      </c>
      <c r="F1213" s="2">
        <v>12450000000</v>
      </c>
    </row>
    <row r="1214" spans="1:6">
      <c r="A1214" s="32">
        <v>42023</v>
      </c>
      <c r="B1214" s="42">
        <v>1528.03</v>
      </c>
      <c r="C1214" s="42">
        <v>1536.14</v>
      </c>
      <c r="D1214" s="42">
        <v>1524.62</v>
      </c>
      <c r="E1214" s="42">
        <v>1535.37</v>
      </c>
      <c r="F1214" s="2">
        <v>9190000000</v>
      </c>
    </row>
    <row r="1215" spans="1:6">
      <c r="A1215" s="32">
        <v>42020</v>
      </c>
      <c r="B1215" s="42">
        <v>1515.71</v>
      </c>
      <c r="C1215" s="42">
        <v>1525.65</v>
      </c>
      <c r="D1215" s="42">
        <v>1514.83</v>
      </c>
      <c r="E1215" s="42">
        <v>1517.74</v>
      </c>
      <c r="F1215" s="2">
        <v>9610000000</v>
      </c>
    </row>
    <row r="1216" spans="1:6">
      <c r="A1216" s="32">
        <v>42019</v>
      </c>
      <c r="B1216" s="42">
        <v>1528.83</v>
      </c>
      <c r="C1216" s="42">
        <v>1535.56</v>
      </c>
      <c r="D1216" s="42">
        <v>1521.01</v>
      </c>
      <c r="E1216" s="42">
        <v>1523.38</v>
      </c>
      <c r="F1216" s="2">
        <v>9330000000</v>
      </c>
    </row>
    <row r="1217" spans="1:6">
      <c r="A1217" s="32">
        <v>42018</v>
      </c>
      <c r="B1217" s="42">
        <v>1539.58</v>
      </c>
      <c r="C1217" s="42">
        <v>1548.24</v>
      </c>
      <c r="D1217" s="42">
        <v>1521.81</v>
      </c>
      <c r="E1217" s="42">
        <v>1523.24</v>
      </c>
      <c r="F1217" s="2">
        <v>18590000000</v>
      </c>
    </row>
    <row r="1218" spans="1:6">
      <c r="A1218" s="32">
        <v>42017</v>
      </c>
      <c r="B1218" s="42">
        <v>1520.71</v>
      </c>
      <c r="C1218" s="42">
        <v>1537.08</v>
      </c>
      <c r="D1218" s="42">
        <v>1515.08</v>
      </c>
      <c r="E1218" s="42">
        <v>1534.97</v>
      </c>
      <c r="F1218" s="2">
        <v>12730000000</v>
      </c>
    </row>
    <row r="1219" spans="1:6">
      <c r="A1219" s="32">
        <v>42016</v>
      </c>
      <c r="B1219" s="42">
        <v>1527.42</v>
      </c>
      <c r="C1219" s="42">
        <v>1538.93</v>
      </c>
      <c r="D1219" s="42">
        <v>1522.17</v>
      </c>
      <c r="E1219" s="42">
        <v>1531.21</v>
      </c>
      <c r="F1219" s="2">
        <v>11350000000</v>
      </c>
    </row>
    <row r="1220" spans="1:6">
      <c r="A1220" s="32">
        <v>42013</v>
      </c>
      <c r="B1220" s="42">
        <v>1529.5</v>
      </c>
      <c r="C1220" s="42">
        <v>1531.21</v>
      </c>
      <c r="D1220" s="42">
        <v>1522.75</v>
      </c>
      <c r="E1220" s="42">
        <v>1529.42</v>
      </c>
      <c r="F1220" s="2">
        <v>32280000000</v>
      </c>
    </row>
    <row r="1221" spans="1:6">
      <c r="A1221" s="32">
        <v>42012</v>
      </c>
      <c r="B1221" s="42">
        <v>1514.9</v>
      </c>
      <c r="C1221" s="42">
        <v>1523.32</v>
      </c>
      <c r="D1221" s="42">
        <v>1514.18</v>
      </c>
      <c r="E1221" s="42">
        <v>1521.62</v>
      </c>
      <c r="F1221" s="2">
        <v>18000000000</v>
      </c>
    </row>
    <row r="1222" spans="1:6">
      <c r="A1222" s="32">
        <v>42011</v>
      </c>
      <c r="B1222" s="42">
        <v>1478.84</v>
      </c>
      <c r="C1222" s="42">
        <v>1500.83</v>
      </c>
      <c r="D1222" s="42">
        <v>1478.26</v>
      </c>
      <c r="E1222" s="42">
        <v>1500.75</v>
      </c>
      <c r="F1222" s="2">
        <v>12400000000</v>
      </c>
    </row>
    <row r="1223" spans="1:6">
      <c r="A1223" s="32">
        <v>42010</v>
      </c>
      <c r="B1223" s="42">
        <v>1467.97</v>
      </c>
      <c r="C1223" s="42">
        <v>1478.35</v>
      </c>
      <c r="D1223" s="42">
        <v>1459.22</v>
      </c>
      <c r="E1223" s="42">
        <v>1477.58</v>
      </c>
      <c r="F1223" s="2">
        <v>31340000000</v>
      </c>
    </row>
    <row r="1224" spans="1:6">
      <c r="A1224" s="32">
        <v>42009</v>
      </c>
      <c r="B1224" s="42">
        <v>1499.7</v>
      </c>
      <c r="C1224" s="42">
        <v>1502.1</v>
      </c>
      <c r="D1224" s="42">
        <v>1482.87</v>
      </c>
      <c r="E1224" s="42">
        <v>1483.25</v>
      </c>
      <c r="F1224" s="2">
        <v>7130000000</v>
      </c>
    </row>
    <row r="1225" spans="1:6">
      <c r="A1225" s="32">
        <v>42003</v>
      </c>
      <c r="B1225" s="42">
        <v>1496.89</v>
      </c>
      <c r="C1225" s="42">
        <v>1499.89</v>
      </c>
      <c r="D1225" s="42">
        <v>1486.3</v>
      </c>
      <c r="E1225" s="42">
        <v>1497.67</v>
      </c>
      <c r="F1225" s="2">
        <v>5880000000</v>
      </c>
    </row>
    <row r="1226" spans="1:6">
      <c r="A1226" s="32">
        <v>42002</v>
      </c>
      <c r="B1226" s="42">
        <v>1515.49</v>
      </c>
      <c r="C1226" s="42">
        <v>1516.17</v>
      </c>
      <c r="D1226" s="42">
        <v>1493.39</v>
      </c>
      <c r="E1226" s="42">
        <v>1498.22</v>
      </c>
      <c r="F1226" s="2">
        <v>7400000000</v>
      </c>
    </row>
    <row r="1227" spans="1:6">
      <c r="A1227" s="32">
        <v>41999</v>
      </c>
      <c r="B1227" s="42">
        <v>1503.49</v>
      </c>
      <c r="C1227" s="42">
        <v>1512.03</v>
      </c>
      <c r="D1227" s="42">
        <v>1493.4</v>
      </c>
      <c r="E1227" s="42">
        <v>1510.41</v>
      </c>
      <c r="F1227" s="2">
        <v>15010000000</v>
      </c>
    </row>
    <row r="1228" spans="1:6">
      <c r="A1228" s="32">
        <v>41998</v>
      </c>
      <c r="B1228" s="42">
        <v>1517.54</v>
      </c>
      <c r="C1228" s="42">
        <v>1517.99</v>
      </c>
      <c r="D1228" s="42">
        <v>1496.2</v>
      </c>
      <c r="E1228" s="42">
        <v>1504.89</v>
      </c>
      <c r="F1228" s="2">
        <v>9510000000</v>
      </c>
    </row>
    <row r="1229" spans="1:6">
      <c r="A1229" s="32">
        <v>41997</v>
      </c>
      <c r="B1229" s="42">
        <v>1536.24</v>
      </c>
      <c r="C1229" s="42">
        <v>1538.47</v>
      </c>
      <c r="D1229" s="42">
        <v>1524.87</v>
      </c>
      <c r="E1229" s="42">
        <v>1525.06</v>
      </c>
      <c r="F1229" s="2">
        <v>10270000000</v>
      </c>
    </row>
    <row r="1230" spans="1:6">
      <c r="A1230" s="32">
        <v>41996</v>
      </c>
      <c r="B1230" s="42">
        <v>1535.22</v>
      </c>
      <c r="C1230" s="42">
        <v>1539.23</v>
      </c>
      <c r="D1230" s="42">
        <v>1525.35</v>
      </c>
      <c r="E1230" s="42">
        <v>1531.17</v>
      </c>
      <c r="F1230" s="2">
        <v>11040000000</v>
      </c>
    </row>
    <row r="1231" spans="1:6">
      <c r="A1231" s="32">
        <v>41995</v>
      </c>
      <c r="B1231" s="42">
        <v>1522.49</v>
      </c>
      <c r="C1231" s="42">
        <v>1536.83</v>
      </c>
      <c r="D1231" s="42">
        <v>1519.73</v>
      </c>
      <c r="E1231" s="42">
        <v>1536.83</v>
      </c>
      <c r="F1231" s="2">
        <v>10050000000</v>
      </c>
    </row>
    <row r="1232" spans="1:6">
      <c r="A1232" s="32">
        <v>41992</v>
      </c>
      <c r="B1232" s="42">
        <v>1527.08</v>
      </c>
      <c r="C1232" s="42">
        <v>1528.05</v>
      </c>
      <c r="D1232" s="42">
        <v>1505.1</v>
      </c>
      <c r="E1232" s="42">
        <v>1514.35</v>
      </c>
      <c r="F1232" s="2">
        <v>13090000000</v>
      </c>
    </row>
    <row r="1233" spans="1:6">
      <c r="A1233" s="32">
        <v>41991</v>
      </c>
      <c r="B1233" s="42">
        <v>1504.72</v>
      </c>
      <c r="C1233" s="42">
        <v>1516.79</v>
      </c>
      <c r="D1233" s="42">
        <v>1501.08</v>
      </c>
      <c r="E1233" s="42">
        <v>1516.79</v>
      </c>
      <c r="F1233" s="2">
        <v>15670000000</v>
      </c>
    </row>
    <row r="1234" spans="1:6">
      <c r="A1234" s="32">
        <v>41990</v>
      </c>
      <c r="B1234" s="42">
        <v>1464.64</v>
      </c>
      <c r="C1234" s="42">
        <v>1487.48</v>
      </c>
      <c r="D1234" s="42">
        <v>1461.33</v>
      </c>
      <c r="E1234" s="42">
        <v>1480.2</v>
      </c>
      <c r="F1234" s="2">
        <v>15020000000</v>
      </c>
    </row>
    <row r="1235" spans="1:6">
      <c r="A1235" s="32">
        <v>41989</v>
      </c>
      <c r="B1235" s="42">
        <v>1442.82</v>
      </c>
      <c r="C1235" s="42">
        <v>1476.34</v>
      </c>
      <c r="D1235" s="42">
        <v>1422.63</v>
      </c>
      <c r="E1235" s="42">
        <v>1461.74</v>
      </c>
      <c r="F1235" s="2">
        <v>18990000000</v>
      </c>
    </row>
    <row r="1236" spans="1:6">
      <c r="A1236" s="32">
        <v>41988</v>
      </c>
      <c r="B1236" s="42">
        <v>1490.44</v>
      </c>
      <c r="C1236" s="42">
        <v>1494.1</v>
      </c>
      <c r="D1236" s="42">
        <v>1375.99</v>
      </c>
      <c r="E1236" s="42">
        <v>1478.49</v>
      </c>
      <c r="F1236" s="2">
        <v>50630000000</v>
      </c>
    </row>
    <row r="1237" spans="1:6">
      <c r="A1237" s="32">
        <v>41985</v>
      </c>
      <c r="B1237" s="42">
        <v>1523.53</v>
      </c>
      <c r="C1237" s="42">
        <v>1530.74</v>
      </c>
      <c r="D1237" s="42">
        <v>1513.39</v>
      </c>
      <c r="E1237" s="42">
        <v>1514.95</v>
      </c>
      <c r="F1237" s="2">
        <v>16030000000</v>
      </c>
    </row>
    <row r="1238" spans="1:6">
      <c r="A1238" s="32">
        <v>41984</v>
      </c>
      <c r="B1238" s="42">
        <v>1546.18</v>
      </c>
      <c r="C1238" s="42">
        <v>1548.11</v>
      </c>
      <c r="D1238" s="42">
        <v>1508.24</v>
      </c>
      <c r="E1238" s="42">
        <v>1526.81</v>
      </c>
      <c r="F1238" s="2">
        <v>21680000000</v>
      </c>
    </row>
    <row r="1239" spans="1:6">
      <c r="A1239" s="32">
        <v>41982</v>
      </c>
      <c r="B1239" s="42">
        <v>1573.89</v>
      </c>
      <c r="C1239" s="42">
        <v>1576.11</v>
      </c>
      <c r="D1239" s="42">
        <v>1556.5</v>
      </c>
      <c r="E1239" s="42">
        <v>1559.56</v>
      </c>
      <c r="F1239" s="2">
        <v>14990000000</v>
      </c>
    </row>
    <row r="1240" spans="1:6">
      <c r="A1240" s="32">
        <v>41981</v>
      </c>
      <c r="B1240" s="42">
        <v>1600.99</v>
      </c>
      <c r="C1240" s="42">
        <v>1603.89</v>
      </c>
      <c r="D1240" s="42">
        <v>1573.49</v>
      </c>
      <c r="E1240" s="42">
        <v>1575.55</v>
      </c>
      <c r="F1240" s="2">
        <v>15720000000</v>
      </c>
    </row>
    <row r="1241" spans="1:6">
      <c r="A1241" s="32">
        <v>41977</v>
      </c>
      <c r="B1241" s="42">
        <v>1597.03</v>
      </c>
      <c r="C1241" s="42">
        <v>1599.77</v>
      </c>
      <c r="D1241" s="42">
        <v>1592.76</v>
      </c>
      <c r="E1241" s="42">
        <v>1597.76</v>
      </c>
      <c r="F1241" s="2">
        <v>11900000000</v>
      </c>
    </row>
    <row r="1242" spans="1:6">
      <c r="A1242" s="32">
        <v>41976</v>
      </c>
      <c r="B1242" s="42">
        <v>1597.33</v>
      </c>
      <c r="C1242" s="42">
        <v>1600.29</v>
      </c>
      <c r="D1242" s="42">
        <v>1589.04</v>
      </c>
      <c r="E1242" s="42">
        <v>1594.58</v>
      </c>
      <c r="F1242" s="2">
        <v>12100000000</v>
      </c>
    </row>
    <row r="1243" spans="1:6">
      <c r="A1243" s="32">
        <v>41975</v>
      </c>
      <c r="B1243" s="42">
        <v>1596.71</v>
      </c>
      <c r="C1243" s="42">
        <v>1598.93</v>
      </c>
      <c r="D1243" s="42">
        <v>1586.23</v>
      </c>
      <c r="E1243" s="42">
        <v>1594</v>
      </c>
      <c r="F1243" s="2">
        <v>12720000000</v>
      </c>
    </row>
    <row r="1244" spans="1:6">
      <c r="A1244" s="32">
        <v>41974</v>
      </c>
      <c r="B1244" s="42">
        <v>1590.89</v>
      </c>
      <c r="C1244" s="42">
        <v>1598.05</v>
      </c>
      <c r="D1244" s="42">
        <v>1586.37</v>
      </c>
      <c r="E1244" s="42">
        <v>1593.82</v>
      </c>
      <c r="F1244" s="2">
        <v>35810000000</v>
      </c>
    </row>
    <row r="1245" spans="1:6">
      <c r="A1245" s="32">
        <v>41971</v>
      </c>
      <c r="B1245" s="42">
        <v>1596.49</v>
      </c>
      <c r="C1245" s="42">
        <v>1600.65</v>
      </c>
      <c r="D1245" s="42">
        <v>1591.71</v>
      </c>
      <c r="E1245" s="42">
        <v>1593.91</v>
      </c>
      <c r="F1245" s="2">
        <v>24360000000</v>
      </c>
    </row>
    <row r="1246" spans="1:6">
      <c r="A1246" s="32">
        <v>41970</v>
      </c>
      <c r="B1246" s="42">
        <v>1593.41</v>
      </c>
      <c r="C1246" s="42">
        <v>1602.28</v>
      </c>
      <c r="D1246" s="42">
        <v>1593</v>
      </c>
      <c r="E1246" s="42">
        <v>1599.82</v>
      </c>
      <c r="F1246" s="2">
        <v>18620000000</v>
      </c>
    </row>
    <row r="1247" spans="1:6">
      <c r="A1247" s="32">
        <v>41969</v>
      </c>
      <c r="B1247" s="42">
        <v>1596.29</v>
      </c>
      <c r="C1247" s="42">
        <v>1599.73</v>
      </c>
      <c r="D1247" s="42">
        <v>1589.65</v>
      </c>
      <c r="E1247" s="42">
        <v>1591</v>
      </c>
      <c r="F1247" s="2">
        <v>25590000000</v>
      </c>
    </row>
    <row r="1248" spans="1:6">
      <c r="A1248" s="32">
        <v>41968</v>
      </c>
      <c r="B1248" s="42">
        <v>1591.23</v>
      </c>
      <c r="C1248" s="42">
        <v>1596.82</v>
      </c>
      <c r="D1248" s="42">
        <v>1585.29</v>
      </c>
      <c r="E1248" s="42">
        <v>1596.8</v>
      </c>
      <c r="F1248" s="2">
        <v>14070000000</v>
      </c>
    </row>
    <row r="1249" spans="1:6">
      <c r="A1249" s="32">
        <v>41967</v>
      </c>
      <c r="B1249" s="42">
        <v>1587.35</v>
      </c>
      <c r="C1249" s="42">
        <v>1592.2</v>
      </c>
      <c r="D1249" s="42">
        <v>1584.54</v>
      </c>
      <c r="E1249" s="42">
        <v>1590.14</v>
      </c>
      <c r="F1249" s="2">
        <v>15810000000</v>
      </c>
    </row>
    <row r="1250" spans="1:6">
      <c r="A1250" s="32">
        <v>41964</v>
      </c>
      <c r="B1250" s="42">
        <v>1568.56</v>
      </c>
      <c r="C1250" s="42">
        <v>1581.12</v>
      </c>
      <c r="D1250" s="42">
        <v>1567.32</v>
      </c>
      <c r="E1250" s="42">
        <v>1579.2</v>
      </c>
      <c r="F1250" s="2">
        <v>14420000000</v>
      </c>
    </row>
    <row r="1251" spans="1:6">
      <c r="A1251" s="32">
        <v>41963</v>
      </c>
      <c r="B1251" s="42">
        <v>1579.51</v>
      </c>
      <c r="C1251" s="42">
        <v>1580.33</v>
      </c>
      <c r="D1251" s="42">
        <v>1567.31</v>
      </c>
      <c r="E1251" s="42">
        <v>1568.68</v>
      </c>
      <c r="F1251" s="2">
        <v>13080000000</v>
      </c>
    </row>
    <row r="1252" spans="1:6">
      <c r="A1252" s="32">
        <v>41962</v>
      </c>
      <c r="B1252" s="42">
        <v>1585.14</v>
      </c>
      <c r="C1252" s="42">
        <v>1586.02</v>
      </c>
      <c r="D1252" s="42">
        <v>1576.21</v>
      </c>
      <c r="E1252" s="42">
        <v>1577.55</v>
      </c>
      <c r="F1252" s="2">
        <v>12310000000</v>
      </c>
    </row>
    <row r="1253" spans="1:6">
      <c r="A1253" s="32">
        <v>41961</v>
      </c>
      <c r="B1253" s="42">
        <v>1571.81</v>
      </c>
      <c r="C1253" s="42">
        <v>1587.13</v>
      </c>
      <c r="D1253" s="42">
        <v>1571.37</v>
      </c>
      <c r="E1253" s="42">
        <v>1581.27</v>
      </c>
      <c r="F1253" s="2">
        <v>16840000000</v>
      </c>
    </row>
    <row r="1254" spans="1:6">
      <c r="A1254" s="32">
        <v>41960</v>
      </c>
      <c r="B1254" s="42">
        <v>1576.41</v>
      </c>
      <c r="C1254" s="42">
        <v>1577.63</v>
      </c>
      <c r="D1254" s="42">
        <v>1568.7</v>
      </c>
      <c r="E1254" s="42">
        <v>1569.07</v>
      </c>
      <c r="F1254" s="2">
        <v>15680000000</v>
      </c>
    </row>
    <row r="1255" spans="1:6">
      <c r="A1255" s="32">
        <v>41957</v>
      </c>
      <c r="B1255" s="42">
        <v>1580.41</v>
      </c>
      <c r="C1255" s="42">
        <v>1580.92</v>
      </c>
      <c r="D1255" s="42">
        <v>1572.87</v>
      </c>
      <c r="E1255" s="42">
        <v>1575.88</v>
      </c>
      <c r="F1255" s="2">
        <v>15610000000</v>
      </c>
    </row>
    <row r="1256" spans="1:6">
      <c r="A1256" s="32">
        <v>41956</v>
      </c>
      <c r="B1256" s="42">
        <v>1561.89</v>
      </c>
      <c r="C1256" s="42">
        <v>1577.21</v>
      </c>
      <c r="D1256" s="42">
        <v>1555.75</v>
      </c>
      <c r="E1256" s="42">
        <v>1577.21</v>
      </c>
      <c r="F1256" s="2">
        <v>20100000000</v>
      </c>
    </row>
    <row r="1257" spans="1:6">
      <c r="A1257" s="32">
        <v>41955</v>
      </c>
      <c r="B1257" s="42">
        <v>1572.45</v>
      </c>
      <c r="C1257" s="42">
        <v>1575.15</v>
      </c>
      <c r="D1257" s="42">
        <v>1559.09</v>
      </c>
      <c r="E1257" s="42">
        <v>1562.03</v>
      </c>
      <c r="F1257" s="2">
        <v>22260000000</v>
      </c>
    </row>
    <row r="1258" spans="1:6">
      <c r="A1258" s="32">
        <v>41954</v>
      </c>
      <c r="B1258" s="42">
        <v>1569</v>
      </c>
      <c r="C1258" s="42">
        <v>1576.52</v>
      </c>
      <c r="D1258" s="42">
        <v>1563.58</v>
      </c>
      <c r="E1258" s="42">
        <v>1571.2</v>
      </c>
      <c r="F1258" s="2">
        <v>24040000000</v>
      </c>
    </row>
    <row r="1259" spans="1:6">
      <c r="A1259" s="32">
        <v>41953</v>
      </c>
      <c r="B1259" s="42">
        <v>1581.77</v>
      </c>
      <c r="C1259" s="42">
        <v>1582.33</v>
      </c>
      <c r="D1259" s="42">
        <v>1567.14</v>
      </c>
      <c r="E1259" s="42">
        <v>1567.34</v>
      </c>
      <c r="F1259" s="2">
        <v>20410000000</v>
      </c>
    </row>
    <row r="1260" spans="1:6">
      <c r="A1260" s="32">
        <v>41950</v>
      </c>
      <c r="B1260" s="42">
        <v>1585.1</v>
      </c>
      <c r="C1260" s="42">
        <v>1586.32</v>
      </c>
      <c r="D1260" s="42">
        <v>1574.49</v>
      </c>
      <c r="E1260" s="42">
        <v>1578.37</v>
      </c>
      <c r="F1260" s="2">
        <v>21400000000</v>
      </c>
    </row>
    <row r="1261" spans="1:6">
      <c r="A1261" s="32">
        <v>41949</v>
      </c>
      <c r="B1261" s="42">
        <v>1581.32</v>
      </c>
      <c r="C1261" s="42">
        <v>1585.98</v>
      </c>
      <c r="D1261" s="42">
        <v>1576.05</v>
      </c>
      <c r="E1261" s="42">
        <v>1580.77</v>
      </c>
      <c r="F1261" s="2">
        <v>19640000000</v>
      </c>
    </row>
    <row r="1262" spans="1:6">
      <c r="A1262" s="32">
        <v>41948</v>
      </c>
      <c r="B1262" s="42">
        <v>1585.84</v>
      </c>
      <c r="C1262" s="42">
        <v>1587.83</v>
      </c>
      <c r="D1262" s="42">
        <v>1572.77</v>
      </c>
      <c r="E1262" s="42">
        <v>1577.4</v>
      </c>
      <c r="F1262" s="2">
        <v>32780000000</v>
      </c>
    </row>
    <row r="1263" spans="1:6">
      <c r="A1263" s="32">
        <v>41947</v>
      </c>
      <c r="B1263" s="42">
        <v>1583.55</v>
      </c>
      <c r="C1263" s="42">
        <v>1585.46</v>
      </c>
      <c r="D1263" s="42">
        <v>1576.62</v>
      </c>
      <c r="E1263" s="42">
        <v>1585.15</v>
      </c>
      <c r="F1263" s="2">
        <v>26140000000</v>
      </c>
    </row>
    <row r="1264" spans="1:6">
      <c r="A1264" s="32">
        <v>41946</v>
      </c>
      <c r="B1264" s="42">
        <v>1591.02</v>
      </c>
      <c r="C1264" s="42">
        <v>1591.15</v>
      </c>
      <c r="D1264" s="42">
        <v>1576.37</v>
      </c>
      <c r="E1264" s="42">
        <v>1579.18</v>
      </c>
      <c r="F1264" s="2">
        <v>28420000000</v>
      </c>
    </row>
    <row r="1265" spans="1:6">
      <c r="A1265" s="32">
        <v>41943</v>
      </c>
      <c r="B1265" s="42">
        <v>1570.97</v>
      </c>
      <c r="C1265" s="42">
        <v>1584.35</v>
      </c>
      <c r="D1265" s="42">
        <v>1567.27</v>
      </c>
      <c r="E1265" s="42">
        <v>1584.16</v>
      </c>
      <c r="F1265" s="2">
        <v>22630000000</v>
      </c>
    </row>
    <row r="1266" spans="1:6">
      <c r="A1266" s="32">
        <v>41942</v>
      </c>
      <c r="B1266" s="42">
        <v>1565.86</v>
      </c>
      <c r="C1266" s="42">
        <v>1570.06</v>
      </c>
      <c r="D1266" s="42">
        <v>1559.96</v>
      </c>
      <c r="E1266" s="42">
        <v>1565.35</v>
      </c>
      <c r="F1266" s="2">
        <v>34890000000</v>
      </c>
    </row>
    <row r="1267" spans="1:6">
      <c r="A1267" s="32">
        <v>41941</v>
      </c>
      <c r="B1267" s="42">
        <v>1564.51</v>
      </c>
      <c r="C1267" s="42">
        <v>1570.13</v>
      </c>
      <c r="D1267" s="42">
        <v>1560.96</v>
      </c>
      <c r="E1267" s="42">
        <v>1562.67</v>
      </c>
      <c r="F1267" s="2">
        <v>41550000000</v>
      </c>
    </row>
    <row r="1268" spans="1:6">
      <c r="A1268" s="32">
        <v>41940</v>
      </c>
      <c r="B1268" s="42">
        <v>1549.06</v>
      </c>
      <c r="C1268" s="42">
        <v>1557.18</v>
      </c>
      <c r="D1268" s="42">
        <v>1545.83</v>
      </c>
      <c r="E1268" s="42">
        <v>1556.53</v>
      </c>
      <c r="F1268" s="2">
        <v>28710000000</v>
      </c>
    </row>
    <row r="1269" spans="1:6">
      <c r="A1269" s="32">
        <v>41939</v>
      </c>
      <c r="B1269" s="42">
        <v>1542.69</v>
      </c>
      <c r="C1269" s="42">
        <v>1548.04</v>
      </c>
      <c r="D1269" s="42">
        <v>1538.01</v>
      </c>
      <c r="E1269" s="42">
        <v>1547.89</v>
      </c>
      <c r="F1269" s="2">
        <v>26760000000</v>
      </c>
    </row>
    <row r="1270" spans="1:6">
      <c r="A1270" s="32">
        <v>41936</v>
      </c>
      <c r="B1270" s="42">
        <v>1537.99</v>
      </c>
      <c r="C1270" s="42">
        <v>1540.92</v>
      </c>
      <c r="D1270" s="42">
        <v>1534.81</v>
      </c>
      <c r="E1270" s="42">
        <v>1539.91</v>
      </c>
      <c r="F1270" s="2">
        <v>12780000000</v>
      </c>
    </row>
    <row r="1271" spans="1:6">
      <c r="A1271" s="32">
        <v>41934</v>
      </c>
      <c r="B1271" s="42">
        <v>1534.03</v>
      </c>
      <c r="C1271" s="42">
        <v>1535.38</v>
      </c>
      <c r="D1271" s="42">
        <v>1523.89</v>
      </c>
      <c r="E1271" s="42">
        <v>1532.72</v>
      </c>
      <c r="F1271" s="2">
        <v>18400000000</v>
      </c>
    </row>
    <row r="1272" spans="1:6">
      <c r="A1272" s="32">
        <v>41933</v>
      </c>
      <c r="B1272" s="42">
        <v>1529.73</v>
      </c>
      <c r="C1272" s="42">
        <v>1530.84</v>
      </c>
      <c r="D1272" s="42">
        <v>1520.89</v>
      </c>
      <c r="E1272" s="42">
        <v>1526.14</v>
      </c>
      <c r="F1272" s="2">
        <v>15650000000</v>
      </c>
    </row>
    <row r="1273" spans="1:6">
      <c r="A1273" s="32">
        <v>41932</v>
      </c>
      <c r="B1273" s="42">
        <v>1541.1</v>
      </c>
      <c r="C1273" s="42">
        <v>1542.6</v>
      </c>
      <c r="D1273" s="42">
        <v>1525.77</v>
      </c>
      <c r="E1273" s="42">
        <v>1526.67</v>
      </c>
      <c r="F1273" s="2">
        <v>11720000000</v>
      </c>
    </row>
    <row r="1274" spans="1:6">
      <c r="A1274" s="32">
        <v>41929</v>
      </c>
      <c r="B1274" s="42">
        <v>1529.36</v>
      </c>
      <c r="C1274" s="42">
        <v>1532.26</v>
      </c>
      <c r="D1274" s="42">
        <v>1519.76</v>
      </c>
      <c r="E1274" s="42">
        <v>1528.71</v>
      </c>
      <c r="F1274" s="2">
        <v>12130000000</v>
      </c>
    </row>
    <row r="1275" spans="1:6">
      <c r="A1275" s="32">
        <v>41928</v>
      </c>
      <c r="B1275" s="42">
        <v>1540.9</v>
      </c>
      <c r="C1275" s="42">
        <v>1544.27</v>
      </c>
      <c r="D1275" s="42">
        <v>1526.12</v>
      </c>
      <c r="E1275" s="42">
        <v>1526.15</v>
      </c>
      <c r="F1275" s="2">
        <v>22250000000</v>
      </c>
    </row>
    <row r="1276" spans="1:6">
      <c r="A1276" s="32">
        <v>41927</v>
      </c>
      <c r="B1276" s="42">
        <v>1550.69</v>
      </c>
      <c r="C1276" s="42">
        <v>1556.47</v>
      </c>
      <c r="D1276" s="42">
        <v>1547.13</v>
      </c>
      <c r="E1276" s="42">
        <v>1547.41</v>
      </c>
      <c r="F1276" s="2">
        <v>16220000000</v>
      </c>
    </row>
    <row r="1277" spans="1:6">
      <c r="A1277" s="32">
        <v>41926</v>
      </c>
      <c r="B1277" s="42">
        <v>1544.65</v>
      </c>
      <c r="C1277" s="42">
        <v>1552.15</v>
      </c>
      <c r="D1277" s="42">
        <v>1544.08</v>
      </c>
      <c r="E1277" s="42">
        <v>1546.78</v>
      </c>
      <c r="F1277" s="2">
        <v>25140000000</v>
      </c>
    </row>
    <row r="1278" spans="1:6">
      <c r="A1278" s="32">
        <v>41925</v>
      </c>
      <c r="B1278" s="42">
        <v>1544.66</v>
      </c>
      <c r="C1278" s="42">
        <v>1548.39</v>
      </c>
      <c r="D1278" s="42">
        <v>1538.35</v>
      </c>
      <c r="E1278" s="42">
        <v>1542.35</v>
      </c>
      <c r="F1278" s="2">
        <v>21600000000</v>
      </c>
    </row>
    <row r="1279" spans="1:6">
      <c r="A1279" s="32">
        <v>41922</v>
      </c>
      <c r="B1279" s="42">
        <v>1545.77</v>
      </c>
      <c r="C1279" s="42">
        <v>1555.09</v>
      </c>
      <c r="D1279" s="42">
        <v>1544.39</v>
      </c>
      <c r="E1279" s="42">
        <v>1552.72</v>
      </c>
      <c r="F1279" s="2">
        <v>11760000000</v>
      </c>
    </row>
    <row r="1280" spans="1:6">
      <c r="A1280" s="32">
        <v>41921</v>
      </c>
      <c r="B1280" s="42">
        <v>1553.65</v>
      </c>
      <c r="C1280" s="42">
        <v>1561.79</v>
      </c>
      <c r="D1280" s="42">
        <v>1550.51</v>
      </c>
      <c r="E1280" s="42">
        <v>1560.61</v>
      </c>
      <c r="F1280" s="2">
        <v>21340000000</v>
      </c>
    </row>
    <row r="1281" spans="1:6">
      <c r="A1281" s="32">
        <v>41920</v>
      </c>
      <c r="B1281" s="42">
        <v>1529.18</v>
      </c>
      <c r="C1281" s="42">
        <v>1546.58</v>
      </c>
      <c r="D1281" s="42">
        <v>1527.88</v>
      </c>
      <c r="E1281" s="42">
        <v>1543.39</v>
      </c>
      <c r="F1281" s="2">
        <v>19610000000</v>
      </c>
    </row>
    <row r="1282" spans="1:6">
      <c r="A1282" s="32">
        <v>41919</v>
      </c>
      <c r="B1282" s="42">
        <v>1544.87</v>
      </c>
      <c r="C1282" s="42">
        <v>1551.84</v>
      </c>
      <c r="D1282" s="42">
        <v>1534.42</v>
      </c>
      <c r="E1282" s="42">
        <v>1539.39</v>
      </c>
      <c r="F1282" s="2">
        <v>16050000000</v>
      </c>
    </row>
    <row r="1283" spans="1:6">
      <c r="A1283" s="32">
        <v>41918</v>
      </c>
      <c r="B1283" s="42">
        <v>1572.31</v>
      </c>
      <c r="C1283" s="42">
        <v>1574.52</v>
      </c>
      <c r="D1283" s="42">
        <v>1542.43</v>
      </c>
      <c r="E1283" s="42">
        <v>1543.13</v>
      </c>
      <c r="F1283" s="2">
        <v>13780000000</v>
      </c>
    </row>
    <row r="1284" spans="1:6">
      <c r="A1284" s="32">
        <v>41915</v>
      </c>
      <c r="B1284" s="42">
        <v>1568.18</v>
      </c>
      <c r="C1284" s="42">
        <v>1573.43</v>
      </c>
      <c r="D1284" s="42">
        <v>1553.33</v>
      </c>
      <c r="E1284" s="42">
        <v>1570.28</v>
      </c>
      <c r="F1284" s="2">
        <v>22610000000</v>
      </c>
    </row>
    <row r="1285" spans="1:6">
      <c r="A1285" s="32">
        <v>41914</v>
      </c>
      <c r="B1285" s="42">
        <v>1582.21</v>
      </c>
      <c r="C1285" s="42">
        <v>1587.54</v>
      </c>
      <c r="D1285" s="42">
        <v>1565.29</v>
      </c>
      <c r="E1285" s="42">
        <v>1569.73</v>
      </c>
      <c r="F1285" s="2">
        <v>20550000000</v>
      </c>
    </row>
    <row r="1286" spans="1:6">
      <c r="A1286" s="32">
        <v>41913</v>
      </c>
      <c r="B1286" s="42">
        <v>1590.13</v>
      </c>
      <c r="C1286" s="42">
        <v>1595.21</v>
      </c>
      <c r="D1286" s="42">
        <v>1585.22</v>
      </c>
      <c r="E1286" s="42">
        <v>1587.35</v>
      </c>
      <c r="F1286" s="2">
        <v>13190000000</v>
      </c>
    </row>
    <row r="1287" spans="1:6">
      <c r="A1287" s="32">
        <v>41912</v>
      </c>
      <c r="B1287" s="42">
        <v>1586.18</v>
      </c>
      <c r="C1287" s="42">
        <v>1592.79</v>
      </c>
      <c r="D1287" s="42">
        <v>1581.17</v>
      </c>
      <c r="E1287" s="42">
        <v>1585.67</v>
      </c>
      <c r="F1287" s="2">
        <v>13210000000</v>
      </c>
    </row>
    <row r="1288" spans="1:6">
      <c r="A1288" s="32">
        <v>41911</v>
      </c>
      <c r="B1288" s="42">
        <v>1601.38</v>
      </c>
      <c r="C1288" s="42">
        <v>1602.21</v>
      </c>
      <c r="D1288" s="42">
        <v>1578.99</v>
      </c>
      <c r="E1288" s="42">
        <v>1585.79</v>
      </c>
      <c r="F1288" s="2">
        <v>15240000000</v>
      </c>
    </row>
    <row r="1289" spans="1:6">
      <c r="A1289" s="32">
        <v>41908</v>
      </c>
      <c r="B1289" s="42">
        <v>1591.02</v>
      </c>
      <c r="C1289" s="42">
        <v>1600.16</v>
      </c>
      <c r="D1289" s="42">
        <v>1590.34</v>
      </c>
      <c r="E1289" s="42">
        <v>1600.16</v>
      </c>
      <c r="F1289" s="2">
        <v>15690000000</v>
      </c>
    </row>
    <row r="1290" spans="1:6">
      <c r="A1290" s="32">
        <v>41907</v>
      </c>
      <c r="B1290" s="42">
        <v>1595.6</v>
      </c>
      <c r="C1290" s="42">
        <v>1598.45</v>
      </c>
      <c r="D1290" s="42">
        <v>1591.99</v>
      </c>
      <c r="E1290" s="42">
        <v>1591.99</v>
      </c>
      <c r="F1290" s="2">
        <v>14370000000</v>
      </c>
    </row>
    <row r="1291" spans="1:6">
      <c r="A1291" s="32">
        <v>41906</v>
      </c>
      <c r="B1291" s="42">
        <v>1593.42</v>
      </c>
      <c r="C1291" s="42">
        <v>1597.51</v>
      </c>
      <c r="D1291" s="42">
        <v>1588.97</v>
      </c>
      <c r="E1291" s="42">
        <v>1591.89</v>
      </c>
      <c r="F1291" s="2">
        <v>12320000000</v>
      </c>
    </row>
    <row r="1292" spans="1:6">
      <c r="A1292" s="32">
        <v>41905</v>
      </c>
      <c r="B1292" s="42">
        <v>1593.16</v>
      </c>
      <c r="C1292" s="42">
        <v>1596.23</v>
      </c>
      <c r="D1292" s="42">
        <v>1585.75</v>
      </c>
      <c r="E1292" s="42">
        <v>1590.13</v>
      </c>
      <c r="F1292" s="2">
        <v>26760000000</v>
      </c>
    </row>
    <row r="1293" spans="1:6">
      <c r="A1293" s="32">
        <v>41904</v>
      </c>
      <c r="B1293" s="42">
        <v>1584.26</v>
      </c>
      <c r="C1293" s="42">
        <v>1592.94</v>
      </c>
      <c r="D1293" s="42">
        <v>1583.22</v>
      </c>
      <c r="E1293" s="42">
        <v>1589.51</v>
      </c>
      <c r="F1293" s="2">
        <v>26260000000</v>
      </c>
    </row>
    <row r="1294" spans="1:6">
      <c r="A1294" s="32">
        <v>41901</v>
      </c>
      <c r="B1294" s="42">
        <v>1590.68</v>
      </c>
      <c r="C1294" s="42">
        <v>1592.42</v>
      </c>
      <c r="D1294" s="42">
        <v>1582.6</v>
      </c>
      <c r="E1294" s="42">
        <v>1584.91</v>
      </c>
      <c r="F1294" s="2">
        <v>18490000000</v>
      </c>
    </row>
    <row r="1295" spans="1:6">
      <c r="A1295" s="32">
        <v>41900</v>
      </c>
      <c r="B1295" s="42">
        <v>1576.88</v>
      </c>
      <c r="C1295" s="42">
        <v>1584.23</v>
      </c>
      <c r="D1295" s="42">
        <v>1574.96</v>
      </c>
      <c r="E1295" s="42">
        <v>1584.23</v>
      </c>
      <c r="F1295" s="2">
        <v>17580000000</v>
      </c>
    </row>
    <row r="1296" spans="1:6">
      <c r="A1296" s="32">
        <v>41899</v>
      </c>
      <c r="B1296" s="42">
        <v>1571.9</v>
      </c>
      <c r="C1296" s="42">
        <v>1575.67</v>
      </c>
      <c r="D1296" s="42">
        <v>1562.04</v>
      </c>
      <c r="E1296" s="42">
        <v>1570.64</v>
      </c>
      <c r="F1296" s="2">
        <v>29790000000</v>
      </c>
    </row>
    <row r="1297" spans="1:6">
      <c r="A1297" s="32">
        <v>41898</v>
      </c>
      <c r="B1297" s="42">
        <v>1583.74</v>
      </c>
      <c r="C1297" s="42">
        <v>1583.91</v>
      </c>
      <c r="D1297" s="42">
        <v>1565.41</v>
      </c>
      <c r="E1297" s="42">
        <v>1565.41</v>
      </c>
      <c r="F1297" s="2">
        <v>14740000000</v>
      </c>
    </row>
    <row r="1298" spans="1:6">
      <c r="A1298" s="32">
        <v>41897</v>
      </c>
      <c r="B1298" s="42">
        <v>1577.71</v>
      </c>
      <c r="C1298" s="42">
        <v>1583.61</v>
      </c>
      <c r="D1298" s="42">
        <v>1575.3</v>
      </c>
      <c r="E1298" s="42">
        <v>1579.12</v>
      </c>
      <c r="F1298" s="2">
        <v>11360000000</v>
      </c>
    </row>
    <row r="1299" spans="1:6">
      <c r="A1299" s="32">
        <v>41894</v>
      </c>
      <c r="B1299" s="42">
        <v>1583.38</v>
      </c>
      <c r="C1299" s="42">
        <v>1584.92</v>
      </c>
      <c r="D1299" s="42">
        <v>1569.23</v>
      </c>
      <c r="E1299" s="42">
        <v>1581.36</v>
      </c>
      <c r="F1299" s="2">
        <v>11690000000</v>
      </c>
    </row>
    <row r="1300" spans="1:6">
      <c r="A1300" s="32">
        <v>41893</v>
      </c>
      <c r="B1300" s="42">
        <v>1582.21</v>
      </c>
      <c r="C1300" s="42">
        <v>1589.93</v>
      </c>
      <c r="D1300" s="42">
        <v>1579.01</v>
      </c>
      <c r="E1300" s="42">
        <v>1580.87</v>
      </c>
      <c r="F1300" s="2">
        <v>14490000000</v>
      </c>
    </row>
    <row r="1301" spans="1:6">
      <c r="A1301" s="32">
        <v>41892</v>
      </c>
      <c r="B1301" s="42">
        <v>1577.26</v>
      </c>
      <c r="C1301" s="42">
        <v>1584.99</v>
      </c>
      <c r="D1301" s="42">
        <v>1566.44</v>
      </c>
      <c r="E1301" s="42">
        <v>1582.13</v>
      </c>
      <c r="F1301" s="2">
        <v>11930000000</v>
      </c>
    </row>
    <row r="1302" spans="1:6">
      <c r="A1302" s="32">
        <v>41891</v>
      </c>
      <c r="B1302" s="42">
        <v>1586.88</v>
      </c>
      <c r="C1302" s="42">
        <v>1589.87</v>
      </c>
      <c r="D1302" s="42">
        <v>1580.59</v>
      </c>
      <c r="E1302" s="42">
        <v>1583.18</v>
      </c>
      <c r="F1302" s="2">
        <v>13620000000</v>
      </c>
    </row>
    <row r="1303" spans="1:6">
      <c r="A1303" s="32">
        <v>41890</v>
      </c>
      <c r="B1303" s="42">
        <v>1589.39</v>
      </c>
      <c r="C1303" s="42">
        <v>1591.6</v>
      </c>
      <c r="D1303" s="42">
        <v>1584.77</v>
      </c>
      <c r="E1303" s="42">
        <v>1584.77</v>
      </c>
      <c r="F1303" s="2">
        <v>13170000000</v>
      </c>
    </row>
    <row r="1304" spans="1:6">
      <c r="A1304" s="32">
        <v>41887</v>
      </c>
      <c r="B1304" s="42">
        <v>1583.47</v>
      </c>
      <c r="C1304" s="42">
        <v>1585.96</v>
      </c>
      <c r="D1304" s="42">
        <v>1578.39</v>
      </c>
      <c r="E1304" s="42">
        <v>1584.32</v>
      </c>
      <c r="F1304" s="2">
        <v>9450000000</v>
      </c>
    </row>
    <row r="1305" spans="1:6">
      <c r="A1305" s="32">
        <v>41886</v>
      </c>
      <c r="B1305" s="42">
        <v>1585.6</v>
      </c>
      <c r="C1305" s="42">
        <v>1586.93</v>
      </c>
      <c r="D1305" s="42">
        <v>1576.8</v>
      </c>
      <c r="E1305" s="42">
        <v>1579.73</v>
      </c>
      <c r="F1305" s="2">
        <v>10260000000</v>
      </c>
    </row>
    <row r="1306" spans="1:6">
      <c r="A1306" s="32">
        <v>41885</v>
      </c>
      <c r="B1306" s="42">
        <v>1574.19</v>
      </c>
      <c r="C1306" s="42">
        <v>1584.7</v>
      </c>
      <c r="D1306" s="42">
        <v>1572.43</v>
      </c>
      <c r="E1306" s="42">
        <v>1583.27</v>
      </c>
      <c r="F1306" s="2">
        <v>12870000000</v>
      </c>
    </row>
    <row r="1307" spans="1:6">
      <c r="A1307" s="32">
        <v>41884</v>
      </c>
      <c r="B1307" s="42">
        <v>1568.71</v>
      </c>
      <c r="C1307" s="42">
        <v>1572.32</v>
      </c>
      <c r="D1307" s="42">
        <v>1565.36</v>
      </c>
      <c r="E1307" s="42">
        <v>1568.6</v>
      </c>
      <c r="F1307" s="2">
        <v>11910000000</v>
      </c>
    </row>
    <row r="1308" spans="1:6">
      <c r="A1308" s="32">
        <v>41883</v>
      </c>
      <c r="B1308" s="42">
        <v>1568.38</v>
      </c>
      <c r="C1308" s="42">
        <v>1571.74</v>
      </c>
      <c r="D1308" s="42">
        <v>1565.08</v>
      </c>
      <c r="E1308" s="42">
        <v>1565.35</v>
      </c>
      <c r="F1308" s="2">
        <v>8400000000</v>
      </c>
    </row>
    <row r="1309" spans="1:6">
      <c r="A1309" s="32">
        <v>41880</v>
      </c>
      <c r="B1309" s="42">
        <v>1554.9</v>
      </c>
      <c r="C1309" s="42">
        <v>1565.14</v>
      </c>
      <c r="D1309" s="42">
        <v>1553.83</v>
      </c>
      <c r="E1309" s="42">
        <v>1561.63</v>
      </c>
      <c r="F1309" s="2">
        <v>9920000000</v>
      </c>
    </row>
    <row r="1310" spans="1:6">
      <c r="A1310" s="32">
        <v>41879</v>
      </c>
      <c r="B1310" s="42">
        <v>1566.73</v>
      </c>
      <c r="C1310" s="42">
        <v>1567.88</v>
      </c>
      <c r="D1310" s="42">
        <v>1551.2</v>
      </c>
      <c r="E1310" s="42">
        <v>1559.05</v>
      </c>
      <c r="F1310" s="2">
        <v>8030000000</v>
      </c>
    </row>
    <row r="1311" spans="1:6">
      <c r="A1311" s="32">
        <v>41878</v>
      </c>
      <c r="B1311" s="42">
        <v>1564.41</v>
      </c>
      <c r="C1311" s="42">
        <v>1570.86</v>
      </c>
      <c r="D1311" s="42">
        <v>1559.3</v>
      </c>
      <c r="E1311" s="42">
        <v>1564.58</v>
      </c>
      <c r="F1311" s="2">
        <v>8420000000</v>
      </c>
    </row>
    <row r="1312" spans="1:6">
      <c r="A1312" s="32">
        <v>41877</v>
      </c>
      <c r="B1312" s="42">
        <v>1565.48</v>
      </c>
      <c r="C1312" s="42">
        <v>1567.68</v>
      </c>
      <c r="D1312" s="42">
        <v>1559.16</v>
      </c>
      <c r="E1312" s="42">
        <v>1560.17</v>
      </c>
      <c r="F1312" s="2">
        <v>10160000000</v>
      </c>
    </row>
    <row r="1313" spans="1:6">
      <c r="A1313" s="32">
        <v>41876</v>
      </c>
      <c r="B1313" s="42">
        <v>1561.4</v>
      </c>
      <c r="C1313" s="42">
        <v>1567.24</v>
      </c>
      <c r="D1313" s="42">
        <v>1558.19</v>
      </c>
      <c r="E1313" s="42">
        <v>1563.13</v>
      </c>
      <c r="F1313" s="2">
        <v>10290000000</v>
      </c>
    </row>
    <row r="1314" spans="1:6">
      <c r="A1314" s="32">
        <v>41873</v>
      </c>
      <c r="B1314" s="42">
        <v>1556.4</v>
      </c>
      <c r="C1314" s="42">
        <v>1559.21</v>
      </c>
      <c r="D1314" s="42">
        <v>1555.01</v>
      </c>
      <c r="E1314" s="42">
        <v>1556.97</v>
      </c>
      <c r="F1314" s="2">
        <v>13840000000</v>
      </c>
    </row>
    <row r="1315" spans="1:6">
      <c r="A1315" s="32">
        <v>41872</v>
      </c>
      <c r="B1315" s="42">
        <v>1550.26</v>
      </c>
      <c r="C1315" s="42">
        <v>1555.71</v>
      </c>
      <c r="D1315" s="42">
        <v>1549.16</v>
      </c>
      <c r="E1315" s="42">
        <v>1551.41</v>
      </c>
      <c r="F1315" s="2">
        <v>15100000000</v>
      </c>
    </row>
    <row r="1316" spans="1:6">
      <c r="A1316" s="32">
        <v>41871</v>
      </c>
      <c r="B1316" s="42">
        <v>1546.57</v>
      </c>
      <c r="C1316" s="42">
        <v>1552.52</v>
      </c>
      <c r="D1316" s="42">
        <v>1546.42</v>
      </c>
      <c r="E1316" s="42">
        <v>1550.77</v>
      </c>
      <c r="F1316" s="2">
        <v>11010000000</v>
      </c>
    </row>
    <row r="1317" spans="1:6">
      <c r="A1317" s="32">
        <v>41870</v>
      </c>
      <c r="B1317" s="42">
        <v>1550.55</v>
      </c>
      <c r="C1317" s="42">
        <v>1551.52</v>
      </c>
      <c r="D1317" s="42">
        <v>1542.73</v>
      </c>
      <c r="E1317" s="42">
        <v>1542.85</v>
      </c>
      <c r="F1317" s="2">
        <v>12580000000</v>
      </c>
    </row>
    <row r="1318" spans="1:6">
      <c r="A1318" s="32">
        <v>41869</v>
      </c>
      <c r="B1318" s="42">
        <v>1548.42</v>
      </c>
      <c r="C1318" s="42">
        <v>1550.72</v>
      </c>
      <c r="D1318" s="42">
        <v>1539.57</v>
      </c>
      <c r="E1318" s="42">
        <v>1542.36</v>
      </c>
      <c r="F1318" s="2">
        <v>12340000000</v>
      </c>
    </row>
    <row r="1319" spans="1:6">
      <c r="A1319" s="32">
        <v>41866</v>
      </c>
      <c r="B1319" s="42">
        <v>1543.42</v>
      </c>
      <c r="C1319" s="42">
        <v>1550.65</v>
      </c>
      <c r="D1319" s="42">
        <v>1536.75</v>
      </c>
      <c r="E1319" s="42">
        <v>1546.62</v>
      </c>
      <c r="F1319" s="2">
        <v>9930000000</v>
      </c>
    </row>
    <row r="1320" spans="1:6">
      <c r="A1320" s="32">
        <v>41865</v>
      </c>
      <c r="B1320" s="42">
        <v>1550.83</v>
      </c>
      <c r="C1320" s="42">
        <v>1552.66</v>
      </c>
      <c r="D1320" s="42">
        <v>1538.67</v>
      </c>
      <c r="E1320" s="42">
        <v>1541.97</v>
      </c>
      <c r="F1320" s="2">
        <v>11440000000</v>
      </c>
    </row>
    <row r="1321" spans="1:6">
      <c r="A1321" s="32">
        <v>41864</v>
      </c>
      <c r="B1321" s="42">
        <v>1530.96</v>
      </c>
      <c r="C1321" s="42">
        <v>1546.32</v>
      </c>
      <c r="D1321" s="42">
        <v>1529.72</v>
      </c>
      <c r="E1321" s="42">
        <v>1544.55</v>
      </c>
      <c r="F1321" s="2">
        <v>10770000000</v>
      </c>
    </row>
    <row r="1322" spans="1:6">
      <c r="A1322" s="32">
        <v>41859</v>
      </c>
      <c r="B1322" s="42">
        <v>1512.82</v>
      </c>
      <c r="C1322" s="42">
        <v>1520.98</v>
      </c>
      <c r="D1322" s="42">
        <v>1510.05</v>
      </c>
      <c r="E1322" s="42">
        <v>1520.31</v>
      </c>
      <c r="F1322" s="2">
        <v>8230000000</v>
      </c>
    </row>
    <row r="1323" spans="1:6">
      <c r="A1323" s="32">
        <v>41858</v>
      </c>
      <c r="B1323" s="42">
        <v>1525.06</v>
      </c>
      <c r="C1323" s="42">
        <v>1526.33</v>
      </c>
      <c r="D1323" s="42">
        <v>1514.53</v>
      </c>
      <c r="E1323" s="42">
        <v>1522.27</v>
      </c>
      <c r="F1323" s="2">
        <v>8840000000</v>
      </c>
    </row>
    <row r="1324" spans="1:6">
      <c r="A1324" s="32">
        <v>41857</v>
      </c>
      <c r="B1324" s="42">
        <v>1527.11</v>
      </c>
      <c r="C1324" s="42">
        <v>1532.3</v>
      </c>
      <c r="D1324" s="42">
        <v>1521.92</v>
      </c>
      <c r="E1324" s="42">
        <v>1522.41</v>
      </c>
      <c r="F1324" s="2">
        <v>9470000000</v>
      </c>
    </row>
    <row r="1325" spans="1:6">
      <c r="A1325" s="32">
        <v>41856</v>
      </c>
      <c r="B1325" s="42">
        <v>1522.87</v>
      </c>
      <c r="C1325" s="42">
        <v>1532.17</v>
      </c>
      <c r="D1325" s="42">
        <v>1520.65</v>
      </c>
      <c r="E1325" s="42">
        <v>1528.98</v>
      </c>
      <c r="F1325" s="2">
        <v>9500000000</v>
      </c>
    </row>
    <row r="1326" spans="1:6">
      <c r="A1326" s="32">
        <v>41855</v>
      </c>
      <c r="B1326" s="42">
        <v>1504.35</v>
      </c>
      <c r="C1326" s="42">
        <v>1520.48</v>
      </c>
      <c r="D1326" s="42">
        <v>1501.61</v>
      </c>
      <c r="E1326" s="42">
        <v>1519.38</v>
      </c>
      <c r="F1326" s="2">
        <v>9260000000</v>
      </c>
    </row>
    <row r="1327" spans="1:6">
      <c r="A1327" s="32">
        <v>41852</v>
      </c>
      <c r="B1327" s="42">
        <v>1488.5</v>
      </c>
      <c r="C1327" s="42">
        <v>1501.76</v>
      </c>
      <c r="D1327" s="42">
        <v>1487.4</v>
      </c>
      <c r="E1327" s="42">
        <v>1500.2</v>
      </c>
      <c r="F1327" s="2">
        <v>8820000000</v>
      </c>
    </row>
    <row r="1328" spans="1:6">
      <c r="A1328" s="32">
        <v>41851</v>
      </c>
      <c r="B1328" s="42">
        <v>1513.92</v>
      </c>
      <c r="C1328" s="42">
        <v>1525.34</v>
      </c>
      <c r="D1328" s="42">
        <v>1501.36</v>
      </c>
      <c r="E1328" s="42">
        <v>1502.39</v>
      </c>
      <c r="F1328" s="2">
        <v>10080000000</v>
      </c>
    </row>
    <row r="1329" spans="1:6">
      <c r="A1329" s="32">
        <v>41850</v>
      </c>
      <c r="B1329" s="42">
        <v>1521.33</v>
      </c>
      <c r="C1329" s="42">
        <v>1529.04</v>
      </c>
      <c r="D1329" s="42">
        <v>1500.05</v>
      </c>
      <c r="E1329" s="42">
        <v>1518.79</v>
      </c>
      <c r="F1329" s="2">
        <v>16510000000</v>
      </c>
    </row>
    <row r="1330" spans="1:6">
      <c r="A1330" s="32">
        <v>41849</v>
      </c>
      <c r="B1330" s="42">
        <v>1541.27</v>
      </c>
      <c r="C1330" s="42">
        <v>1546.72</v>
      </c>
      <c r="D1330" s="42">
        <v>1518.75</v>
      </c>
      <c r="E1330" s="42">
        <v>1520.55</v>
      </c>
      <c r="F1330" s="2">
        <v>13360000000</v>
      </c>
    </row>
    <row r="1331" spans="1:6">
      <c r="A1331" s="32">
        <v>41848</v>
      </c>
      <c r="B1331" s="42">
        <v>1545.52</v>
      </c>
      <c r="C1331" s="42">
        <v>1546.59</v>
      </c>
      <c r="D1331" s="42">
        <v>1532.36</v>
      </c>
      <c r="E1331" s="42">
        <v>1538.13</v>
      </c>
      <c r="F1331" s="2">
        <v>9820000000</v>
      </c>
    </row>
    <row r="1332" spans="1:6">
      <c r="A1332" s="32">
        <v>41845</v>
      </c>
      <c r="B1332" s="42">
        <v>1545.59</v>
      </c>
      <c r="C1332" s="42">
        <v>1548.16</v>
      </c>
      <c r="D1332" s="42">
        <v>1538.33</v>
      </c>
      <c r="E1332" s="42">
        <v>1543.85</v>
      </c>
      <c r="F1332" s="2">
        <v>10910000000</v>
      </c>
    </row>
    <row r="1333" spans="1:6">
      <c r="A1333" s="32">
        <v>41844</v>
      </c>
      <c r="B1333" s="42">
        <v>1545.54</v>
      </c>
      <c r="C1333" s="42">
        <v>1546.04</v>
      </c>
      <c r="D1333" s="42">
        <v>1538.48</v>
      </c>
      <c r="E1333" s="42">
        <v>1543.92</v>
      </c>
      <c r="F1333" s="2">
        <v>15390000000</v>
      </c>
    </row>
    <row r="1334" spans="1:6">
      <c r="A1334" s="32">
        <v>41843</v>
      </c>
      <c r="B1334" s="42">
        <v>1527.35</v>
      </c>
      <c r="C1334" s="42">
        <v>1541.76</v>
      </c>
      <c r="D1334" s="42">
        <v>1526.45</v>
      </c>
      <c r="E1334" s="42">
        <v>1541.56</v>
      </c>
      <c r="F1334" s="2">
        <v>25380000000</v>
      </c>
    </row>
    <row r="1335" spans="1:6">
      <c r="A1335" s="32">
        <v>41842</v>
      </c>
      <c r="B1335" s="42">
        <v>1543.56</v>
      </c>
      <c r="C1335" s="42">
        <v>1545.29</v>
      </c>
      <c r="D1335" s="42">
        <v>1516.93</v>
      </c>
      <c r="E1335" s="42">
        <v>1520.81</v>
      </c>
      <c r="F1335" s="2">
        <v>31060000000</v>
      </c>
    </row>
    <row r="1336" spans="1:6">
      <c r="A1336" s="32">
        <v>41841</v>
      </c>
      <c r="B1336" s="42">
        <v>1536.73</v>
      </c>
      <c r="C1336" s="42">
        <v>1542.88</v>
      </c>
      <c r="D1336" s="42">
        <v>1534.1</v>
      </c>
      <c r="E1336" s="42">
        <v>1538.55</v>
      </c>
      <c r="F1336" s="2">
        <v>30380000000</v>
      </c>
    </row>
    <row r="1337" spans="1:6">
      <c r="A1337" s="32">
        <v>41838</v>
      </c>
      <c r="B1337" s="42">
        <v>1532.52</v>
      </c>
      <c r="C1337" s="42">
        <v>1538.53</v>
      </c>
      <c r="D1337" s="42">
        <v>1523.53</v>
      </c>
      <c r="E1337" s="42">
        <v>1533.41</v>
      </c>
      <c r="F1337" s="2">
        <v>15770000000</v>
      </c>
    </row>
    <row r="1338" spans="1:6">
      <c r="A1338" s="32">
        <v>41837</v>
      </c>
      <c r="B1338" s="42">
        <v>1529.11</v>
      </c>
      <c r="C1338" s="42">
        <v>1535.72</v>
      </c>
      <c r="D1338" s="42">
        <v>1526.37</v>
      </c>
      <c r="E1338" s="42">
        <v>1535.66</v>
      </c>
      <c r="F1338" s="2">
        <v>13110000000</v>
      </c>
    </row>
    <row r="1339" spans="1:6">
      <c r="A1339" s="32">
        <v>41836</v>
      </c>
      <c r="B1339" s="42">
        <v>1527.13</v>
      </c>
      <c r="C1339" s="42">
        <v>1534.95</v>
      </c>
      <c r="D1339" s="42">
        <v>1525.68</v>
      </c>
      <c r="E1339" s="42">
        <v>1530.42</v>
      </c>
      <c r="F1339" s="2">
        <v>10750000000</v>
      </c>
    </row>
    <row r="1340" spans="1:6">
      <c r="A1340" s="32">
        <v>41835</v>
      </c>
      <c r="B1340" s="42">
        <v>1533.29</v>
      </c>
      <c r="C1340" s="42">
        <v>1534.4</v>
      </c>
      <c r="D1340" s="42">
        <v>1521.79</v>
      </c>
      <c r="E1340" s="42">
        <v>1524.53</v>
      </c>
      <c r="F1340" s="2">
        <v>11640000000</v>
      </c>
    </row>
    <row r="1341" spans="1:6">
      <c r="A1341" s="32">
        <v>41834</v>
      </c>
      <c r="B1341" s="42">
        <v>1524.98</v>
      </c>
      <c r="C1341" s="42">
        <v>1531.63</v>
      </c>
      <c r="D1341" s="42">
        <v>1523.05</v>
      </c>
      <c r="E1341" s="42">
        <v>1529.23</v>
      </c>
      <c r="F1341" s="2">
        <v>8340000000</v>
      </c>
    </row>
    <row r="1342" spans="1:6">
      <c r="A1342" s="32">
        <v>41830</v>
      </c>
      <c r="B1342" s="42">
        <v>1513.25</v>
      </c>
      <c r="C1342" s="42">
        <v>1518.92</v>
      </c>
      <c r="D1342" s="42">
        <v>1512.32</v>
      </c>
      <c r="E1342" s="42">
        <v>1518.01</v>
      </c>
      <c r="F1342" s="2">
        <v>12660000000</v>
      </c>
    </row>
    <row r="1343" spans="1:6">
      <c r="A1343" s="32">
        <v>41829</v>
      </c>
      <c r="B1343" s="42">
        <v>1505.6</v>
      </c>
      <c r="C1343" s="42">
        <v>1511.85</v>
      </c>
      <c r="D1343" s="42">
        <v>1504.08</v>
      </c>
      <c r="E1343" s="42">
        <v>1507.92</v>
      </c>
      <c r="F1343" s="2">
        <v>10560000000</v>
      </c>
    </row>
    <row r="1344" spans="1:6">
      <c r="A1344" s="32">
        <v>41828</v>
      </c>
      <c r="B1344" s="42">
        <v>1506.01</v>
      </c>
      <c r="C1344" s="42">
        <v>1513.12</v>
      </c>
      <c r="D1344" s="42">
        <v>1505.63</v>
      </c>
      <c r="E1344" s="42">
        <v>1507.58</v>
      </c>
      <c r="F1344" s="2">
        <v>7860000000</v>
      </c>
    </row>
    <row r="1345" spans="1:6">
      <c r="A1345" s="32">
        <v>41827</v>
      </c>
      <c r="B1345" s="42">
        <v>1500.87</v>
      </c>
      <c r="C1345" s="42">
        <v>1507.02</v>
      </c>
      <c r="D1345" s="42">
        <v>1498.83</v>
      </c>
      <c r="E1345" s="42">
        <v>1503.21</v>
      </c>
      <c r="F1345" s="2">
        <v>8500000000</v>
      </c>
    </row>
    <row r="1346" spans="1:6">
      <c r="A1346" s="32">
        <v>41824</v>
      </c>
      <c r="B1346" s="42">
        <v>1498.28</v>
      </c>
      <c r="C1346" s="42">
        <v>1504.91</v>
      </c>
      <c r="D1346" s="42">
        <v>1495.65</v>
      </c>
      <c r="E1346" s="42">
        <v>1495.83</v>
      </c>
      <c r="F1346" s="2">
        <v>12300000000</v>
      </c>
    </row>
    <row r="1347" spans="1:6">
      <c r="A1347" s="32">
        <v>41823</v>
      </c>
      <c r="B1347" s="42">
        <v>1492.87</v>
      </c>
      <c r="C1347" s="42">
        <v>1495.98</v>
      </c>
      <c r="D1347" s="42">
        <v>1488.27</v>
      </c>
      <c r="E1347" s="42">
        <v>1493.21</v>
      </c>
      <c r="F1347" s="2">
        <v>12960000000</v>
      </c>
    </row>
    <row r="1348" spans="1:6">
      <c r="A1348" s="32">
        <v>41822</v>
      </c>
      <c r="B1348" s="42">
        <v>1492.05</v>
      </c>
      <c r="C1348" s="42">
        <v>1494.54</v>
      </c>
      <c r="D1348" s="42">
        <v>1487</v>
      </c>
      <c r="E1348" s="42">
        <v>1491.81</v>
      </c>
      <c r="F1348" s="2">
        <v>9730000000</v>
      </c>
    </row>
    <row r="1349" spans="1:6">
      <c r="A1349" s="32">
        <v>41820</v>
      </c>
      <c r="B1349" s="42">
        <v>1488.92</v>
      </c>
      <c r="C1349" s="42">
        <v>1493.14</v>
      </c>
      <c r="D1349" s="42">
        <v>1484.62</v>
      </c>
      <c r="E1349" s="42">
        <v>1485.75</v>
      </c>
      <c r="F1349" s="2">
        <v>8130000000</v>
      </c>
    </row>
    <row r="1350" spans="1:6">
      <c r="A1350" s="32">
        <v>41817</v>
      </c>
      <c r="B1350" s="42">
        <v>1480.75</v>
      </c>
      <c r="C1350" s="42">
        <v>1489.72</v>
      </c>
      <c r="D1350" s="42">
        <v>1473.1</v>
      </c>
      <c r="E1350" s="42">
        <v>1483.24</v>
      </c>
      <c r="F1350" s="2">
        <v>7970000000</v>
      </c>
    </row>
    <row r="1351" spans="1:6">
      <c r="A1351" s="32">
        <v>41816</v>
      </c>
      <c r="B1351" s="42">
        <v>1472.5</v>
      </c>
      <c r="C1351" s="42">
        <v>1478.51</v>
      </c>
      <c r="D1351" s="42">
        <v>1471.69</v>
      </c>
      <c r="E1351" s="42">
        <v>1477.48</v>
      </c>
      <c r="F1351" s="2">
        <v>7450000000</v>
      </c>
    </row>
    <row r="1352" spans="1:6">
      <c r="A1352" s="32">
        <v>41815</v>
      </c>
      <c r="B1352" s="42">
        <v>1462.55</v>
      </c>
      <c r="C1352" s="42">
        <v>1469.48</v>
      </c>
      <c r="D1352" s="42">
        <v>1459.89</v>
      </c>
      <c r="E1352" s="42">
        <v>1468.49</v>
      </c>
      <c r="F1352" s="2">
        <v>8070000000</v>
      </c>
    </row>
    <row r="1353" spans="1:6">
      <c r="A1353" s="32">
        <v>41814</v>
      </c>
      <c r="B1353" s="42">
        <v>1466.69</v>
      </c>
      <c r="C1353" s="42">
        <v>1467.1</v>
      </c>
      <c r="D1353" s="42">
        <v>1453.09</v>
      </c>
      <c r="E1353" s="42">
        <v>1460.92</v>
      </c>
      <c r="F1353" s="2">
        <v>10980000000</v>
      </c>
    </row>
    <row r="1354" spans="1:6">
      <c r="A1354" s="32">
        <v>41813</v>
      </c>
      <c r="B1354" s="42">
        <v>1471.91</v>
      </c>
      <c r="C1354" s="42">
        <v>1474.46</v>
      </c>
      <c r="D1354" s="42">
        <v>1466.19</v>
      </c>
      <c r="E1354" s="42">
        <v>1468.7</v>
      </c>
      <c r="F1354" s="2">
        <v>14390000000</v>
      </c>
    </row>
    <row r="1355" spans="1:6">
      <c r="A1355" s="32">
        <v>41810</v>
      </c>
      <c r="B1355" s="42">
        <v>1464.86</v>
      </c>
      <c r="C1355" s="42">
        <v>1468.46</v>
      </c>
      <c r="D1355" s="42">
        <v>1460.48</v>
      </c>
      <c r="E1355" s="42">
        <v>1467.29</v>
      </c>
      <c r="F1355" s="2">
        <v>10560000000</v>
      </c>
    </row>
    <row r="1356" spans="1:6">
      <c r="A1356" s="32">
        <v>41809</v>
      </c>
      <c r="B1356" s="42">
        <v>1455.89</v>
      </c>
      <c r="C1356" s="42">
        <v>1462.91</v>
      </c>
      <c r="D1356" s="42">
        <v>1447.2</v>
      </c>
      <c r="E1356" s="42">
        <v>1461.91</v>
      </c>
      <c r="F1356" s="2">
        <v>8850000000</v>
      </c>
    </row>
    <row r="1357" spans="1:6">
      <c r="A1357" s="32">
        <v>41808</v>
      </c>
      <c r="B1357" s="42">
        <v>1471.86</v>
      </c>
      <c r="C1357" s="42">
        <v>1473.19</v>
      </c>
      <c r="D1357" s="42">
        <v>1450.16</v>
      </c>
      <c r="E1357" s="42">
        <v>1451.36</v>
      </c>
      <c r="F1357" s="2">
        <v>8540000000</v>
      </c>
    </row>
    <row r="1358" spans="1:6">
      <c r="A1358" s="32">
        <v>41807</v>
      </c>
      <c r="B1358" s="42">
        <v>1475.87</v>
      </c>
      <c r="C1358" s="42">
        <v>1477.53</v>
      </c>
      <c r="D1358" s="42">
        <v>1468.8</v>
      </c>
      <c r="E1358" s="42">
        <v>1471.02</v>
      </c>
      <c r="F1358" s="2">
        <v>9540000000</v>
      </c>
    </row>
    <row r="1359" spans="1:6">
      <c r="A1359" s="32">
        <v>41806</v>
      </c>
      <c r="B1359" s="42">
        <v>1460.29</v>
      </c>
      <c r="C1359" s="42">
        <v>1474.51</v>
      </c>
      <c r="D1359" s="42">
        <v>1460.21</v>
      </c>
      <c r="E1359" s="42">
        <v>1471.85</v>
      </c>
      <c r="F1359" s="2">
        <v>7740000000</v>
      </c>
    </row>
    <row r="1360" spans="1:6">
      <c r="A1360" s="32">
        <v>41803</v>
      </c>
      <c r="B1360" s="42">
        <v>1456.6</v>
      </c>
      <c r="C1360" s="42">
        <v>1463.49</v>
      </c>
      <c r="D1360" s="42">
        <v>1453.91</v>
      </c>
      <c r="E1360" s="42">
        <v>1456.02</v>
      </c>
      <c r="F1360" s="2">
        <v>11390000000</v>
      </c>
    </row>
    <row r="1361" spans="1:6">
      <c r="A1361" s="32">
        <v>41802</v>
      </c>
      <c r="B1361" s="42">
        <v>1461.3</v>
      </c>
      <c r="C1361" s="42">
        <v>1466.38</v>
      </c>
      <c r="D1361" s="42">
        <v>1457.02</v>
      </c>
      <c r="E1361" s="42">
        <v>1457.02</v>
      </c>
      <c r="F1361" s="2">
        <v>11890000000</v>
      </c>
    </row>
    <row r="1362" spans="1:6">
      <c r="A1362" s="32">
        <v>41801</v>
      </c>
      <c r="B1362" s="42">
        <v>1470.04</v>
      </c>
      <c r="C1362" s="42">
        <v>1470.85</v>
      </c>
      <c r="D1362" s="42">
        <v>1456.74</v>
      </c>
      <c r="E1362" s="42">
        <v>1463.71</v>
      </c>
      <c r="F1362" s="2">
        <v>13820000000</v>
      </c>
    </row>
    <row r="1363" spans="1:6">
      <c r="A1363" s="32">
        <v>41800</v>
      </c>
      <c r="B1363" s="42">
        <v>1454.4</v>
      </c>
      <c r="C1363" s="42">
        <v>1469.48</v>
      </c>
      <c r="D1363" s="42">
        <v>1450.95</v>
      </c>
      <c r="E1363" s="42">
        <v>1469.19</v>
      </c>
      <c r="F1363" s="2">
        <v>12160000000</v>
      </c>
    </row>
    <row r="1364" spans="1:6">
      <c r="A1364" s="32">
        <v>41799</v>
      </c>
      <c r="B1364" s="42">
        <v>1464.71</v>
      </c>
      <c r="C1364" s="42">
        <v>1466.15</v>
      </c>
      <c r="D1364" s="42">
        <v>1454.05</v>
      </c>
      <c r="E1364" s="42">
        <v>1457.3</v>
      </c>
      <c r="F1364" s="2">
        <v>7110000000</v>
      </c>
    </row>
    <row r="1365" spans="1:6">
      <c r="A1365" s="32">
        <v>41796</v>
      </c>
      <c r="B1365" s="42">
        <v>1461.8</v>
      </c>
      <c r="C1365" s="42">
        <v>1463.06</v>
      </c>
      <c r="D1365" s="42">
        <v>1455.49</v>
      </c>
      <c r="E1365" s="42">
        <v>1458.02</v>
      </c>
      <c r="F1365" s="2">
        <v>8040000000</v>
      </c>
    </row>
    <row r="1366" spans="1:6">
      <c r="A1366" s="32">
        <v>41795</v>
      </c>
      <c r="B1366" s="42">
        <v>1454.11</v>
      </c>
      <c r="C1366" s="42">
        <v>1455.08</v>
      </c>
      <c r="D1366" s="42">
        <v>1444.98</v>
      </c>
      <c r="E1366" s="42">
        <v>1453.16</v>
      </c>
      <c r="F1366" s="2">
        <v>10810000000</v>
      </c>
    </row>
    <row r="1367" spans="1:6">
      <c r="A1367" s="32">
        <v>41794</v>
      </c>
      <c r="B1367" s="42">
        <v>1456.06</v>
      </c>
      <c r="C1367" s="42">
        <v>1458.03</v>
      </c>
      <c r="D1367" s="42">
        <v>1447.65</v>
      </c>
      <c r="E1367" s="42">
        <v>1449.4</v>
      </c>
      <c r="F1367" s="2">
        <v>9530000000</v>
      </c>
    </row>
    <row r="1368" spans="1:6">
      <c r="A1368" s="32">
        <v>41793</v>
      </c>
      <c r="B1368" s="42">
        <v>1455.33</v>
      </c>
      <c r="C1368" s="42">
        <v>1458.02</v>
      </c>
      <c r="D1368" s="42">
        <v>1445.37</v>
      </c>
      <c r="E1368" s="42">
        <v>1454.24</v>
      </c>
      <c r="F1368" s="2">
        <v>10030000000</v>
      </c>
    </row>
    <row r="1369" spans="1:6">
      <c r="A1369" s="32">
        <v>41792</v>
      </c>
      <c r="B1369" s="42">
        <v>1424.81</v>
      </c>
      <c r="C1369" s="42">
        <v>1441.92</v>
      </c>
      <c r="D1369" s="42">
        <v>1423.57</v>
      </c>
      <c r="E1369" s="42">
        <v>1440.94</v>
      </c>
      <c r="F1369" s="2">
        <v>10010000000</v>
      </c>
    </row>
    <row r="1370" spans="1:6">
      <c r="A1370" s="32">
        <v>41789</v>
      </c>
      <c r="B1370" s="42">
        <v>1412.51</v>
      </c>
      <c r="C1370" s="42">
        <v>1419.96</v>
      </c>
      <c r="D1370" s="42">
        <v>1411.71</v>
      </c>
      <c r="E1370" s="42">
        <v>1415.73</v>
      </c>
      <c r="F1370" s="2">
        <v>8690000000</v>
      </c>
    </row>
    <row r="1371" spans="1:6">
      <c r="A1371" s="32">
        <v>41788</v>
      </c>
      <c r="B1371" s="42">
        <v>1404.92</v>
      </c>
      <c r="C1371" s="42">
        <v>1413.25</v>
      </c>
      <c r="D1371" s="42">
        <v>1404.43</v>
      </c>
      <c r="E1371" s="42">
        <v>1408.51</v>
      </c>
      <c r="F1371" s="2">
        <v>7030000000</v>
      </c>
    </row>
    <row r="1372" spans="1:6">
      <c r="A1372" s="32">
        <v>41787</v>
      </c>
      <c r="B1372" s="42">
        <v>1399.9</v>
      </c>
      <c r="C1372" s="42">
        <v>1409.73</v>
      </c>
      <c r="D1372" s="42">
        <v>1398.76</v>
      </c>
      <c r="E1372" s="42">
        <v>1402.79</v>
      </c>
      <c r="F1372" s="2">
        <v>8480000000</v>
      </c>
    </row>
    <row r="1373" spans="1:6">
      <c r="A1373" s="32">
        <v>41786</v>
      </c>
      <c r="B1373" s="42">
        <v>1391.99</v>
      </c>
      <c r="C1373" s="42">
        <v>1395.76</v>
      </c>
      <c r="D1373" s="42">
        <v>1385.79</v>
      </c>
      <c r="E1373" s="42">
        <v>1392.73</v>
      </c>
      <c r="F1373" s="2">
        <v>7630000000</v>
      </c>
    </row>
    <row r="1374" spans="1:6">
      <c r="A1374" s="32">
        <v>41785</v>
      </c>
      <c r="B1374" s="42">
        <v>1398.04</v>
      </c>
      <c r="C1374" s="42">
        <v>1398.44</v>
      </c>
      <c r="D1374" s="42">
        <v>1381.01</v>
      </c>
      <c r="E1374" s="42">
        <v>1388.29</v>
      </c>
      <c r="F1374" s="2">
        <v>8280000000</v>
      </c>
    </row>
    <row r="1375" spans="1:6">
      <c r="A1375" s="32">
        <v>41782</v>
      </c>
      <c r="B1375" s="42">
        <v>1377.23</v>
      </c>
      <c r="C1375" s="42">
        <v>1397.29</v>
      </c>
      <c r="D1375" s="42">
        <v>1375.41</v>
      </c>
      <c r="E1375" s="42">
        <v>1396.84</v>
      </c>
      <c r="F1375" s="2">
        <v>8940000000</v>
      </c>
    </row>
    <row r="1376" spans="1:6">
      <c r="A1376" s="32">
        <v>41781</v>
      </c>
      <c r="B1376" s="42">
        <v>1410.48</v>
      </c>
      <c r="C1376" s="42">
        <v>1415.36</v>
      </c>
      <c r="D1376" s="42">
        <v>1401.73</v>
      </c>
      <c r="E1376" s="42">
        <v>1405.21</v>
      </c>
      <c r="F1376" s="2">
        <v>7670000000</v>
      </c>
    </row>
    <row r="1377" spans="1:6">
      <c r="A1377" s="32">
        <v>41780</v>
      </c>
      <c r="B1377" s="42">
        <v>1394.28</v>
      </c>
      <c r="C1377" s="42">
        <v>1406.34</v>
      </c>
      <c r="D1377" s="42">
        <v>1393.26</v>
      </c>
      <c r="E1377" s="42">
        <v>1402.92</v>
      </c>
      <c r="F1377" s="2">
        <v>6320000000</v>
      </c>
    </row>
    <row r="1378" spans="1:6">
      <c r="A1378" s="32">
        <v>41779</v>
      </c>
      <c r="B1378" s="42">
        <v>1394.58</v>
      </c>
      <c r="C1378" s="42">
        <v>1400.63</v>
      </c>
      <c r="D1378" s="42">
        <v>1387.62</v>
      </c>
      <c r="E1378" s="42">
        <v>1394.69</v>
      </c>
      <c r="F1378" s="2">
        <v>9080000000</v>
      </c>
    </row>
    <row r="1379" spans="1:6">
      <c r="A1379" s="32">
        <v>41778</v>
      </c>
      <c r="B1379" s="42">
        <v>1405.42</v>
      </c>
      <c r="C1379" s="42">
        <v>1410.73</v>
      </c>
      <c r="D1379" s="42">
        <v>1404.13</v>
      </c>
      <c r="E1379" s="42">
        <v>1410.63</v>
      </c>
      <c r="F1379" s="2">
        <v>4130000000</v>
      </c>
    </row>
    <row r="1380" spans="1:6">
      <c r="A1380" s="32">
        <v>41775</v>
      </c>
      <c r="B1380" s="42">
        <v>1390.87</v>
      </c>
      <c r="C1380" s="42">
        <v>1409.11</v>
      </c>
      <c r="D1380" s="42">
        <v>1389.05</v>
      </c>
      <c r="E1380" s="42">
        <v>1405.26</v>
      </c>
      <c r="F1380" s="2">
        <v>5330000000</v>
      </c>
    </row>
    <row r="1381" spans="1:6">
      <c r="A1381" s="32">
        <v>41774</v>
      </c>
      <c r="B1381" s="42">
        <v>1394.74</v>
      </c>
      <c r="C1381" s="42">
        <v>1396.84</v>
      </c>
      <c r="D1381" s="42">
        <v>1387.86</v>
      </c>
      <c r="E1381" s="42">
        <v>1395.21</v>
      </c>
      <c r="F1381" s="2">
        <v>5650000000</v>
      </c>
    </row>
    <row r="1382" spans="1:6">
      <c r="A1382" s="32">
        <v>41773</v>
      </c>
      <c r="B1382" s="42">
        <v>1380.8</v>
      </c>
      <c r="C1382" s="42">
        <v>1396.04</v>
      </c>
      <c r="D1382" s="42">
        <v>1380.74</v>
      </c>
      <c r="E1382" s="42">
        <v>1396.03</v>
      </c>
      <c r="F1382" s="2">
        <v>6470000000</v>
      </c>
    </row>
    <row r="1383" spans="1:6">
      <c r="A1383" s="32">
        <v>41771</v>
      </c>
      <c r="B1383" s="42">
        <v>1375.88</v>
      </c>
      <c r="C1383" s="42">
        <v>1379.27</v>
      </c>
      <c r="D1383" s="42">
        <v>1369.63</v>
      </c>
      <c r="E1383" s="42">
        <v>1375.14</v>
      </c>
      <c r="F1383" s="2">
        <v>4210000000</v>
      </c>
    </row>
    <row r="1384" spans="1:6">
      <c r="A1384" s="32">
        <v>41768</v>
      </c>
      <c r="B1384" s="42">
        <v>1376.4</v>
      </c>
      <c r="C1384" s="42">
        <v>1385.18</v>
      </c>
      <c r="D1384" s="42">
        <v>1371.62</v>
      </c>
      <c r="E1384" s="42">
        <v>1377.37</v>
      </c>
      <c r="F1384" s="2">
        <v>4270000000</v>
      </c>
    </row>
    <row r="1385" spans="1:6">
      <c r="A1385" s="32">
        <v>41767</v>
      </c>
      <c r="B1385" s="42">
        <v>1399.45</v>
      </c>
      <c r="C1385" s="42">
        <v>1401.13</v>
      </c>
      <c r="D1385" s="42">
        <v>1377.51</v>
      </c>
      <c r="E1385" s="42">
        <v>1379.02</v>
      </c>
      <c r="F1385" s="2">
        <v>5690000000</v>
      </c>
    </row>
    <row r="1386" spans="1:6">
      <c r="A1386" s="32">
        <v>41766</v>
      </c>
      <c r="B1386" s="42">
        <v>1391.51</v>
      </c>
      <c r="C1386" s="42">
        <v>1403.55</v>
      </c>
      <c r="D1386" s="42">
        <v>1388.29</v>
      </c>
      <c r="E1386" s="42">
        <v>1402.61</v>
      </c>
      <c r="F1386" s="2">
        <v>5290000000</v>
      </c>
    </row>
    <row r="1387" spans="1:6">
      <c r="A1387" s="32">
        <v>41765</v>
      </c>
      <c r="B1387" s="42">
        <v>1423.91</v>
      </c>
      <c r="C1387" s="42">
        <v>1426.52</v>
      </c>
      <c r="D1387" s="42">
        <v>1403.95</v>
      </c>
      <c r="E1387" s="42">
        <v>1404.01</v>
      </c>
      <c r="F1387" s="2">
        <v>5770000000</v>
      </c>
    </row>
    <row r="1388" spans="1:6">
      <c r="A1388" s="32">
        <v>41761</v>
      </c>
      <c r="B1388" s="42">
        <v>1416.3</v>
      </c>
      <c r="C1388" s="42">
        <v>1421.95</v>
      </c>
      <c r="D1388" s="42">
        <v>1415.56</v>
      </c>
      <c r="E1388" s="42">
        <v>1421.48</v>
      </c>
      <c r="F1388" s="2">
        <v>4790000000</v>
      </c>
    </row>
    <row r="1389" spans="1:6">
      <c r="A1389" s="32">
        <v>41759</v>
      </c>
      <c r="B1389" s="42">
        <v>1413.74</v>
      </c>
      <c r="C1389" s="42">
        <v>1419.38</v>
      </c>
      <c r="D1389" s="42">
        <v>1412.64</v>
      </c>
      <c r="E1389" s="42">
        <v>1414.94</v>
      </c>
      <c r="F1389" s="2">
        <v>8160000000</v>
      </c>
    </row>
    <row r="1390" spans="1:6">
      <c r="A1390" s="32">
        <v>41758</v>
      </c>
      <c r="B1390" s="42">
        <v>1409.02</v>
      </c>
      <c r="C1390" s="42">
        <v>1414.15</v>
      </c>
      <c r="D1390" s="42">
        <v>1405.04</v>
      </c>
      <c r="E1390" s="42">
        <v>1412.33</v>
      </c>
      <c r="F1390" s="2">
        <v>5620000000</v>
      </c>
    </row>
    <row r="1391" spans="1:6">
      <c r="A1391" s="32">
        <v>41757</v>
      </c>
      <c r="B1391" s="42">
        <v>1409.56</v>
      </c>
      <c r="C1391" s="42">
        <v>1417.02</v>
      </c>
      <c r="D1391" s="42">
        <v>1409.19</v>
      </c>
      <c r="E1391" s="42">
        <v>1411.23</v>
      </c>
      <c r="F1391" s="2">
        <v>7830000000</v>
      </c>
    </row>
    <row r="1392" spans="1:6">
      <c r="A1392" s="32">
        <v>41754</v>
      </c>
      <c r="B1392" s="42">
        <v>1419.63</v>
      </c>
      <c r="C1392" s="42">
        <v>1423.27</v>
      </c>
      <c r="D1392" s="42">
        <v>1408.16</v>
      </c>
      <c r="E1392" s="42">
        <v>1408.16</v>
      </c>
      <c r="F1392" s="2">
        <v>7680000000</v>
      </c>
    </row>
    <row r="1393" spans="1:6">
      <c r="A1393" s="32">
        <v>41753</v>
      </c>
      <c r="B1393" s="42">
        <v>1424.8</v>
      </c>
      <c r="C1393" s="42">
        <v>1426.53</v>
      </c>
      <c r="D1393" s="42">
        <v>1419.4</v>
      </c>
      <c r="E1393" s="42">
        <v>1422.67</v>
      </c>
      <c r="F1393" s="2">
        <v>7350000000</v>
      </c>
    </row>
    <row r="1394" spans="1:6">
      <c r="A1394" s="32">
        <v>41752</v>
      </c>
      <c r="B1394" s="42">
        <v>1418.57</v>
      </c>
      <c r="C1394" s="42">
        <v>1424.99</v>
      </c>
      <c r="D1394" s="42">
        <v>1417.83</v>
      </c>
      <c r="E1394" s="42">
        <v>1423.39</v>
      </c>
      <c r="F1394" s="2">
        <v>5640000000</v>
      </c>
    </row>
    <row r="1395" spans="1:6">
      <c r="A1395" s="32">
        <v>41751</v>
      </c>
      <c r="B1395" s="42">
        <v>1417.28</v>
      </c>
      <c r="C1395" s="42">
        <v>1419.41</v>
      </c>
      <c r="D1395" s="42">
        <v>1408.87</v>
      </c>
      <c r="E1395" s="42">
        <v>1415.05</v>
      </c>
      <c r="F1395" s="2">
        <v>4860000000</v>
      </c>
    </row>
    <row r="1396" spans="1:6">
      <c r="A1396" s="32">
        <v>41750</v>
      </c>
      <c r="B1396" s="42">
        <v>1410.05</v>
      </c>
      <c r="C1396" s="42">
        <v>1416.79</v>
      </c>
      <c r="D1396" s="42">
        <v>1406.64</v>
      </c>
      <c r="E1396" s="42">
        <v>1413.07</v>
      </c>
      <c r="F1396" s="2">
        <v>5340000000</v>
      </c>
    </row>
    <row r="1397" spans="1:6">
      <c r="A1397" s="32">
        <v>41747</v>
      </c>
      <c r="B1397" s="42">
        <v>1411.14</v>
      </c>
      <c r="C1397" s="42">
        <v>1414.97</v>
      </c>
      <c r="D1397" s="42">
        <v>1407.89</v>
      </c>
      <c r="E1397" s="42">
        <v>1409.18</v>
      </c>
      <c r="F1397" s="2">
        <v>5550000000</v>
      </c>
    </row>
    <row r="1398" spans="1:6">
      <c r="A1398" s="32">
        <v>41746</v>
      </c>
      <c r="B1398" s="42">
        <v>1401.34</v>
      </c>
      <c r="C1398" s="42">
        <v>1411.51</v>
      </c>
      <c r="D1398" s="42">
        <v>1401.02</v>
      </c>
      <c r="E1398" s="42">
        <v>1408.78</v>
      </c>
      <c r="F1398" s="2">
        <v>5570000000</v>
      </c>
    </row>
    <row r="1399" spans="1:6">
      <c r="A1399" s="32">
        <v>41745</v>
      </c>
      <c r="B1399" s="42">
        <v>1390.19</v>
      </c>
      <c r="C1399" s="42">
        <v>1401.84</v>
      </c>
      <c r="D1399" s="42">
        <v>1389.56</v>
      </c>
      <c r="E1399" s="42">
        <v>1401.84</v>
      </c>
      <c r="F1399" s="2">
        <v>3660000000</v>
      </c>
    </row>
    <row r="1400" spans="1:6">
      <c r="A1400" s="32">
        <v>41740</v>
      </c>
      <c r="B1400" s="42">
        <v>1384.14</v>
      </c>
      <c r="C1400" s="42">
        <v>1389.47</v>
      </c>
      <c r="D1400" s="42">
        <v>1381.07</v>
      </c>
      <c r="E1400" s="42">
        <v>1389.16</v>
      </c>
      <c r="F1400" s="2">
        <v>3030000000</v>
      </c>
    </row>
    <row r="1401" spans="1:6">
      <c r="A1401" s="32">
        <v>41739</v>
      </c>
      <c r="B1401" s="42">
        <v>1384.88</v>
      </c>
      <c r="C1401" s="42">
        <v>1389.78</v>
      </c>
      <c r="D1401" s="42">
        <v>1380.19</v>
      </c>
      <c r="E1401" s="42">
        <v>1389.56</v>
      </c>
      <c r="F1401" s="2">
        <v>4150000000</v>
      </c>
    </row>
    <row r="1402" spans="1:6">
      <c r="A1402" s="32">
        <v>41738</v>
      </c>
      <c r="B1402" s="42">
        <v>1384.06</v>
      </c>
      <c r="C1402" s="42">
        <v>1389.57</v>
      </c>
      <c r="D1402" s="42">
        <v>1380.55</v>
      </c>
      <c r="E1402" s="42">
        <v>1382.02</v>
      </c>
      <c r="F1402" s="2">
        <v>4080000000</v>
      </c>
    </row>
    <row r="1403" spans="1:6">
      <c r="A1403" s="32">
        <v>41737</v>
      </c>
      <c r="B1403" s="42">
        <v>1392.7</v>
      </c>
      <c r="C1403" s="42">
        <v>1399.07</v>
      </c>
      <c r="D1403" s="42">
        <v>1378.97</v>
      </c>
      <c r="E1403" s="42">
        <v>1379.34</v>
      </c>
      <c r="F1403" s="2">
        <v>4190000000</v>
      </c>
    </row>
    <row r="1404" spans="1:6">
      <c r="A1404" s="32">
        <v>41733</v>
      </c>
      <c r="B1404" s="42">
        <v>1392.19</v>
      </c>
      <c r="C1404" s="42">
        <v>1397.46</v>
      </c>
      <c r="D1404" s="42">
        <v>1388.64</v>
      </c>
      <c r="E1404" s="42">
        <v>1392.01</v>
      </c>
      <c r="F1404" s="2">
        <v>4490000000</v>
      </c>
    </row>
    <row r="1405" spans="1:6">
      <c r="A1405" s="32">
        <v>41732</v>
      </c>
      <c r="B1405" s="42">
        <v>1395.33</v>
      </c>
      <c r="C1405" s="42">
        <v>1398.73</v>
      </c>
      <c r="D1405" s="42">
        <v>1387.95</v>
      </c>
      <c r="E1405" s="42">
        <v>1391.22</v>
      </c>
      <c r="F1405" s="2">
        <v>5290000000</v>
      </c>
    </row>
    <row r="1406" spans="1:6">
      <c r="A1406" s="32">
        <v>41731</v>
      </c>
      <c r="B1406" s="42">
        <v>1390.37</v>
      </c>
      <c r="C1406" s="42">
        <v>1397.48</v>
      </c>
      <c r="D1406" s="42">
        <v>1385.28</v>
      </c>
      <c r="E1406" s="42">
        <v>1396.62</v>
      </c>
      <c r="F1406" s="2">
        <v>5140000000</v>
      </c>
    </row>
    <row r="1407" spans="1:6">
      <c r="A1407" s="32">
        <v>41730</v>
      </c>
      <c r="B1407" s="42">
        <v>1377.99</v>
      </c>
      <c r="C1407" s="42">
        <v>1387.58</v>
      </c>
      <c r="D1407" s="42">
        <v>1374.95</v>
      </c>
      <c r="E1407" s="42">
        <v>1387.48</v>
      </c>
      <c r="F1407" s="2">
        <v>3690000000</v>
      </c>
    </row>
    <row r="1408" spans="1:6">
      <c r="A1408" s="32">
        <v>41729</v>
      </c>
      <c r="B1408" s="42">
        <v>1373.54</v>
      </c>
      <c r="C1408" s="42">
        <v>1378.39</v>
      </c>
      <c r="D1408" s="42">
        <v>1371.35</v>
      </c>
      <c r="E1408" s="42">
        <v>1376.26</v>
      </c>
      <c r="F1408" s="2">
        <v>3340000000</v>
      </c>
    </row>
    <row r="1409" spans="1:6">
      <c r="A1409" s="32">
        <v>41726</v>
      </c>
      <c r="B1409" s="42">
        <v>1356.77</v>
      </c>
      <c r="C1409" s="42">
        <v>1377.88</v>
      </c>
      <c r="D1409" s="42">
        <v>1355.97</v>
      </c>
      <c r="E1409" s="42">
        <v>1368.9</v>
      </c>
      <c r="F1409" s="2">
        <v>4080000000</v>
      </c>
    </row>
    <row r="1410" spans="1:6">
      <c r="A1410" s="32">
        <v>41725</v>
      </c>
      <c r="B1410" s="42">
        <v>1361.91</v>
      </c>
      <c r="C1410" s="42">
        <v>1365.82</v>
      </c>
      <c r="D1410" s="42">
        <v>1354.69</v>
      </c>
      <c r="E1410" s="42">
        <v>1355.95</v>
      </c>
      <c r="F1410" s="2">
        <v>5400000000</v>
      </c>
    </row>
    <row r="1411" spans="1:6">
      <c r="A1411" s="32">
        <v>41724</v>
      </c>
      <c r="B1411" s="42">
        <v>1357.99</v>
      </c>
      <c r="C1411" s="42">
        <v>1363.27</v>
      </c>
      <c r="D1411" s="42">
        <v>1356.42</v>
      </c>
      <c r="E1411" s="42">
        <v>1360.44</v>
      </c>
      <c r="F1411" s="2">
        <v>3570000000</v>
      </c>
    </row>
    <row r="1412" spans="1:6">
      <c r="A1412" s="32">
        <v>41723</v>
      </c>
      <c r="B1412" s="42">
        <v>1351.14</v>
      </c>
      <c r="C1412" s="42">
        <v>1354.3</v>
      </c>
      <c r="D1412" s="42">
        <v>1341.6</v>
      </c>
      <c r="E1412" s="42">
        <v>1354.01</v>
      </c>
      <c r="F1412" s="2">
        <v>4630000000</v>
      </c>
    </row>
    <row r="1413" spans="1:6">
      <c r="A1413" s="32">
        <v>41722</v>
      </c>
      <c r="B1413" s="42">
        <v>1359.65</v>
      </c>
      <c r="C1413" s="42">
        <v>1360.29</v>
      </c>
      <c r="D1413" s="42">
        <v>1348.24</v>
      </c>
      <c r="E1413" s="42">
        <v>1349.9</v>
      </c>
      <c r="F1413" s="2">
        <v>4670000000</v>
      </c>
    </row>
    <row r="1414" spans="1:6">
      <c r="A1414" s="32">
        <v>41719</v>
      </c>
      <c r="B1414" s="42">
        <v>1362.69</v>
      </c>
      <c r="C1414" s="42">
        <v>1364.15</v>
      </c>
      <c r="D1414" s="42">
        <v>1353.38</v>
      </c>
      <c r="E1414" s="42">
        <v>1360.5</v>
      </c>
      <c r="F1414" s="2">
        <v>4410000000</v>
      </c>
    </row>
    <row r="1415" spans="1:6">
      <c r="A1415" s="32">
        <v>41718</v>
      </c>
      <c r="B1415" s="42">
        <v>1357.62</v>
      </c>
      <c r="C1415" s="42">
        <v>1361.47</v>
      </c>
      <c r="D1415" s="42">
        <v>1351.36</v>
      </c>
      <c r="E1415" s="42">
        <v>1361.47</v>
      </c>
      <c r="F1415" s="2">
        <v>5040000000</v>
      </c>
    </row>
    <row r="1416" spans="1:6">
      <c r="A1416" s="32">
        <v>41717</v>
      </c>
      <c r="B1416" s="42">
        <v>1375.9</v>
      </c>
      <c r="C1416" s="42">
        <v>1381.12</v>
      </c>
      <c r="D1416" s="42">
        <v>1360.26</v>
      </c>
      <c r="E1416" s="42">
        <v>1364.27</v>
      </c>
      <c r="F1416" s="2">
        <v>7050000000</v>
      </c>
    </row>
    <row r="1417" spans="1:6">
      <c r="A1417" s="32">
        <v>41716</v>
      </c>
      <c r="B1417" s="42">
        <v>1379.94</v>
      </c>
      <c r="C1417" s="42">
        <v>1381.21</v>
      </c>
      <c r="D1417" s="42">
        <v>1372.63</v>
      </c>
      <c r="E1417" s="42">
        <v>1373.08</v>
      </c>
      <c r="F1417" s="2">
        <v>7460000000</v>
      </c>
    </row>
    <row r="1418" spans="1:6">
      <c r="A1418" s="32">
        <v>41715</v>
      </c>
      <c r="B1418" s="42">
        <v>1373.79</v>
      </c>
      <c r="C1418" s="42">
        <v>1377.29</v>
      </c>
      <c r="D1418" s="42">
        <v>1366.75</v>
      </c>
      <c r="E1418" s="42">
        <v>1377.1</v>
      </c>
      <c r="F1418" s="2">
        <v>5900000000</v>
      </c>
    </row>
    <row r="1419" spans="1:6">
      <c r="A1419" s="32">
        <v>41712</v>
      </c>
      <c r="B1419" s="42">
        <v>1364.17</v>
      </c>
      <c r="C1419" s="42">
        <v>1372.18</v>
      </c>
      <c r="D1419" s="42">
        <v>1360.51</v>
      </c>
      <c r="E1419" s="42">
        <v>1372.18</v>
      </c>
      <c r="F1419" s="2">
        <v>8340000000</v>
      </c>
    </row>
    <row r="1420" spans="1:6">
      <c r="A1420" s="32">
        <v>41711</v>
      </c>
      <c r="B1420" s="42">
        <v>1361.69</v>
      </c>
      <c r="C1420" s="42">
        <v>1370.73</v>
      </c>
      <c r="D1420" s="42">
        <v>1361.24</v>
      </c>
      <c r="E1420" s="42">
        <v>1370.5</v>
      </c>
      <c r="F1420" s="2">
        <v>6240000000</v>
      </c>
    </row>
    <row r="1421" spans="1:6">
      <c r="A1421" s="32">
        <v>41710</v>
      </c>
      <c r="B1421" s="42">
        <v>1359.63</v>
      </c>
      <c r="C1421" s="42">
        <v>1364.92</v>
      </c>
      <c r="D1421" s="42">
        <v>1356.41</v>
      </c>
      <c r="E1421" s="42">
        <v>1356.42</v>
      </c>
      <c r="F1421" s="2">
        <v>5340000000</v>
      </c>
    </row>
    <row r="1422" spans="1:6">
      <c r="A1422" s="32">
        <v>41709</v>
      </c>
      <c r="B1422" s="42">
        <v>1352.62</v>
      </c>
      <c r="C1422" s="42">
        <v>1366.06</v>
      </c>
      <c r="D1422" s="42">
        <v>1351.84</v>
      </c>
      <c r="E1422" s="42">
        <v>1364.28</v>
      </c>
      <c r="F1422" s="2">
        <v>7820000000</v>
      </c>
    </row>
    <row r="1423" spans="1:6">
      <c r="A1423" s="32">
        <v>41708</v>
      </c>
      <c r="B1423" s="42">
        <v>1354.21</v>
      </c>
      <c r="C1423" s="42">
        <v>1355.9</v>
      </c>
      <c r="D1423" s="42">
        <v>1338.48</v>
      </c>
      <c r="E1423" s="42">
        <v>1349.05</v>
      </c>
      <c r="F1423" s="2">
        <v>5920000000</v>
      </c>
    </row>
    <row r="1424" spans="1:6">
      <c r="A1424" s="32">
        <v>41705</v>
      </c>
      <c r="B1424" s="42">
        <v>1355</v>
      </c>
      <c r="C1424" s="42">
        <v>1358</v>
      </c>
      <c r="D1424" s="42">
        <v>1351.07</v>
      </c>
      <c r="E1424" s="42">
        <v>1355.08</v>
      </c>
      <c r="F1424" s="2">
        <v>5450000000</v>
      </c>
    </row>
    <row r="1425" spans="1:6">
      <c r="A1425" s="32">
        <v>41704</v>
      </c>
      <c r="B1425" s="42">
        <v>1352.18</v>
      </c>
      <c r="C1425" s="42">
        <v>1354.08</v>
      </c>
      <c r="D1425" s="42">
        <v>1348.22</v>
      </c>
      <c r="E1425" s="42">
        <v>1352.21</v>
      </c>
      <c r="F1425" s="2">
        <v>7290000000</v>
      </c>
    </row>
    <row r="1426" spans="1:6">
      <c r="A1426" s="32">
        <v>41703</v>
      </c>
      <c r="B1426" s="42">
        <v>1354.64</v>
      </c>
      <c r="C1426" s="42">
        <v>1357.39</v>
      </c>
      <c r="D1426" s="42">
        <v>1343.54</v>
      </c>
      <c r="E1426" s="42">
        <v>1351.64</v>
      </c>
      <c r="F1426" s="2">
        <v>7220000000</v>
      </c>
    </row>
    <row r="1427" spans="1:6">
      <c r="A1427" s="32">
        <v>41702</v>
      </c>
      <c r="B1427" s="42">
        <v>1344.4</v>
      </c>
      <c r="C1427" s="42">
        <v>1350.44</v>
      </c>
      <c r="D1427" s="42">
        <v>1343.56</v>
      </c>
      <c r="E1427" s="42">
        <v>1345.82</v>
      </c>
      <c r="F1427" s="2">
        <v>5810000000</v>
      </c>
    </row>
    <row r="1428" spans="1:6">
      <c r="A1428" s="32">
        <v>41701</v>
      </c>
      <c r="B1428" s="42">
        <v>1330.73</v>
      </c>
      <c r="C1428" s="42">
        <v>1346.71</v>
      </c>
      <c r="D1428" s="42">
        <v>1330.53</v>
      </c>
      <c r="E1428" s="42">
        <v>1339.21</v>
      </c>
      <c r="F1428" s="2">
        <v>6060000000</v>
      </c>
    </row>
    <row r="1429" spans="1:6">
      <c r="A1429" s="32">
        <v>41698</v>
      </c>
      <c r="B1429" s="42">
        <v>1318.26</v>
      </c>
      <c r="C1429" s="42">
        <v>1326.64</v>
      </c>
      <c r="D1429" s="42">
        <v>1314.27</v>
      </c>
      <c r="E1429" s="42">
        <v>1325.33</v>
      </c>
      <c r="F1429" s="2">
        <v>6540000000</v>
      </c>
    </row>
    <row r="1430" spans="1:6">
      <c r="A1430" s="32">
        <v>41697</v>
      </c>
      <c r="B1430" s="42">
        <v>1306.52</v>
      </c>
      <c r="C1430" s="42">
        <v>1321.02</v>
      </c>
      <c r="D1430" s="42">
        <v>1305.69</v>
      </c>
      <c r="E1430" s="42">
        <v>1318.05</v>
      </c>
      <c r="F1430" s="2">
        <v>4980000000</v>
      </c>
    </row>
    <row r="1431" spans="1:6">
      <c r="A1431" s="32">
        <v>41696</v>
      </c>
      <c r="B1431" s="42">
        <v>1304.3499999999999</v>
      </c>
      <c r="C1431" s="42">
        <v>1309.3399999999999</v>
      </c>
      <c r="D1431" s="42">
        <v>1302.6400000000001</v>
      </c>
      <c r="E1431" s="42">
        <v>1304.6199999999999</v>
      </c>
      <c r="F1431" s="2">
        <v>4610000000</v>
      </c>
    </row>
    <row r="1432" spans="1:6">
      <c r="A1432" s="32">
        <v>41695</v>
      </c>
      <c r="B1432" s="42">
        <v>1304.6600000000001</v>
      </c>
      <c r="C1432" s="42">
        <v>1312.73</v>
      </c>
      <c r="D1432" s="42">
        <v>1299.7</v>
      </c>
      <c r="E1432" s="42">
        <v>1303.8800000000001</v>
      </c>
      <c r="F1432" s="2">
        <v>7860000000</v>
      </c>
    </row>
    <row r="1433" spans="1:6">
      <c r="A1433" s="32">
        <v>41694</v>
      </c>
      <c r="B1433" s="42">
        <v>1298.6099999999999</v>
      </c>
      <c r="C1433" s="42">
        <v>1304.6600000000001</v>
      </c>
      <c r="D1433" s="42">
        <v>1294.27</v>
      </c>
      <c r="E1433" s="42">
        <v>1301.3800000000001</v>
      </c>
      <c r="F1433" s="2">
        <v>5600000000</v>
      </c>
    </row>
    <row r="1434" spans="1:6">
      <c r="A1434" s="32">
        <v>41691</v>
      </c>
      <c r="B1434" s="42">
        <v>1304.7</v>
      </c>
      <c r="C1434" s="42">
        <v>1309.6300000000001</v>
      </c>
      <c r="D1434" s="42">
        <v>1295.74</v>
      </c>
      <c r="E1434" s="42">
        <v>1304.21</v>
      </c>
      <c r="F1434" s="2">
        <v>5890000000</v>
      </c>
    </row>
    <row r="1435" spans="1:6">
      <c r="A1435" s="32">
        <v>41690</v>
      </c>
      <c r="B1435" s="42">
        <v>1314.36</v>
      </c>
      <c r="C1435" s="42">
        <v>1317.23</v>
      </c>
      <c r="D1435" s="42">
        <v>1300.9100000000001</v>
      </c>
      <c r="E1435" s="42">
        <v>1303.98</v>
      </c>
      <c r="F1435" s="2">
        <v>8760000000</v>
      </c>
    </row>
    <row r="1436" spans="1:6">
      <c r="A1436" s="32">
        <v>41689</v>
      </c>
      <c r="B1436" s="42">
        <v>1331.45</v>
      </c>
      <c r="C1436" s="42">
        <v>1332.55</v>
      </c>
      <c r="D1436" s="42">
        <v>1318.55</v>
      </c>
      <c r="E1436" s="42">
        <v>1321</v>
      </c>
      <c r="F1436" s="2">
        <v>8800000000</v>
      </c>
    </row>
    <row r="1437" spans="1:6">
      <c r="A1437" s="32">
        <v>41688</v>
      </c>
      <c r="B1437" s="42">
        <v>1328.45</v>
      </c>
      <c r="C1437" s="42">
        <v>1330.03</v>
      </c>
      <c r="D1437" s="42">
        <v>1315.22</v>
      </c>
      <c r="E1437" s="42">
        <v>1326.21</v>
      </c>
      <c r="F1437" s="2">
        <v>7230000000</v>
      </c>
    </row>
    <row r="1438" spans="1:6">
      <c r="A1438" s="32">
        <v>41687</v>
      </c>
      <c r="B1438" s="42">
        <v>1319.36</v>
      </c>
      <c r="C1438" s="42">
        <v>1333.3</v>
      </c>
      <c r="D1438" s="42">
        <v>1316.87</v>
      </c>
      <c r="E1438" s="42">
        <v>1332.37</v>
      </c>
      <c r="F1438" s="2">
        <v>5140000000</v>
      </c>
    </row>
    <row r="1439" spans="1:6">
      <c r="A1439" s="32">
        <v>41683</v>
      </c>
      <c r="B1439" s="42">
        <v>1314.27</v>
      </c>
      <c r="C1439" s="42">
        <v>1317.08</v>
      </c>
      <c r="D1439" s="42">
        <v>1308.4000000000001</v>
      </c>
      <c r="E1439" s="42">
        <v>1311.87</v>
      </c>
      <c r="F1439" s="2">
        <v>5900000000</v>
      </c>
    </row>
    <row r="1440" spans="1:6">
      <c r="A1440" s="32">
        <v>41682</v>
      </c>
      <c r="B1440" s="42">
        <v>1299.3699999999999</v>
      </c>
      <c r="C1440" s="42">
        <v>1314.07</v>
      </c>
      <c r="D1440" s="42">
        <v>1298.54</v>
      </c>
      <c r="E1440" s="42">
        <v>1314.06</v>
      </c>
      <c r="F1440" s="2">
        <v>5580000000</v>
      </c>
    </row>
    <row r="1441" spans="1:6">
      <c r="A1441" s="32">
        <v>41681</v>
      </c>
      <c r="B1441" s="42">
        <v>1293.07</v>
      </c>
      <c r="C1441" s="42">
        <v>1299.8499999999999</v>
      </c>
      <c r="D1441" s="42">
        <v>1288.3599999999999</v>
      </c>
      <c r="E1441" s="42">
        <v>1296.25</v>
      </c>
      <c r="F1441" s="2">
        <v>3950000000</v>
      </c>
    </row>
    <row r="1442" spans="1:6">
      <c r="A1442" s="32">
        <v>41680</v>
      </c>
      <c r="B1442" s="42">
        <v>1301.4100000000001</v>
      </c>
      <c r="C1442" s="42">
        <v>1303.44</v>
      </c>
      <c r="D1442" s="42">
        <v>1288.26</v>
      </c>
      <c r="E1442" s="42">
        <v>1290.6600000000001</v>
      </c>
      <c r="F1442" s="2">
        <v>4230000000</v>
      </c>
    </row>
    <row r="1443" spans="1:6">
      <c r="A1443" s="32">
        <v>41677</v>
      </c>
      <c r="B1443" s="42">
        <v>1302.8399999999999</v>
      </c>
      <c r="C1443" s="42">
        <v>1306.1199999999999</v>
      </c>
      <c r="D1443" s="42">
        <v>1295.29</v>
      </c>
      <c r="E1443" s="42">
        <v>1296.49</v>
      </c>
      <c r="F1443" s="2">
        <v>7290000000</v>
      </c>
    </row>
    <row r="1444" spans="1:6">
      <c r="A1444" s="32">
        <v>41676</v>
      </c>
      <c r="B1444" s="42">
        <v>1289.3499999999999</v>
      </c>
      <c r="C1444" s="42">
        <v>1295.3800000000001</v>
      </c>
      <c r="D1444" s="42">
        <v>1285.3900000000001</v>
      </c>
      <c r="E1444" s="42">
        <v>1295.24</v>
      </c>
      <c r="F1444" s="2">
        <v>4720000000</v>
      </c>
    </row>
    <row r="1445" spans="1:6">
      <c r="A1445" s="32">
        <v>41675</v>
      </c>
      <c r="B1445" s="42">
        <v>1283.22</v>
      </c>
      <c r="C1445" s="42">
        <v>1287.05</v>
      </c>
      <c r="D1445" s="42">
        <v>1272.04</v>
      </c>
      <c r="E1445" s="42">
        <v>1280.25</v>
      </c>
      <c r="F1445" s="2">
        <v>5540000000</v>
      </c>
    </row>
    <row r="1446" spans="1:6">
      <c r="A1446" s="32">
        <v>41674</v>
      </c>
      <c r="B1446" s="42">
        <v>1281.3399999999999</v>
      </c>
      <c r="C1446" s="42">
        <v>1283.18</v>
      </c>
      <c r="D1446" s="42">
        <v>1273.94</v>
      </c>
      <c r="E1446" s="42">
        <v>1276.8399999999999</v>
      </c>
      <c r="F1446" s="2">
        <v>3280000000</v>
      </c>
    </row>
    <row r="1447" spans="1:6">
      <c r="A1447" s="32">
        <v>41673</v>
      </c>
      <c r="B1447" s="42">
        <v>1282.3</v>
      </c>
      <c r="C1447" s="42">
        <v>1295.1300000000001</v>
      </c>
      <c r="D1447" s="42">
        <v>1280.9000000000001</v>
      </c>
      <c r="E1447" s="42">
        <v>1292.81</v>
      </c>
      <c r="F1447" s="2">
        <v>3880000000</v>
      </c>
    </row>
    <row r="1448" spans="1:6">
      <c r="A1448" s="32">
        <v>41670</v>
      </c>
      <c r="B1448" s="42">
        <v>1267.83</v>
      </c>
      <c r="C1448" s="42">
        <v>1274.5</v>
      </c>
      <c r="D1448" s="42">
        <v>1266.78</v>
      </c>
      <c r="E1448" s="42">
        <v>1274.28</v>
      </c>
      <c r="F1448" s="2">
        <v>2580000000</v>
      </c>
    </row>
    <row r="1449" spans="1:6">
      <c r="A1449" s="32">
        <v>41669</v>
      </c>
      <c r="B1449" s="42">
        <v>1263.8499999999999</v>
      </c>
      <c r="C1449" s="42">
        <v>1267.98</v>
      </c>
      <c r="D1449" s="42">
        <v>1258.05</v>
      </c>
      <c r="E1449" s="42">
        <v>1264.07</v>
      </c>
      <c r="F1449" s="2">
        <v>3490000000</v>
      </c>
    </row>
    <row r="1450" spans="1:6">
      <c r="A1450" s="32">
        <v>41668</v>
      </c>
      <c r="B1450" s="42">
        <v>1274.6500000000001</v>
      </c>
      <c r="C1450" s="42">
        <v>1279.32</v>
      </c>
      <c r="D1450" s="42">
        <v>1267.82</v>
      </c>
      <c r="E1450" s="42">
        <v>1271.42</v>
      </c>
      <c r="F1450" s="2">
        <v>3430000000</v>
      </c>
    </row>
    <row r="1451" spans="1:6">
      <c r="A1451" s="32">
        <v>41667</v>
      </c>
      <c r="B1451" s="42">
        <v>1286.73</v>
      </c>
      <c r="C1451" s="42">
        <v>1287.81</v>
      </c>
      <c r="D1451" s="42">
        <v>1268.07</v>
      </c>
      <c r="E1451" s="42">
        <v>1271.79</v>
      </c>
      <c r="F1451" s="2">
        <v>4500000000</v>
      </c>
    </row>
    <row r="1452" spans="1:6">
      <c r="A1452" s="32">
        <v>41666</v>
      </c>
      <c r="B1452" s="42">
        <v>1296.47</v>
      </c>
      <c r="C1452" s="42">
        <v>1298.06</v>
      </c>
      <c r="D1452" s="42">
        <v>1287.3499999999999</v>
      </c>
      <c r="E1452" s="42">
        <v>1288.5899999999999</v>
      </c>
      <c r="F1452" s="2">
        <v>3990000000</v>
      </c>
    </row>
    <row r="1453" spans="1:6">
      <c r="A1453" s="32">
        <v>41663</v>
      </c>
      <c r="B1453" s="42">
        <v>1314.54</v>
      </c>
      <c r="C1453" s="42">
        <v>1320.65</v>
      </c>
      <c r="D1453" s="42">
        <v>1307.1600000000001</v>
      </c>
      <c r="E1453" s="42">
        <v>1314.63</v>
      </c>
      <c r="F1453" s="2">
        <v>4630000000</v>
      </c>
    </row>
    <row r="1454" spans="1:6">
      <c r="A1454" s="32">
        <v>41662</v>
      </c>
      <c r="B1454" s="42">
        <v>1292.72</v>
      </c>
      <c r="C1454" s="42">
        <v>1312.18</v>
      </c>
      <c r="D1454" s="42">
        <v>1288.71</v>
      </c>
      <c r="E1454" s="42">
        <v>1308.3399999999999</v>
      </c>
      <c r="F1454" s="2">
        <v>4580000000</v>
      </c>
    </row>
    <row r="1455" spans="1:6">
      <c r="A1455" s="32">
        <v>41661</v>
      </c>
      <c r="B1455" s="42">
        <v>1282.2</v>
      </c>
      <c r="C1455" s="42">
        <v>1296.03</v>
      </c>
      <c r="D1455" s="42">
        <v>1280.0899999999999</v>
      </c>
      <c r="E1455" s="42">
        <v>1290.49</v>
      </c>
      <c r="F1455" s="2">
        <v>4320000000</v>
      </c>
    </row>
    <row r="1456" spans="1:6">
      <c r="A1456" s="32">
        <v>41660</v>
      </c>
      <c r="B1456" s="42">
        <v>1294.68</v>
      </c>
      <c r="C1456" s="42">
        <v>1304.28</v>
      </c>
      <c r="D1456" s="42">
        <v>1285.17</v>
      </c>
      <c r="E1456" s="42">
        <v>1293.0999999999999</v>
      </c>
      <c r="F1456" s="2">
        <v>4890000000</v>
      </c>
    </row>
    <row r="1457" spans="1:6">
      <c r="A1457" s="32">
        <v>41659</v>
      </c>
      <c r="B1457" s="42">
        <v>1290.95</v>
      </c>
      <c r="C1457" s="42">
        <v>1297.93</v>
      </c>
      <c r="D1457" s="42">
        <v>1287.8399999999999</v>
      </c>
      <c r="E1457" s="42">
        <v>1289.99</v>
      </c>
      <c r="F1457" s="2">
        <v>4900000000</v>
      </c>
    </row>
    <row r="1458" spans="1:6">
      <c r="A1458" s="32">
        <v>41656</v>
      </c>
      <c r="B1458" s="42">
        <v>1305.07</v>
      </c>
      <c r="C1458" s="42">
        <v>1306.82</v>
      </c>
      <c r="D1458" s="42">
        <v>1287.2</v>
      </c>
      <c r="E1458" s="42">
        <v>1295.4100000000001</v>
      </c>
      <c r="F1458" s="2">
        <v>6880000000</v>
      </c>
    </row>
    <row r="1459" spans="1:6">
      <c r="A1459" s="32">
        <v>41655</v>
      </c>
      <c r="B1459" s="42">
        <v>1281.26</v>
      </c>
      <c r="C1459" s="42">
        <v>1304.8900000000001</v>
      </c>
      <c r="D1459" s="42">
        <v>1280.0899999999999</v>
      </c>
      <c r="E1459" s="42">
        <v>1301.48</v>
      </c>
      <c r="F1459" s="2">
        <v>6480000000</v>
      </c>
    </row>
    <row r="1460" spans="1:6">
      <c r="A1460" s="32">
        <v>41654</v>
      </c>
      <c r="B1460" s="42">
        <v>1293.3900000000001</v>
      </c>
      <c r="C1460" s="42">
        <v>1297.76</v>
      </c>
      <c r="D1460" s="42">
        <v>1275.78</v>
      </c>
      <c r="E1460" s="42">
        <v>1277.03</v>
      </c>
      <c r="F1460" s="2">
        <v>5160000000</v>
      </c>
    </row>
    <row r="1461" spans="1:6">
      <c r="A1461" s="32">
        <v>41653</v>
      </c>
      <c r="B1461" s="42">
        <v>1276.3900000000001</v>
      </c>
      <c r="C1461" s="42">
        <v>1300.6500000000001</v>
      </c>
      <c r="D1461" s="42">
        <v>1274.33</v>
      </c>
      <c r="E1461" s="42">
        <v>1295.8699999999999</v>
      </c>
      <c r="F1461" s="2">
        <v>5930000000</v>
      </c>
    </row>
    <row r="1462" spans="1:6">
      <c r="A1462" s="32">
        <v>41652</v>
      </c>
      <c r="B1462" s="42">
        <v>1244.21</v>
      </c>
      <c r="C1462" s="42">
        <v>1283.76</v>
      </c>
      <c r="D1462" s="42">
        <v>1244.1400000000001</v>
      </c>
      <c r="E1462" s="42">
        <v>1283.56</v>
      </c>
      <c r="F1462" s="2">
        <v>4340000000</v>
      </c>
    </row>
    <row r="1463" spans="1:6">
      <c r="A1463" s="32">
        <v>41649</v>
      </c>
      <c r="B1463" s="42">
        <v>1247.27</v>
      </c>
      <c r="C1463" s="42">
        <v>1259.5</v>
      </c>
      <c r="D1463" s="42">
        <v>1240.3800000000001</v>
      </c>
      <c r="E1463" s="42">
        <v>1255.45</v>
      </c>
      <c r="F1463" s="2">
        <v>4280000000</v>
      </c>
    </row>
    <row r="1464" spans="1:6">
      <c r="A1464" s="32">
        <v>41648</v>
      </c>
      <c r="B1464" s="42">
        <v>1264.03</v>
      </c>
      <c r="C1464" s="42">
        <v>1277.5</v>
      </c>
      <c r="D1464" s="42">
        <v>1255.1099999999999</v>
      </c>
      <c r="E1464" s="42">
        <v>1258.26</v>
      </c>
      <c r="F1464" s="2">
        <v>4770000000</v>
      </c>
    </row>
    <row r="1465" spans="1:6">
      <c r="A1465" s="32">
        <v>41647</v>
      </c>
      <c r="B1465" s="42">
        <v>1261.69</v>
      </c>
      <c r="C1465" s="42">
        <v>1273.6199999999999</v>
      </c>
      <c r="D1465" s="42">
        <v>1253.5999999999999</v>
      </c>
      <c r="E1465" s="42">
        <v>1257.73</v>
      </c>
      <c r="F1465" s="2">
        <v>4690000000</v>
      </c>
    </row>
    <row r="1466" spans="1:6">
      <c r="A1466" s="32">
        <v>41646</v>
      </c>
      <c r="B1466" s="42">
        <v>1236.4100000000001</v>
      </c>
      <c r="C1466" s="42">
        <v>1262.44</v>
      </c>
      <c r="D1466" s="42">
        <v>1235.51</v>
      </c>
      <c r="E1466" s="42">
        <v>1262.3599999999999</v>
      </c>
      <c r="F1466" s="2">
        <v>5070000000</v>
      </c>
    </row>
    <row r="1467" spans="1:6">
      <c r="A1467" s="32">
        <v>41645</v>
      </c>
      <c r="B1467" s="42">
        <v>1222.69</v>
      </c>
      <c r="C1467" s="42">
        <v>1231.6199999999999</v>
      </c>
      <c r="D1467" s="42">
        <v>1205.44</v>
      </c>
      <c r="E1467" s="42">
        <v>1230.8399999999999</v>
      </c>
      <c r="F1467" s="2">
        <v>4860000000</v>
      </c>
    </row>
    <row r="1468" spans="1:6">
      <c r="A1468" s="32">
        <v>41642</v>
      </c>
      <c r="B1468" s="42">
        <v>1215.8599999999999</v>
      </c>
      <c r="C1468" s="42">
        <v>1234.52</v>
      </c>
      <c r="D1468" s="42">
        <v>1208.5999999999999</v>
      </c>
      <c r="E1468" s="42">
        <v>1224.6199999999999</v>
      </c>
      <c r="F1468" s="2">
        <v>5270000000</v>
      </c>
    </row>
    <row r="1469" spans="1:6">
      <c r="A1469" s="32">
        <v>41641</v>
      </c>
      <c r="B1469" s="42">
        <v>1291.93</v>
      </c>
      <c r="C1469" s="42">
        <v>1292.77</v>
      </c>
      <c r="D1469" s="42">
        <v>1230.77</v>
      </c>
      <c r="E1469" s="42">
        <v>1230.77</v>
      </c>
      <c r="F1469" s="2">
        <v>6320000000</v>
      </c>
    </row>
    <row r="1470" spans="1:6">
      <c r="A1470" s="32">
        <v>41635</v>
      </c>
      <c r="B1470" s="42">
        <v>1305.28</v>
      </c>
      <c r="C1470" s="42">
        <v>1306.24</v>
      </c>
      <c r="D1470" s="42">
        <v>1286.7</v>
      </c>
      <c r="E1470" s="42">
        <v>1298.71</v>
      </c>
      <c r="F1470" s="2">
        <v>4730000000</v>
      </c>
    </row>
    <row r="1471" spans="1:6">
      <c r="A1471" s="32">
        <v>41634</v>
      </c>
      <c r="B1471" s="42">
        <v>1333.63</v>
      </c>
      <c r="C1471" s="42">
        <v>1334.25</v>
      </c>
      <c r="D1471" s="42">
        <v>1301.3699999999999</v>
      </c>
      <c r="E1471" s="42">
        <v>1308.46</v>
      </c>
      <c r="F1471" s="2">
        <v>4090000000</v>
      </c>
    </row>
    <row r="1472" spans="1:6">
      <c r="A1472" s="32">
        <v>41633</v>
      </c>
      <c r="B1472" s="42">
        <v>1328.96</v>
      </c>
      <c r="C1472" s="42">
        <v>1333.67</v>
      </c>
      <c r="D1472" s="42">
        <v>1327.42</v>
      </c>
      <c r="E1472" s="42">
        <v>1332.45</v>
      </c>
      <c r="F1472" s="2">
        <v>2810000000</v>
      </c>
    </row>
    <row r="1473" spans="1:6">
      <c r="A1473" s="32">
        <v>41632</v>
      </c>
      <c r="B1473" s="42">
        <v>1321.74</v>
      </c>
      <c r="C1473" s="42">
        <v>1334.96</v>
      </c>
      <c r="D1473" s="42">
        <v>1320.89</v>
      </c>
      <c r="E1473" s="42">
        <v>1327.13</v>
      </c>
      <c r="F1473" s="2">
        <v>3530000000</v>
      </c>
    </row>
    <row r="1474" spans="1:6">
      <c r="A1474" s="32">
        <v>41631</v>
      </c>
      <c r="B1474" s="42">
        <v>1341.83</v>
      </c>
      <c r="C1474" s="42">
        <v>1342.87</v>
      </c>
      <c r="D1474" s="42">
        <v>1322.57</v>
      </c>
      <c r="E1474" s="42">
        <v>1326.14</v>
      </c>
      <c r="F1474" s="2">
        <v>4340000000</v>
      </c>
    </row>
    <row r="1475" spans="1:6">
      <c r="A1475" s="32">
        <v>41628</v>
      </c>
      <c r="B1475" s="42">
        <v>1345.91</v>
      </c>
      <c r="C1475" s="42">
        <v>1346.43</v>
      </c>
      <c r="D1475" s="42">
        <v>1331.8</v>
      </c>
      <c r="E1475" s="42">
        <v>1342.72</v>
      </c>
      <c r="F1475" s="2">
        <v>3680000000</v>
      </c>
    </row>
    <row r="1476" spans="1:6">
      <c r="A1476" s="32">
        <v>41627</v>
      </c>
      <c r="B1476" s="42">
        <v>1350.93</v>
      </c>
      <c r="C1476" s="42">
        <v>1353.88</v>
      </c>
      <c r="D1476" s="42">
        <v>1343.61</v>
      </c>
      <c r="E1476" s="42">
        <v>1346.63</v>
      </c>
      <c r="F1476" s="2">
        <v>4750000000</v>
      </c>
    </row>
    <row r="1477" spans="1:6">
      <c r="A1477" s="32">
        <v>41626</v>
      </c>
      <c r="B1477" s="42">
        <v>1341.58</v>
      </c>
      <c r="C1477" s="42">
        <v>1353.97</v>
      </c>
      <c r="D1477" s="42">
        <v>1340.66</v>
      </c>
      <c r="E1477" s="42">
        <v>1349.86</v>
      </c>
      <c r="F1477" s="2">
        <v>4790000000</v>
      </c>
    </row>
    <row r="1478" spans="1:6">
      <c r="A1478" s="32">
        <v>41625</v>
      </c>
      <c r="B1478" s="42">
        <v>1335.59</v>
      </c>
      <c r="C1478" s="42">
        <v>1340.7</v>
      </c>
      <c r="D1478" s="42">
        <v>1334.24</v>
      </c>
      <c r="E1478" s="42">
        <v>1337.18</v>
      </c>
      <c r="F1478" s="2">
        <v>4630000000</v>
      </c>
    </row>
    <row r="1479" spans="1:6">
      <c r="A1479" s="32">
        <v>41624</v>
      </c>
      <c r="B1479" s="42">
        <v>1337.54</v>
      </c>
      <c r="C1479" s="42">
        <v>1338.74</v>
      </c>
      <c r="D1479" s="42">
        <v>1326.01</v>
      </c>
      <c r="E1479" s="42">
        <v>1328.4</v>
      </c>
      <c r="F1479" s="2">
        <v>4530000000</v>
      </c>
    </row>
    <row r="1480" spans="1:6">
      <c r="A1480" s="32">
        <v>41621</v>
      </c>
      <c r="B1480" s="42">
        <v>1354.91</v>
      </c>
      <c r="C1480" s="42">
        <v>1357.44</v>
      </c>
      <c r="D1480" s="42">
        <v>1336.79</v>
      </c>
      <c r="E1480" s="42">
        <v>1341.13</v>
      </c>
      <c r="F1480" s="2">
        <v>6210000000</v>
      </c>
    </row>
    <row r="1481" spans="1:6">
      <c r="A1481" s="32">
        <v>41620</v>
      </c>
      <c r="B1481" s="42">
        <v>1364.43</v>
      </c>
      <c r="C1481" s="42">
        <v>1368.42</v>
      </c>
      <c r="D1481" s="42">
        <v>1356.09</v>
      </c>
      <c r="E1481" s="42">
        <v>1356.21</v>
      </c>
      <c r="F1481" s="2">
        <v>4750000000</v>
      </c>
    </row>
    <row r="1482" spans="1:6">
      <c r="A1482" s="32">
        <v>41619</v>
      </c>
      <c r="B1482" s="42">
        <v>1362.5</v>
      </c>
      <c r="C1482" s="42">
        <v>1371.94</v>
      </c>
      <c r="D1482" s="42">
        <v>1361.67</v>
      </c>
      <c r="E1482" s="42">
        <v>1369.35</v>
      </c>
      <c r="F1482" s="2">
        <v>4510000000</v>
      </c>
    </row>
    <row r="1483" spans="1:6">
      <c r="A1483" s="32">
        <v>41617</v>
      </c>
      <c r="B1483" s="42">
        <v>1370.51</v>
      </c>
      <c r="C1483" s="42">
        <v>1378.02</v>
      </c>
      <c r="D1483" s="42">
        <v>1356.72</v>
      </c>
      <c r="E1483" s="42">
        <v>1367.42</v>
      </c>
      <c r="F1483" s="2">
        <v>4820000000</v>
      </c>
    </row>
    <row r="1484" spans="1:6">
      <c r="A1484" s="32">
        <v>41614</v>
      </c>
      <c r="B1484" s="42">
        <v>1373.59</v>
      </c>
      <c r="C1484" s="42">
        <v>1376.71</v>
      </c>
      <c r="D1484" s="42">
        <v>1355.02</v>
      </c>
      <c r="E1484" s="42">
        <v>1361.57</v>
      </c>
      <c r="F1484" s="2">
        <v>4950000000</v>
      </c>
    </row>
    <row r="1485" spans="1:6">
      <c r="A1485" s="32">
        <v>41612</v>
      </c>
      <c r="B1485" s="42">
        <v>1381.17</v>
      </c>
      <c r="C1485" s="42">
        <v>1388.53</v>
      </c>
      <c r="D1485" s="42">
        <v>1376.63</v>
      </c>
      <c r="E1485" s="42">
        <v>1376.63</v>
      </c>
      <c r="F1485" s="2">
        <v>4850000000</v>
      </c>
    </row>
    <row r="1486" spans="1:6">
      <c r="A1486" s="32">
        <v>41611</v>
      </c>
      <c r="B1486" s="42">
        <v>1373.58</v>
      </c>
      <c r="C1486" s="42">
        <v>1392.94</v>
      </c>
      <c r="D1486" s="42">
        <v>1372.48</v>
      </c>
      <c r="E1486" s="42">
        <v>1383.89</v>
      </c>
      <c r="F1486" s="2">
        <v>7630000000</v>
      </c>
    </row>
    <row r="1487" spans="1:6">
      <c r="A1487" s="32">
        <v>41610</v>
      </c>
      <c r="B1487" s="42">
        <v>1358.89</v>
      </c>
      <c r="C1487" s="42">
        <v>1374.46</v>
      </c>
      <c r="D1487" s="42">
        <v>1351.67</v>
      </c>
      <c r="E1487" s="42">
        <v>1374.26</v>
      </c>
      <c r="F1487" s="2">
        <v>5570000000</v>
      </c>
    </row>
    <row r="1488" spans="1:6">
      <c r="A1488" s="32">
        <v>41607</v>
      </c>
      <c r="B1488" s="42">
        <v>1356.43</v>
      </c>
      <c r="C1488" s="42">
        <v>1371.34</v>
      </c>
      <c r="D1488" s="42">
        <v>1352.65</v>
      </c>
      <c r="E1488" s="42">
        <v>1371.13</v>
      </c>
      <c r="F1488" s="2">
        <v>5340000000</v>
      </c>
    </row>
    <row r="1489" spans="1:6">
      <c r="A1489" s="32">
        <v>41606</v>
      </c>
      <c r="B1489" s="42">
        <v>1377.04</v>
      </c>
      <c r="C1489" s="42">
        <v>1379.01</v>
      </c>
      <c r="D1489" s="42">
        <v>1356.91</v>
      </c>
      <c r="E1489" s="42">
        <v>1359.45</v>
      </c>
      <c r="F1489" s="2">
        <v>6740000000</v>
      </c>
    </row>
    <row r="1490" spans="1:6">
      <c r="A1490" s="32">
        <v>41605</v>
      </c>
      <c r="B1490" s="42">
        <v>1355.78</v>
      </c>
      <c r="C1490" s="42">
        <v>1373.7</v>
      </c>
      <c r="D1490" s="42">
        <v>1354.6</v>
      </c>
      <c r="E1490" s="42">
        <v>1373.11</v>
      </c>
      <c r="F1490" s="2">
        <v>6480000000</v>
      </c>
    </row>
    <row r="1491" spans="1:6">
      <c r="A1491" s="32">
        <v>41604</v>
      </c>
      <c r="B1491" s="42">
        <v>1347.46</v>
      </c>
      <c r="C1491" s="42">
        <v>1367.02</v>
      </c>
      <c r="D1491" s="42">
        <v>1345.19</v>
      </c>
      <c r="E1491" s="42">
        <v>1358.69</v>
      </c>
      <c r="F1491" s="2">
        <v>7080000000</v>
      </c>
    </row>
    <row r="1492" spans="1:6">
      <c r="A1492" s="32">
        <v>41603</v>
      </c>
      <c r="B1492" s="42">
        <v>1345.97</v>
      </c>
      <c r="C1492" s="42">
        <v>1359.9</v>
      </c>
      <c r="D1492" s="42">
        <v>1345.02</v>
      </c>
      <c r="E1492" s="42">
        <v>1352.86</v>
      </c>
      <c r="F1492" s="2">
        <v>5110000000</v>
      </c>
    </row>
    <row r="1493" spans="1:6">
      <c r="A1493" s="32">
        <v>41600</v>
      </c>
      <c r="B1493" s="42">
        <v>1372.56</v>
      </c>
      <c r="C1493" s="42">
        <v>1377.43</v>
      </c>
      <c r="D1493" s="42">
        <v>1354.96</v>
      </c>
      <c r="E1493" s="42">
        <v>1359.07</v>
      </c>
      <c r="F1493" s="2">
        <v>5830000000</v>
      </c>
    </row>
    <row r="1494" spans="1:6">
      <c r="A1494" s="32">
        <v>41599</v>
      </c>
      <c r="B1494" s="42">
        <v>1394.6</v>
      </c>
      <c r="C1494" s="42">
        <v>1395.29</v>
      </c>
      <c r="D1494" s="42">
        <v>1374.37</v>
      </c>
      <c r="E1494" s="42">
        <v>1375.86</v>
      </c>
      <c r="F1494" s="2">
        <v>7100000000</v>
      </c>
    </row>
    <row r="1495" spans="1:6">
      <c r="A1495" s="32">
        <v>41598</v>
      </c>
      <c r="B1495" s="42">
        <v>1414.97</v>
      </c>
      <c r="C1495" s="42">
        <v>1420.93</v>
      </c>
      <c r="D1495" s="42">
        <v>1401.5</v>
      </c>
      <c r="E1495" s="42">
        <v>1404.81</v>
      </c>
      <c r="F1495" s="2">
        <v>7520000000</v>
      </c>
    </row>
    <row r="1496" spans="1:6">
      <c r="A1496" s="32">
        <v>41597</v>
      </c>
      <c r="B1496" s="42">
        <v>1421.74</v>
      </c>
      <c r="C1496" s="42">
        <v>1422.18</v>
      </c>
      <c r="D1496" s="42">
        <v>1409.2</v>
      </c>
      <c r="E1496" s="42">
        <v>1412.44</v>
      </c>
      <c r="F1496" s="2">
        <v>5780000000</v>
      </c>
    </row>
    <row r="1497" spans="1:6">
      <c r="A1497" s="32">
        <v>41596</v>
      </c>
      <c r="B1497" s="42">
        <v>1429.37</v>
      </c>
      <c r="C1497" s="42">
        <v>1430.37</v>
      </c>
      <c r="D1497" s="42">
        <v>1422.39</v>
      </c>
      <c r="E1497" s="42">
        <v>1423.96</v>
      </c>
      <c r="F1497" s="2">
        <v>5940000000</v>
      </c>
    </row>
    <row r="1498" spans="1:6">
      <c r="A1498" s="32">
        <v>41593</v>
      </c>
      <c r="B1498" s="42">
        <v>1425.11</v>
      </c>
      <c r="C1498" s="42">
        <v>1427.69</v>
      </c>
      <c r="D1498" s="42">
        <v>1414.3</v>
      </c>
      <c r="E1498" s="42">
        <v>1420.66</v>
      </c>
      <c r="F1498" s="2">
        <v>5260000000</v>
      </c>
    </row>
    <row r="1499" spans="1:6">
      <c r="A1499" s="32">
        <v>41592</v>
      </c>
      <c r="B1499" s="42">
        <v>1411.62</v>
      </c>
      <c r="C1499" s="42">
        <v>1421.82</v>
      </c>
      <c r="D1499" s="42">
        <v>1410.91</v>
      </c>
      <c r="E1499" s="42">
        <v>1415.69</v>
      </c>
      <c r="F1499" s="2">
        <v>6140000000</v>
      </c>
    </row>
    <row r="1500" spans="1:6">
      <c r="A1500" s="32">
        <v>41591</v>
      </c>
      <c r="B1500" s="42">
        <v>1404.64</v>
      </c>
      <c r="C1500" s="42">
        <v>1414.04</v>
      </c>
      <c r="D1500" s="42">
        <v>1403.07</v>
      </c>
      <c r="E1500" s="42">
        <v>1404.77</v>
      </c>
      <c r="F1500" s="2">
        <v>5300000000</v>
      </c>
    </row>
    <row r="1501" spans="1:6">
      <c r="A1501" s="32">
        <v>41590</v>
      </c>
      <c r="B1501" s="42">
        <v>1416.67</v>
      </c>
      <c r="C1501" s="42">
        <v>1422.06</v>
      </c>
      <c r="D1501" s="42">
        <v>1410.18</v>
      </c>
      <c r="E1501" s="42">
        <v>1413.08</v>
      </c>
      <c r="F1501" s="2">
        <v>5660000000</v>
      </c>
    </row>
    <row r="1502" spans="1:6">
      <c r="A1502" s="32">
        <v>41589</v>
      </c>
      <c r="B1502" s="42">
        <v>1383.75</v>
      </c>
      <c r="C1502" s="42">
        <v>1408.53</v>
      </c>
      <c r="D1502" s="42">
        <v>1379.79</v>
      </c>
      <c r="E1502" s="42">
        <v>1405.91</v>
      </c>
      <c r="F1502" s="2">
        <v>6960000000</v>
      </c>
    </row>
    <row r="1503" spans="1:6">
      <c r="A1503" s="32">
        <v>41586</v>
      </c>
      <c r="B1503" s="42">
        <v>1415.3</v>
      </c>
      <c r="C1503" s="42">
        <v>1415.75</v>
      </c>
      <c r="D1503" s="42">
        <v>1397.99</v>
      </c>
      <c r="E1503" s="42">
        <v>1405.03</v>
      </c>
      <c r="F1503" s="2">
        <v>6940000000</v>
      </c>
    </row>
    <row r="1504" spans="1:6">
      <c r="A1504" s="32">
        <v>41585</v>
      </c>
      <c r="B1504" s="42">
        <v>1432.47</v>
      </c>
      <c r="C1504" s="42">
        <v>1438.86</v>
      </c>
      <c r="D1504" s="42">
        <v>1420.01</v>
      </c>
      <c r="E1504" s="42">
        <v>1425.23</v>
      </c>
      <c r="F1504" s="2">
        <v>8280000000</v>
      </c>
    </row>
    <row r="1505" spans="1:6">
      <c r="A1505" s="32">
        <v>41584</v>
      </c>
      <c r="B1505" s="42">
        <v>1418.74</v>
      </c>
      <c r="C1505" s="42">
        <v>1436.3</v>
      </c>
      <c r="D1505" s="42">
        <v>1409.96</v>
      </c>
      <c r="E1505" s="42">
        <v>1434.97</v>
      </c>
      <c r="F1505" s="2">
        <v>10020000000</v>
      </c>
    </row>
    <row r="1506" spans="1:6">
      <c r="A1506" s="32">
        <v>41583</v>
      </c>
      <c r="B1506" s="42">
        <v>1394.81</v>
      </c>
      <c r="C1506" s="42">
        <v>1417.91</v>
      </c>
      <c r="D1506" s="42">
        <v>1394.33</v>
      </c>
      <c r="E1506" s="42">
        <v>1415.44</v>
      </c>
      <c r="F1506" s="2">
        <v>7260000000</v>
      </c>
    </row>
    <row r="1507" spans="1:6">
      <c r="A1507" s="32">
        <v>41582</v>
      </c>
      <c r="B1507" s="42">
        <v>1412.27</v>
      </c>
      <c r="C1507" s="42">
        <v>1412.68</v>
      </c>
      <c r="D1507" s="42">
        <v>1387.79</v>
      </c>
      <c r="E1507" s="42">
        <v>1388.4</v>
      </c>
      <c r="F1507" s="2">
        <v>6970000000</v>
      </c>
    </row>
    <row r="1508" spans="1:6">
      <c r="A1508" s="32">
        <v>41579</v>
      </c>
      <c r="B1508" s="42">
        <v>1429.81</v>
      </c>
      <c r="C1508" s="42">
        <v>1431.99</v>
      </c>
      <c r="D1508" s="42">
        <v>1421.39</v>
      </c>
      <c r="E1508" s="42">
        <v>1429.08</v>
      </c>
      <c r="F1508" s="2">
        <v>5780000000</v>
      </c>
    </row>
    <row r="1509" spans="1:6">
      <c r="A1509" s="32">
        <v>41578</v>
      </c>
      <c r="B1509" s="42">
        <v>1422.43</v>
      </c>
      <c r="C1509" s="42">
        <v>1442.88</v>
      </c>
      <c r="D1509" s="42">
        <v>1418.87</v>
      </c>
      <c r="E1509" s="42">
        <v>1442.88</v>
      </c>
      <c r="F1509" s="2">
        <v>7250000000</v>
      </c>
    </row>
    <row r="1510" spans="1:6">
      <c r="A1510" s="32">
        <v>41577</v>
      </c>
      <c r="B1510" s="42">
        <v>1456.43</v>
      </c>
      <c r="C1510" s="42">
        <v>1457.06</v>
      </c>
      <c r="D1510" s="42">
        <v>1428.32</v>
      </c>
      <c r="E1510" s="42">
        <v>1431.12</v>
      </c>
      <c r="F1510" s="2">
        <v>9230000000</v>
      </c>
    </row>
    <row r="1511" spans="1:6">
      <c r="A1511" s="32">
        <v>41576</v>
      </c>
      <c r="B1511" s="42">
        <v>1448.74</v>
      </c>
      <c r="C1511" s="42">
        <v>1456.77</v>
      </c>
      <c r="D1511" s="42">
        <v>1446.59</v>
      </c>
      <c r="E1511" s="42">
        <v>1455.86</v>
      </c>
      <c r="F1511" s="2">
        <v>5500000000</v>
      </c>
    </row>
    <row r="1512" spans="1:6">
      <c r="A1512" s="32">
        <v>41575</v>
      </c>
      <c r="B1512" s="42">
        <v>1458.99</v>
      </c>
      <c r="C1512" s="42">
        <v>1463.02</v>
      </c>
      <c r="D1512" s="42">
        <v>1445.07</v>
      </c>
      <c r="E1512" s="42">
        <v>1449.62</v>
      </c>
      <c r="F1512" s="2">
        <v>5640000000</v>
      </c>
    </row>
    <row r="1513" spans="1:6">
      <c r="A1513" s="32">
        <v>41572</v>
      </c>
      <c r="B1513" s="42">
        <v>1464.49</v>
      </c>
      <c r="C1513" s="42">
        <v>1464.82</v>
      </c>
      <c r="D1513" s="42">
        <v>1452.69</v>
      </c>
      <c r="E1513" s="42">
        <v>1454.88</v>
      </c>
      <c r="F1513" s="2">
        <v>5490000000</v>
      </c>
    </row>
    <row r="1514" spans="1:6">
      <c r="A1514" s="32">
        <v>41571</v>
      </c>
      <c r="B1514" s="42">
        <v>1446.87</v>
      </c>
      <c r="C1514" s="42">
        <v>1466.36</v>
      </c>
      <c r="D1514" s="42">
        <v>1445.05</v>
      </c>
      <c r="E1514" s="42">
        <v>1466.32</v>
      </c>
      <c r="F1514" s="2">
        <v>6480000000</v>
      </c>
    </row>
    <row r="1515" spans="1:6">
      <c r="A1515" s="32">
        <v>41569</v>
      </c>
      <c r="B1515" s="42">
        <v>1447.24</v>
      </c>
      <c r="C1515" s="42">
        <v>1457.49</v>
      </c>
      <c r="D1515" s="42">
        <v>1438.64</v>
      </c>
      <c r="E1515" s="42">
        <v>1457.36</v>
      </c>
      <c r="F1515" s="2">
        <v>7190000000</v>
      </c>
    </row>
    <row r="1516" spans="1:6">
      <c r="A1516" s="32">
        <v>41568</v>
      </c>
      <c r="B1516" s="42">
        <v>1484.87</v>
      </c>
      <c r="C1516" s="42">
        <v>1485.67</v>
      </c>
      <c r="D1516" s="42">
        <v>1446.4</v>
      </c>
      <c r="E1516" s="42">
        <v>1448.54</v>
      </c>
      <c r="F1516" s="2">
        <v>8830000000</v>
      </c>
    </row>
    <row r="1517" spans="1:6">
      <c r="A1517" s="32">
        <v>41565</v>
      </c>
      <c r="B1517" s="42">
        <v>1476.82</v>
      </c>
      <c r="C1517" s="42">
        <v>1485.21</v>
      </c>
      <c r="D1517" s="42">
        <v>1471.65</v>
      </c>
      <c r="E1517" s="42">
        <v>1484.72</v>
      </c>
      <c r="F1517" s="2">
        <v>10590000000</v>
      </c>
    </row>
    <row r="1518" spans="1:6">
      <c r="A1518" s="32">
        <v>41564</v>
      </c>
      <c r="B1518" s="42">
        <v>1470.9</v>
      </c>
      <c r="C1518" s="42">
        <v>1480.65</v>
      </c>
      <c r="D1518" s="42">
        <v>1463.01</v>
      </c>
      <c r="E1518" s="42">
        <v>1469.09</v>
      </c>
      <c r="F1518" s="2">
        <v>13110000000</v>
      </c>
    </row>
    <row r="1519" spans="1:6">
      <c r="A1519" s="32">
        <v>41563</v>
      </c>
      <c r="B1519" s="42">
        <v>1471.06</v>
      </c>
      <c r="C1519" s="42">
        <v>1478.22</v>
      </c>
      <c r="D1519" s="42">
        <v>1464.38</v>
      </c>
      <c r="E1519" s="42">
        <v>1464.38</v>
      </c>
      <c r="F1519" s="2">
        <v>10880000000</v>
      </c>
    </row>
    <row r="1520" spans="1:6">
      <c r="A1520" s="32">
        <v>41562</v>
      </c>
      <c r="B1520" s="42">
        <v>1469.35</v>
      </c>
      <c r="C1520" s="42">
        <v>1476.43</v>
      </c>
      <c r="D1520" s="42">
        <v>1466.2</v>
      </c>
      <c r="E1520" s="42">
        <v>1472.9</v>
      </c>
      <c r="F1520" s="2">
        <v>9700000000</v>
      </c>
    </row>
    <row r="1521" spans="1:6">
      <c r="A1521" s="32">
        <v>41561</v>
      </c>
      <c r="B1521" s="42">
        <v>1450.55</v>
      </c>
      <c r="C1521" s="42">
        <v>1461.42</v>
      </c>
      <c r="D1521" s="42">
        <v>1443.2</v>
      </c>
      <c r="E1521" s="42">
        <v>1459.84</v>
      </c>
      <c r="F1521" s="2">
        <v>8150000000</v>
      </c>
    </row>
    <row r="1522" spans="1:6">
      <c r="A1522" s="32">
        <v>41558</v>
      </c>
      <c r="B1522" s="42">
        <v>1468.83</v>
      </c>
      <c r="C1522" s="42">
        <v>1469.59</v>
      </c>
      <c r="D1522" s="42">
        <v>1453.6</v>
      </c>
      <c r="E1522" s="42">
        <v>1457.78</v>
      </c>
      <c r="F1522" s="2">
        <v>7860000000</v>
      </c>
    </row>
    <row r="1523" spans="1:6">
      <c r="A1523" s="32">
        <v>41557</v>
      </c>
      <c r="B1523" s="42">
        <v>1437.81</v>
      </c>
      <c r="C1523" s="42">
        <v>1456.11</v>
      </c>
      <c r="D1523" s="42">
        <v>1436.57</v>
      </c>
      <c r="E1523" s="42">
        <v>1451.91</v>
      </c>
      <c r="F1523" s="2">
        <v>8210000000</v>
      </c>
    </row>
    <row r="1524" spans="1:6">
      <c r="A1524" s="32">
        <v>41556</v>
      </c>
      <c r="B1524" s="42">
        <v>1436.16</v>
      </c>
      <c r="C1524" s="42">
        <v>1437</v>
      </c>
      <c r="D1524" s="42">
        <v>1427.45</v>
      </c>
      <c r="E1524" s="42">
        <v>1434.66</v>
      </c>
      <c r="F1524" s="2">
        <v>6950000000</v>
      </c>
    </row>
    <row r="1525" spans="1:6">
      <c r="A1525" s="32">
        <v>41555</v>
      </c>
      <c r="B1525" s="42">
        <v>1414.69</v>
      </c>
      <c r="C1525" s="42">
        <v>1437.87</v>
      </c>
      <c r="D1525" s="42">
        <v>1411.11</v>
      </c>
      <c r="E1525" s="42">
        <v>1434.06</v>
      </c>
      <c r="F1525" s="2">
        <v>6400000000</v>
      </c>
    </row>
    <row r="1526" spans="1:6">
      <c r="A1526" s="32">
        <v>41554</v>
      </c>
      <c r="B1526" s="42">
        <v>1425.37</v>
      </c>
      <c r="C1526" s="42">
        <v>1432.73</v>
      </c>
      <c r="D1526" s="42">
        <v>1414.27</v>
      </c>
      <c r="E1526" s="42">
        <v>1414.62</v>
      </c>
      <c r="F1526" s="2">
        <v>7200000000</v>
      </c>
    </row>
    <row r="1527" spans="1:6">
      <c r="A1527" s="32">
        <v>41551</v>
      </c>
      <c r="B1527" s="42">
        <v>1423.46</v>
      </c>
      <c r="C1527" s="42">
        <v>1430.8</v>
      </c>
      <c r="D1527" s="42">
        <v>1418.51</v>
      </c>
      <c r="E1527" s="42">
        <v>1427.72</v>
      </c>
      <c r="F1527" s="2">
        <v>6750000000</v>
      </c>
    </row>
    <row r="1528" spans="1:6">
      <c r="A1528" s="32">
        <v>41550</v>
      </c>
      <c r="B1528" s="42">
        <v>1418.26</v>
      </c>
      <c r="C1528" s="42">
        <v>1432.45</v>
      </c>
      <c r="D1528" s="42">
        <v>1417.72</v>
      </c>
      <c r="E1528" s="42">
        <v>1429.18</v>
      </c>
      <c r="F1528" s="2">
        <v>9580000000</v>
      </c>
    </row>
    <row r="1529" spans="1:6">
      <c r="A1529" s="32">
        <v>41549</v>
      </c>
      <c r="B1529" s="42">
        <v>1410.53</v>
      </c>
      <c r="C1529" s="42">
        <v>1416.2</v>
      </c>
      <c r="D1529" s="42">
        <v>1401.64</v>
      </c>
      <c r="E1529" s="42">
        <v>1408.99</v>
      </c>
      <c r="F1529" s="2">
        <v>6450000000</v>
      </c>
    </row>
    <row r="1530" spans="1:6">
      <c r="A1530" s="32">
        <v>41548</v>
      </c>
      <c r="B1530" s="42">
        <v>1389.17</v>
      </c>
      <c r="C1530" s="42">
        <v>1410.98</v>
      </c>
      <c r="D1530" s="42">
        <v>1381.88</v>
      </c>
      <c r="E1530" s="42">
        <v>1408.19</v>
      </c>
      <c r="F1530" s="2">
        <v>7550000000</v>
      </c>
    </row>
    <row r="1531" spans="1:6">
      <c r="A1531" s="32">
        <v>41547</v>
      </c>
      <c r="B1531" s="42">
        <v>1398.77</v>
      </c>
      <c r="C1531" s="42">
        <v>1399.27</v>
      </c>
      <c r="D1531" s="42">
        <v>1381.26</v>
      </c>
      <c r="E1531" s="42">
        <v>1383.16</v>
      </c>
      <c r="F1531" s="2">
        <v>7370000000</v>
      </c>
    </row>
    <row r="1532" spans="1:6">
      <c r="A1532" s="32">
        <v>41544</v>
      </c>
      <c r="B1532" s="42">
        <v>1433.14</v>
      </c>
      <c r="C1532" s="42">
        <v>1435.88</v>
      </c>
      <c r="D1532" s="42">
        <v>1413.51</v>
      </c>
      <c r="E1532" s="42">
        <v>1417.49</v>
      </c>
      <c r="F1532" s="2">
        <v>10130000000</v>
      </c>
    </row>
    <row r="1533" spans="1:6">
      <c r="A1533" s="32">
        <v>41543</v>
      </c>
      <c r="B1533" s="42">
        <v>1425.2</v>
      </c>
      <c r="C1533" s="42">
        <v>1440.53</v>
      </c>
      <c r="D1533" s="42">
        <v>1424.28</v>
      </c>
      <c r="E1533" s="42">
        <v>1424.76</v>
      </c>
      <c r="F1533" s="2">
        <v>7340000000</v>
      </c>
    </row>
    <row r="1534" spans="1:6">
      <c r="A1534" s="32">
        <v>41542</v>
      </c>
      <c r="B1534" s="42">
        <v>1421.06</v>
      </c>
      <c r="C1534" s="42">
        <v>1436.9</v>
      </c>
      <c r="D1534" s="42">
        <v>1413.63</v>
      </c>
      <c r="E1534" s="42">
        <v>1436.9</v>
      </c>
      <c r="F1534" s="2">
        <v>6570000000</v>
      </c>
    </row>
    <row r="1535" spans="1:6">
      <c r="A1535" s="32">
        <v>41541</v>
      </c>
      <c r="B1535" s="42">
        <v>1430.54</v>
      </c>
      <c r="C1535" s="42">
        <v>1441.73</v>
      </c>
      <c r="D1535" s="42">
        <v>1416.43</v>
      </c>
      <c r="E1535" s="42">
        <v>1417.77</v>
      </c>
      <c r="F1535" s="2">
        <v>7830000000</v>
      </c>
    </row>
    <row r="1536" spans="1:6">
      <c r="A1536" s="32">
        <v>41540</v>
      </c>
      <c r="B1536" s="42">
        <v>1473.11</v>
      </c>
      <c r="C1536" s="42">
        <v>1473.67</v>
      </c>
      <c r="D1536" s="42">
        <v>1433.14</v>
      </c>
      <c r="E1536" s="42">
        <v>1436.68</v>
      </c>
      <c r="F1536" s="2">
        <v>9300000000</v>
      </c>
    </row>
    <row r="1537" spans="1:6">
      <c r="A1537" s="32">
        <v>41537</v>
      </c>
      <c r="B1537" s="42">
        <v>1483.7</v>
      </c>
      <c r="C1537" s="42">
        <v>1487.91</v>
      </c>
      <c r="D1537" s="42">
        <v>1473.52</v>
      </c>
      <c r="E1537" s="42">
        <v>1486.76</v>
      </c>
      <c r="F1537" s="2">
        <v>9820000000</v>
      </c>
    </row>
    <row r="1538" spans="1:6">
      <c r="A1538" s="32">
        <v>41536</v>
      </c>
      <c r="B1538" s="42">
        <v>1486.87</v>
      </c>
      <c r="C1538" s="42">
        <v>1494.27</v>
      </c>
      <c r="D1538" s="42">
        <v>1479.25</v>
      </c>
      <c r="E1538" s="42">
        <v>1489.06</v>
      </c>
      <c r="F1538" s="2">
        <v>14010000000</v>
      </c>
    </row>
    <row r="1539" spans="1:6">
      <c r="A1539" s="32">
        <v>41535</v>
      </c>
      <c r="B1539" s="42">
        <v>1443.8</v>
      </c>
      <c r="C1539" s="42">
        <v>1451.77</v>
      </c>
      <c r="D1539" s="42">
        <v>1431.87</v>
      </c>
      <c r="E1539" s="42">
        <v>1439.13</v>
      </c>
      <c r="F1539" s="2">
        <v>8280000000</v>
      </c>
    </row>
    <row r="1540" spans="1:6">
      <c r="A1540" s="32">
        <v>41534</v>
      </c>
      <c r="B1540" s="42">
        <v>1444.05</v>
      </c>
      <c r="C1540" s="42">
        <v>1450.45</v>
      </c>
      <c r="D1540" s="42">
        <v>1435.91</v>
      </c>
      <c r="E1540" s="42">
        <v>1443.78</v>
      </c>
      <c r="F1540" s="2">
        <v>8460000000</v>
      </c>
    </row>
    <row r="1541" spans="1:6">
      <c r="A1541" s="32">
        <v>41533</v>
      </c>
      <c r="B1541" s="42">
        <v>1429.89</v>
      </c>
      <c r="C1541" s="42">
        <v>1445.18</v>
      </c>
      <c r="D1541" s="42">
        <v>1428.87</v>
      </c>
      <c r="E1541" s="42">
        <v>1445.11</v>
      </c>
      <c r="F1541" s="2">
        <v>10020000000</v>
      </c>
    </row>
    <row r="1542" spans="1:6">
      <c r="A1542" s="32">
        <v>41530</v>
      </c>
      <c r="B1542" s="42">
        <v>1389.62</v>
      </c>
      <c r="C1542" s="42">
        <v>1413.28</v>
      </c>
      <c r="D1542" s="42">
        <v>1387.86</v>
      </c>
      <c r="E1542" s="42">
        <v>1401.08</v>
      </c>
      <c r="F1542" s="2">
        <v>7850000000</v>
      </c>
    </row>
    <row r="1543" spans="1:6">
      <c r="A1543" s="32">
        <v>41529</v>
      </c>
      <c r="B1543" s="42">
        <v>1414.44</v>
      </c>
      <c r="C1543" s="42">
        <v>1422.19</v>
      </c>
      <c r="D1543" s="42">
        <v>1397.9</v>
      </c>
      <c r="E1543" s="42">
        <v>1397.9</v>
      </c>
      <c r="F1543" s="2">
        <v>8430000000</v>
      </c>
    </row>
    <row r="1544" spans="1:6">
      <c r="A1544" s="32">
        <v>41528</v>
      </c>
      <c r="B1544" s="42">
        <v>1395.8</v>
      </c>
      <c r="C1544" s="42">
        <v>1411.61</v>
      </c>
      <c r="D1544" s="42">
        <v>1381.12</v>
      </c>
      <c r="E1544" s="42">
        <v>1411.18</v>
      </c>
      <c r="F1544" s="2">
        <v>12220000000</v>
      </c>
    </row>
    <row r="1545" spans="1:6">
      <c r="A1545" s="32">
        <v>41527</v>
      </c>
      <c r="B1545" s="42">
        <v>1395.3</v>
      </c>
      <c r="C1545" s="42">
        <v>1413.98</v>
      </c>
      <c r="D1545" s="42">
        <v>1384.47</v>
      </c>
      <c r="E1545" s="42">
        <v>1393.17</v>
      </c>
      <c r="F1545" s="2">
        <v>15940000000</v>
      </c>
    </row>
    <row r="1546" spans="1:6">
      <c r="A1546" s="32">
        <v>41526</v>
      </c>
      <c r="B1546" s="42">
        <v>1353.35</v>
      </c>
      <c r="C1546" s="42">
        <v>1384.31</v>
      </c>
      <c r="D1546" s="42">
        <v>1352.85</v>
      </c>
      <c r="E1546" s="42">
        <v>1384.31</v>
      </c>
      <c r="F1546" s="2">
        <v>10610000000</v>
      </c>
    </row>
    <row r="1547" spans="1:6">
      <c r="A1547" s="32">
        <v>41523</v>
      </c>
      <c r="B1547" s="42">
        <v>1315.57</v>
      </c>
      <c r="C1547" s="42">
        <v>1337.03</v>
      </c>
      <c r="D1547" s="42">
        <v>1312.92</v>
      </c>
      <c r="E1547" s="42">
        <v>1336.25</v>
      </c>
      <c r="F1547" s="2">
        <v>6020000000</v>
      </c>
    </row>
    <row r="1548" spans="1:6">
      <c r="A1548" s="32">
        <v>41522</v>
      </c>
      <c r="B1548" s="42">
        <v>1309.03</v>
      </c>
      <c r="C1548" s="42">
        <v>1326.56</v>
      </c>
      <c r="D1548" s="42">
        <v>1306.48</v>
      </c>
      <c r="E1548" s="42">
        <v>1313.49</v>
      </c>
      <c r="F1548" s="2">
        <v>6180000000</v>
      </c>
    </row>
    <row r="1549" spans="1:6">
      <c r="A1549" s="32">
        <v>41521</v>
      </c>
      <c r="B1549" s="42">
        <v>1310.97</v>
      </c>
      <c r="C1549" s="42">
        <v>1319.14</v>
      </c>
      <c r="D1549" s="42">
        <v>1301.3699999999999</v>
      </c>
      <c r="E1549" s="42">
        <v>1303.21</v>
      </c>
      <c r="F1549" s="2">
        <v>5750000000</v>
      </c>
    </row>
    <row r="1550" spans="1:6">
      <c r="A1550" s="32">
        <v>41520</v>
      </c>
      <c r="B1550" s="42">
        <v>1323.11</v>
      </c>
      <c r="C1550" s="42">
        <v>1334.15</v>
      </c>
      <c r="D1550" s="42">
        <v>1312.63</v>
      </c>
      <c r="E1550" s="42">
        <v>1315.41</v>
      </c>
      <c r="F1550" s="2">
        <v>8760000000</v>
      </c>
    </row>
    <row r="1551" spans="1:6">
      <c r="A1551" s="32">
        <v>41519</v>
      </c>
      <c r="B1551" s="42">
        <v>1298.99</v>
      </c>
      <c r="C1551" s="42">
        <v>1323.7</v>
      </c>
      <c r="D1551" s="42">
        <v>1296.3499999999999</v>
      </c>
      <c r="E1551" s="42">
        <v>1323.7</v>
      </c>
      <c r="F1551" s="2">
        <v>7850000000</v>
      </c>
    </row>
    <row r="1552" spans="1:6">
      <c r="A1552" s="32">
        <v>41516</v>
      </c>
      <c r="B1552" s="42">
        <v>1300.44</v>
      </c>
      <c r="C1552" s="42">
        <v>1301.96</v>
      </c>
      <c r="D1552" s="42">
        <v>1285.05</v>
      </c>
      <c r="E1552" s="42">
        <v>1294.3</v>
      </c>
      <c r="F1552" s="2">
        <v>6080000000</v>
      </c>
    </row>
    <row r="1553" spans="1:6">
      <c r="A1553" s="32">
        <v>41515</v>
      </c>
      <c r="B1553" s="42">
        <v>1283</v>
      </c>
      <c r="C1553" s="42">
        <v>1293.9000000000001</v>
      </c>
      <c r="D1553" s="42">
        <v>1273.7</v>
      </c>
      <c r="E1553" s="42">
        <v>1292.53</v>
      </c>
      <c r="F1553" s="2">
        <v>7910000000</v>
      </c>
    </row>
    <row r="1554" spans="1:6">
      <c r="A1554" s="32">
        <v>41514</v>
      </c>
      <c r="B1554" s="42">
        <v>1272.33</v>
      </c>
      <c r="C1554" s="42">
        <v>1294.08</v>
      </c>
      <c r="D1554" s="42">
        <v>1260.08</v>
      </c>
      <c r="E1554" s="42">
        <v>1275.76</v>
      </c>
      <c r="F1554" s="2">
        <v>11470000000</v>
      </c>
    </row>
    <row r="1555" spans="1:6">
      <c r="A1555" s="32">
        <v>41513</v>
      </c>
      <c r="B1555" s="42">
        <v>1321.66</v>
      </c>
      <c r="C1555" s="42">
        <v>1322.72</v>
      </c>
      <c r="D1555" s="42">
        <v>1290.27</v>
      </c>
      <c r="E1555" s="42">
        <v>1293.97</v>
      </c>
      <c r="F1555" s="2">
        <v>11490000000</v>
      </c>
    </row>
    <row r="1556" spans="1:6">
      <c r="A1556" s="32">
        <v>41512</v>
      </c>
      <c r="B1556" s="42">
        <v>1347.69</v>
      </c>
      <c r="C1556" s="42">
        <v>1354.39</v>
      </c>
      <c r="D1556" s="42">
        <v>1328.51</v>
      </c>
      <c r="E1556" s="42">
        <v>1329.18</v>
      </c>
      <c r="F1556" s="2">
        <v>8270000000</v>
      </c>
    </row>
    <row r="1557" spans="1:6">
      <c r="A1557" s="32">
        <v>41509</v>
      </c>
      <c r="B1557" s="42">
        <v>1368.56</v>
      </c>
      <c r="C1557" s="42">
        <v>1370.4</v>
      </c>
      <c r="D1557" s="42">
        <v>1337.99</v>
      </c>
      <c r="E1557" s="42">
        <v>1338.13</v>
      </c>
      <c r="F1557" s="2">
        <v>8620000000</v>
      </c>
    </row>
    <row r="1558" spans="1:6">
      <c r="A1558" s="32">
        <v>41508</v>
      </c>
      <c r="B1558" s="42">
        <v>1341.66</v>
      </c>
      <c r="C1558" s="42">
        <v>1355.87</v>
      </c>
      <c r="D1558" s="42">
        <v>1325.78</v>
      </c>
      <c r="E1558" s="42">
        <v>1351.81</v>
      </c>
      <c r="F1558" s="2">
        <v>9720000000</v>
      </c>
    </row>
    <row r="1559" spans="1:6">
      <c r="A1559" s="32">
        <v>41507</v>
      </c>
      <c r="B1559" s="42">
        <v>1355.54</v>
      </c>
      <c r="C1559" s="42">
        <v>1374.02</v>
      </c>
      <c r="D1559" s="42">
        <v>1354.02</v>
      </c>
      <c r="E1559" s="42">
        <v>1355.14</v>
      </c>
      <c r="F1559" s="2">
        <v>7530000000</v>
      </c>
    </row>
    <row r="1560" spans="1:6">
      <c r="A1560" s="32">
        <v>41506</v>
      </c>
      <c r="B1560" s="42">
        <v>1378.87</v>
      </c>
      <c r="C1560" s="42">
        <v>1379.27</v>
      </c>
      <c r="D1560" s="42">
        <v>1353.02</v>
      </c>
      <c r="E1560" s="42">
        <v>1370.86</v>
      </c>
      <c r="F1560" s="2">
        <v>10270000000</v>
      </c>
    </row>
    <row r="1561" spans="1:6">
      <c r="A1561" s="32">
        <v>41505</v>
      </c>
      <c r="B1561" s="42">
        <v>1437.77</v>
      </c>
      <c r="C1561" s="42">
        <v>1438.78</v>
      </c>
      <c r="D1561" s="42">
        <v>1398.37</v>
      </c>
      <c r="E1561" s="42">
        <v>1398.48</v>
      </c>
      <c r="F1561" s="2">
        <v>7600000000</v>
      </c>
    </row>
    <row r="1562" spans="1:6">
      <c r="A1562" s="32">
        <v>41502</v>
      </c>
      <c r="B1562" s="42">
        <v>1441.72</v>
      </c>
      <c r="C1562" s="42">
        <v>1452.2</v>
      </c>
      <c r="D1562" s="42">
        <v>1440.74</v>
      </c>
      <c r="E1562" s="42">
        <v>1445.76</v>
      </c>
      <c r="F1562" s="2">
        <v>8200000000</v>
      </c>
    </row>
    <row r="1563" spans="1:6">
      <c r="A1563" s="32">
        <v>41501</v>
      </c>
      <c r="B1563" s="42">
        <v>1458.51</v>
      </c>
      <c r="C1563" s="42">
        <v>1461.34</v>
      </c>
      <c r="D1563" s="42">
        <v>1447.82</v>
      </c>
      <c r="E1563" s="42">
        <v>1453.07</v>
      </c>
      <c r="F1563" s="2">
        <v>7520000000</v>
      </c>
    </row>
    <row r="1564" spans="1:6">
      <c r="A1564" s="32">
        <v>41500</v>
      </c>
      <c r="B1564" s="42">
        <v>1457.25</v>
      </c>
      <c r="C1564" s="42">
        <v>1462.66</v>
      </c>
      <c r="D1564" s="42">
        <v>1451.71</v>
      </c>
      <c r="E1564" s="42">
        <v>1460.63</v>
      </c>
      <c r="F1564" s="2">
        <v>8240000000</v>
      </c>
    </row>
    <row r="1565" spans="1:6">
      <c r="A1565" s="32">
        <v>41499</v>
      </c>
      <c r="B1565" s="42">
        <v>1443.25</v>
      </c>
      <c r="C1565" s="42">
        <v>1459.08</v>
      </c>
      <c r="D1565" s="42">
        <v>1442.08</v>
      </c>
      <c r="E1565" s="42">
        <v>1459.08</v>
      </c>
      <c r="F1565" s="2">
        <v>7520000000</v>
      </c>
    </row>
    <row r="1566" spans="1:6">
      <c r="A1566" s="32">
        <v>41495</v>
      </c>
      <c r="B1566" s="42">
        <v>1446.26</v>
      </c>
      <c r="C1566" s="42">
        <v>1446.47</v>
      </c>
      <c r="D1566" s="42">
        <v>1430.41</v>
      </c>
      <c r="E1566" s="42">
        <v>1432.25</v>
      </c>
      <c r="F1566" s="2">
        <v>7140000000</v>
      </c>
    </row>
    <row r="1567" spans="1:6">
      <c r="A1567" s="32">
        <v>41494</v>
      </c>
      <c r="B1567" s="42">
        <v>1439.76</v>
      </c>
      <c r="C1567" s="42">
        <v>1455.08</v>
      </c>
      <c r="D1567" s="42">
        <v>1439.1</v>
      </c>
      <c r="E1567" s="42">
        <v>1447.16</v>
      </c>
      <c r="F1567" s="2">
        <v>8700000000</v>
      </c>
    </row>
    <row r="1568" spans="1:6">
      <c r="A1568" s="32">
        <v>41493</v>
      </c>
      <c r="B1568" s="42">
        <v>1420.11</v>
      </c>
      <c r="C1568" s="42">
        <v>1434.98</v>
      </c>
      <c r="D1568" s="42">
        <v>1417.43</v>
      </c>
      <c r="E1568" s="42">
        <v>1429.99</v>
      </c>
      <c r="F1568" s="2">
        <v>5980000000</v>
      </c>
    </row>
    <row r="1569" spans="1:6">
      <c r="A1569" s="32">
        <v>41492</v>
      </c>
      <c r="B1569" s="42">
        <v>1411.97</v>
      </c>
      <c r="C1569" s="42">
        <v>1440.25</v>
      </c>
      <c r="D1569" s="42">
        <v>1409.87</v>
      </c>
      <c r="E1569" s="42">
        <v>1429.39</v>
      </c>
      <c r="F1569" s="2">
        <v>9340000000</v>
      </c>
    </row>
    <row r="1570" spans="1:6">
      <c r="A1570" s="32">
        <v>41491</v>
      </c>
      <c r="B1570" s="42">
        <v>1416.78</v>
      </c>
      <c r="C1570" s="42">
        <v>1427.93</v>
      </c>
      <c r="D1570" s="42">
        <v>1405.71</v>
      </c>
      <c r="E1570" s="42">
        <v>1424.31</v>
      </c>
      <c r="F1570" s="2">
        <v>4710000000</v>
      </c>
    </row>
    <row r="1571" spans="1:6">
      <c r="A1571" s="32">
        <v>41488</v>
      </c>
      <c r="B1571" s="42">
        <v>1440.43</v>
      </c>
      <c r="C1571" s="42">
        <v>1442.17</v>
      </c>
      <c r="D1571" s="42">
        <v>1408.57</v>
      </c>
      <c r="E1571" s="42">
        <v>1420.94</v>
      </c>
      <c r="F1571" s="2">
        <v>7870000000</v>
      </c>
    </row>
    <row r="1572" spans="1:6">
      <c r="A1572" s="32">
        <v>41487</v>
      </c>
      <c r="B1572" s="42">
        <v>1437.58</v>
      </c>
      <c r="C1572" s="42">
        <v>1443.65</v>
      </c>
      <c r="D1572" s="42">
        <v>1425.51</v>
      </c>
      <c r="E1572" s="42">
        <v>1437.51</v>
      </c>
      <c r="F1572" s="2">
        <v>6230000000</v>
      </c>
    </row>
    <row r="1573" spans="1:6">
      <c r="A1573" s="32">
        <v>41486</v>
      </c>
      <c r="B1573" s="42">
        <v>1436.56</v>
      </c>
      <c r="C1573" s="42">
        <v>1437.39</v>
      </c>
      <c r="D1573" s="42">
        <v>1403.08</v>
      </c>
      <c r="E1573" s="42">
        <v>1423.14</v>
      </c>
      <c r="F1573" s="2">
        <v>12090000000</v>
      </c>
    </row>
    <row r="1574" spans="1:6">
      <c r="A1574" s="32">
        <v>41485</v>
      </c>
      <c r="B1574" s="42">
        <v>1458.47</v>
      </c>
      <c r="C1574" s="42">
        <v>1465.27</v>
      </c>
      <c r="D1574" s="42">
        <v>1435.44</v>
      </c>
      <c r="E1574" s="42">
        <v>1435.44</v>
      </c>
      <c r="F1574" s="2">
        <v>11240000000</v>
      </c>
    </row>
    <row r="1575" spans="1:6">
      <c r="A1575" s="32">
        <v>41484</v>
      </c>
      <c r="B1575" s="42">
        <v>1461.95</v>
      </c>
      <c r="C1575" s="42">
        <v>1462.97</v>
      </c>
      <c r="D1575" s="42">
        <v>1451.77</v>
      </c>
      <c r="E1575" s="42">
        <v>1454.28</v>
      </c>
      <c r="F1575" s="2">
        <v>6370000000</v>
      </c>
    </row>
    <row r="1576" spans="1:6">
      <c r="A1576" s="32">
        <v>41481</v>
      </c>
      <c r="B1576" s="42">
        <v>1461.3</v>
      </c>
      <c r="C1576" s="42">
        <v>1476.71</v>
      </c>
      <c r="D1576" s="42">
        <v>1445.28</v>
      </c>
      <c r="E1576" s="42">
        <v>1476.71</v>
      </c>
      <c r="F1576" s="2">
        <v>9200000000</v>
      </c>
    </row>
    <row r="1577" spans="1:6">
      <c r="A1577" s="32">
        <v>41480</v>
      </c>
      <c r="B1577" s="42">
        <v>1493.58</v>
      </c>
      <c r="C1577" s="42">
        <v>1494.56</v>
      </c>
      <c r="D1577" s="42">
        <v>1456.52</v>
      </c>
      <c r="E1577" s="42">
        <v>1456.68</v>
      </c>
      <c r="F1577" s="2">
        <v>14490000000</v>
      </c>
    </row>
    <row r="1578" spans="1:6">
      <c r="A1578" s="32">
        <v>41479</v>
      </c>
      <c r="B1578" s="42">
        <v>1512.23</v>
      </c>
      <c r="C1578" s="42">
        <v>1519.21</v>
      </c>
      <c r="D1578" s="42">
        <v>1496.88</v>
      </c>
      <c r="E1578" s="42">
        <v>1501.36</v>
      </c>
      <c r="F1578" s="2">
        <v>13080000000</v>
      </c>
    </row>
    <row r="1579" spans="1:6">
      <c r="A1579" s="32">
        <v>41478</v>
      </c>
      <c r="B1579" s="42">
        <v>1501.68</v>
      </c>
      <c r="C1579" s="42">
        <v>1513.32</v>
      </c>
      <c r="D1579" s="42">
        <v>1497.59</v>
      </c>
      <c r="E1579" s="42">
        <v>1513.31</v>
      </c>
      <c r="F1579" s="2">
        <v>9120000000</v>
      </c>
    </row>
    <row r="1580" spans="1:6">
      <c r="A1580" s="32">
        <v>41474</v>
      </c>
      <c r="B1580" s="42">
        <v>1489.3</v>
      </c>
      <c r="C1580" s="42">
        <v>1489.66</v>
      </c>
      <c r="D1580" s="42">
        <v>1475.59</v>
      </c>
      <c r="E1580" s="42">
        <v>1481.84</v>
      </c>
      <c r="F1580" s="2">
        <v>15270000000</v>
      </c>
    </row>
    <row r="1581" spans="1:6">
      <c r="A1581" s="32">
        <v>41473</v>
      </c>
      <c r="B1581" s="42">
        <v>1465</v>
      </c>
      <c r="C1581" s="42">
        <v>1487.31</v>
      </c>
      <c r="D1581" s="42">
        <v>1464.73</v>
      </c>
      <c r="E1581" s="42">
        <v>1487.19</v>
      </c>
      <c r="F1581" s="2">
        <v>10810000000</v>
      </c>
    </row>
    <row r="1582" spans="1:6">
      <c r="A1582" s="32">
        <v>41472</v>
      </c>
      <c r="B1582" s="42">
        <v>1457.98</v>
      </c>
      <c r="C1582" s="42">
        <v>1463.65</v>
      </c>
      <c r="D1582" s="42">
        <v>1452.69</v>
      </c>
      <c r="E1582" s="42">
        <v>1458.08</v>
      </c>
      <c r="F1582" s="2">
        <v>8070000000</v>
      </c>
    </row>
    <row r="1583" spans="1:6">
      <c r="A1583" s="32">
        <v>41471</v>
      </c>
      <c r="B1583" s="42">
        <v>1453.6</v>
      </c>
      <c r="C1583" s="42">
        <v>1456.43</v>
      </c>
      <c r="D1583" s="42">
        <v>1437.11</v>
      </c>
      <c r="E1583" s="42">
        <v>1451.45</v>
      </c>
      <c r="F1583" s="2">
        <v>8580000000</v>
      </c>
    </row>
    <row r="1584" spans="1:6">
      <c r="A1584" s="32">
        <v>41470</v>
      </c>
      <c r="B1584" s="42">
        <v>1463.81</v>
      </c>
      <c r="C1584" s="42">
        <v>1464.72</v>
      </c>
      <c r="D1584" s="42">
        <v>1449.54</v>
      </c>
      <c r="E1584" s="42">
        <v>1455.4</v>
      </c>
      <c r="F1584" s="2">
        <v>15940000000</v>
      </c>
    </row>
    <row r="1585" spans="1:6">
      <c r="A1585" s="32">
        <v>41467</v>
      </c>
      <c r="B1585" s="42">
        <v>1454.76</v>
      </c>
      <c r="C1585" s="42">
        <v>1459.55</v>
      </c>
      <c r="D1585" s="42">
        <v>1441.96</v>
      </c>
      <c r="E1585" s="42">
        <v>1453.71</v>
      </c>
      <c r="F1585" s="2">
        <v>15570000000</v>
      </c>
    </row>
    <row r="1586" spans="1:6">
      <c r="A1586" s="32">
        <v>41466</v>
      </c>
      <c r="B1586" s="42">
        <v>1409.37</v>
      </c>
      <c r="C1586" s="42">
        <v>1447.04</v>
      </c>
      <c r="D1586" s="42">
        <v>1408.49</v>
      </c>
      <c r="E1586" s="42">
        <v>1447.04</v>
      </c>
      <c r="F1586" s="2">
        <v>9880000000</v>
      </c>
    </row>
    <row r="1587" spans="1:6">
      <c r="A1587" s="32">
        <v>41465</v>
      </c>
      <c r="B1587" s="42">
        <v>1402.02</v>
      </c>
      <c r="C1587" s="42">
        <v>1406.32</v>
      </c>
      <c r="D1587" s="42">
        <v>1375.52</v>
      </c>
      <c r="E1587" s="42">
        <v>1388.41</v>
      </c>
      <c r="F1587" s="2">
        <v>8270000000</v>
      </c>
    </row>
    <row r="1588" spans="1:6">
      <c r="A1588" s="32">
        <v>41464</v>
      </c>
      <c r="B1588" s="42">
        <v>1408.03</v>
      </c>
      <c r="C1588" s="42">
        <v>1417.94</v>
      </c>
      <c r="D1588" s="42">
        <v>1398.45</v>
      </c>
      <c r="E1588" s="42">
        <v>1398.69</v>
      </c>
      <c r="F1588" s="2">
        <v>6940000000</v>
      </c>
    </row>
    <row r="1589" spans="1:6">
      <c r="A1589" s="32">
        <v>41463</v>
      </c>
      <c r="B1589" s="42">
        <v>1425.13</v>
      </c>
      <c r="C1589" s="42">
        <v>1429.8</v>
      </c>
      <c r="D1589" s="42">
        <v>1404.46</v>
      </c>
      <c r="E1589" s="42">
        <v>1404.64</v>
      </c>
      <c r="F1589" s="2">
        <v>6560000000</v>
      </c>
    </row>
    <row r="1590" spans="1:6">
      <c r="A1590" s="32">
        <v>41460</v>
      </c>
      <c r="B1590" s="42">
        <v>1443.89</v>
      </c>
      <c r="C1590" s="42">
        <v>1446.83</v>
      </c>
      <c r="D1590" s="42">
        <v>1430.38</v>
      </c>
      <c r="E1590" s="42">
        <v>1441.33</v>
      </c>
      <c r="F1590" s="2">
        <v>5860000000</v>
      </c>
    </row>
    <row r="1591" spans="1:6">
      <c r="A1591" s="32">
        <v>41459</v>
      </c>
      <c r="B1591" s="42">
        <v>1450.36</v>
      </c>
      <c r="C1591" s="42">
        <v>1453.77</v>
      </c>
      <c r="D1591" s="42">
        <v>1423.94</v>
      </c>
      <c r="E1591" s="42">
        <v>1430.88</v>
      </c>
      <c r="F1591" s="2">
        <v>7640000000</v>
      </c>
    </row>
    <row r="1592" spans="1:6">
      <c r="A1592" s="32">
        <v>41458</v>
      </c>
      <c r="B1592" s="42">
        <v>1454.85</v>
      </c>
      <c r="C1592" s="42">
        <v>1463.9</v>
      </c>
      <c r="D1592" s="42">
        <v>1435.01</v>
      </c>
      <c r="E1592" s="42">
        <v>1443.57</v>
      </c>
      <c r="F1592" s="2">
        <v>9760000000</v>
      </c>
    </row>
    <row r="1593" spans="1:6">
      <c r="A1593" s="32">
        <v>41457</v>
      </c>
      <c r="B1593" s="42">
        <v>1464.76</v>
      </c>
      <c r="C1593" s="42">
        <v>1475.08</v>
      </c>
      <c r="D1593" s="42">
        <v>1452.77</v>
      </c>
      <c r="E1593" s="42">
        <v>1463.98</v>
      </c>
      <c r="F1593" s="2">
        <v>7600000000</v>
      </c>
    </row>
    <row r="1594" spans="1:6">
      <c r="A1594" s="32">
        <v>41453</v>
      </c>
      <c r="B1594" s="42">
        <v>1464.83</v>
      </c>
      <c r="C1594" s="42">
        <v>1468.74</v>
      </c>
      <c r="D1594" s="42">
        <v>1446.91</v>
      </c>
      <c r="E1594" s="42">
        <v>1451.9</v>
      </c>
      <c r="F1594" s="2">
        <v>9120000000</v>
      </c>
    </row>
    <row r="1595" spans="1:6">
      <c r="A1595" s="32">
        <v>41452</v>
      </c>
      <c r="B1595" s="42">
        <v>1450.64</v>
      </c>
      <c r="C1595" s="42">
        <v>1459.3</v>
      </c>
      <c r="D1595" s="42">
        <v>1419.64</v>
      </c>
      <c r="E1595" s="42">
        <v>1446.45</v>
      </c>
      <c r="F1595" s="2">
        <v>11660000000</v>
      </c>
    </row>
    <row r="1596" spans="1:6">
      <c r="A1596" s="32">
        <v>41451</v>
      </c>
      <c r="B1596" s="42">
        <v>1400.71</v>
      </c>
      <c r="C1596" s="42">
        <v>1425.01</v>
      </c>
      <c r="D1596" s="42">
        <v>1390.37</v>
      </c>
      <c r="E1596" s="42">
        <v>1424.38</v>
      </c>
      <c r="F1596" s="2">
        <v>10250000000</v>
      </c>
    </row>
    <row r="1597" spans="1:6">
      <c r="A1597" s="32">
        <v>41450</v>
      </c>
      <c r="B1597" s="42">
        <v>1373.35</v>
      </c>
      <c r="C1597" s="42">
        <v>1393.03</v>
      </c>
      <c r="D1597" s="42">
        <v>1338.81</v>
      </c>
      <c r="E1597" s="42">
        <v>1384.63</v>
      </c>
      <c r="F1597" s="2">
        <v>15250000000</v>
      </c>
    </row>
    <row r="1598" spans="1:6">
      <c r="A1598" s="32">
        <v>41449</v>
      </c>
      <c r="B1598" s="42">
        <v>1389.49</v>
      </c>
      <c r="C1598" s="42">
        <v>1404.85</v>
      </c>
      <c r="D1598" s="42">
        <v>1363.8</v>
      </c>
      <c r="E1598" s="42">
        <v>1364.09</v>
      </c>
      <c r="F1598" s="2">
        <v>10630000000</v>
      </c>
    </row>
    <row r="1599" spans="1:6">
      <c r="A1599" s="32">
        <v>41446</v>
      </c>
      <c r="B1599" s="42">
        <v>1377.15</v>
      </c>
      <c r="C1599" s="42">
        <v>1406.37</v>
      </c>
      <c r="D1599" s="42">
        <v>1354.62</v>
      </c>
      <c r="E1599" s="42">
        <v>1400.5</v>
      </c>
      <c r="F1599" s="2">
        <v>10650000000</v>
      </c>
    </row>
    <row r="1600" spans="1:6">
      <c r="A1600" s="32">
        <v>41445</v>
      </c>
      <c r="B1600" s="42">
        <v>1396.7</v>
      </c>
      <c r="C1600" s="42">
        <v>1413.39</v>
      </c>
      <c r="D1600" s="42">
        <v>1390.33</v>
      </c>
      <c r="E1600" s="42">
        <v>1402.19</v>
      </c>
      <c r="F1600" s="2">
        <v>10110000000</v>
      </c>
    </row>
    <row r="1601" spans="1:6">
      <c r="A1601" s="32">
        <v>41444</v>
      </c>
      <c r="B1601" s="42">
        <v>1443.33</v>
      </c>
      <c r="C1601" s="42">
        <v>1449.12</v>
      </c>
      <c r="D1601" s="42">
        <v>1415</v>
      </c>
      <c r="E1601" s="42">
        <v>1437.7</v>
      </c>
      <c r="F1601" s="2">
        <v>9460000000</v>
      </c>
    </row>
    <row r="1602" spans="1:6">
      <c r="A1602" s="32">
        <v>41443</v>
      </c>
      <c r="B1602" s="42">
        <v>1469.19</v>
      </c>
      <c r="C1602" s="42">
        <v>1492.28</v>
      </c>
      <c r="D1602" s="42">
        <v>1427.4</v>
      </c>
      <c r="E1602" s="42">
        <v>1427.42</v>
      </c>
      <c r="F1602" s="2">
        <v>11040000000</v>
      </c>
    </row>
    <row r="1603" spans="1:6">
      <c r="A1603" s="32">
        <v>41442</v>
      </c>
      <c r="B1603" s="42">
        <v>1470.13</v>
      </c>
      <c r="C1603" s="42">
        <v>1474.75</v>
      </c>
      <c r="D1603" s="42">
        <v>1448.13</v>
      </c>
      <c r="E1603" s="42">
        <v>1471.04</v>
      </c>
      <c r="F1603" s="2">
        <v>6850000000</v>
      </c>
    </row>
    <row r="1604" spans="1:6">
      <c r="A1604" s="32">
        <v>41439</v>
      </c>
      <c r="B1604" s="42">
        <v>1442.02</v>
      </c>
      <c r="C1604" s="42">
        <v>1465.65</v>
      </c>
      <c r="D1604" s="42">
        <v>1439.73</v>
      </c>
      <c r="E1604" s="42">
        <v>1465.27</v>
      </c>
      <c r="F1604" s="2">
        <v>9680000000</v>
      </c>
    </row>
    <row r="1605" spans="1:6">
      <c r="A1605" s="32">
        <v>41438</v>
      </c>
      <c r="B1605" s="42">
        <v>1382.29</v>
      </c>
      <c r="C1605" s="42">
        <v>1411.87</v>
      </c>
      <c r="D1605" s="42">
        <v>1351.95</v>
      </c>
      <c r="E1605" s="42">
        <v>1403.27</v>
      </c>
      <c r="F1605" s="2">
        <v>15450000000</v>
      </c>
    </row>
    <row r="1606" spans="1:6">
      <c r="A1606" s="32">
        <v>41437</v>
      </c>
      <c r="B1606" s="42">
        <v>1434.07</v>
      </c>
      <c r="C1606" s="42">
        <v>1457.68</v>
      </c>
      <c r="D1606" s="42">
        <v>1422</v>
      </c>
      <c r="E1606" s="42">
        <v>1433.47</v>
      </c>
      <c r="F1606" s="2">
        <v>9890000000</v>
      </c>
    </row>
    <row r="1607" spans="1:6">
      <c r="A1607" s="32">
        <v>41436</v>
      </c>
      <c r="B1607" s="42">
        <v>1518.73</v>
      </c>
      <c r="C1607" s="42">
        <v>1519.16</v>
      </c>
      <c r="D1607" s="42">
        <v>1447.65</v>
      </c>
      <c r="E1607" s="42">
        <v>1452.63</v>
      </c>
      <c r="F1607" s="2">
        <v>12580000000</v>
      </c>
    </row>
    <row r="1608" spans="1:6">
      <c r="A1608" s="32">
        <v>41435</v>
      </c>
      <c r="B1608" s="42">
        <v>1533.43</v>
      </c>
      <c r="C1608" s="42">
        <v>1539.35</v>
      </c>
      <c r="D1608" s="42">
        <v>1525.8</v>
      </c>
      <c r="E1608" s="42">
        <v>1528.55</v>
      </c>
      <c r="F1608" s="2">
        <v>6120000000</v>
      </c>
    </row>
    <row r="1609" spans="1:6">
      <c r="A1609" s="32">
        <v>41432</v>
      </c>
      <c r="B1609" s="42">
        <v>1483.86</v>
      </c>
      <c r="C1609" s="42">
        <v>1516.69</v>
      </c>
      <c r="D1609" s="42">
        <v>1483.75</v>
      </c>
      <c r="E1609" s="42">
        <v>1516.24</v>
      </c>
      <c r="F1609" s="2">
        <v>8090000000</v>
      </c>
    </row>
    <row r="1610" spans="1:6">
      <c r="A1610" s="32">
        <v>41431</v>
      </c>
      <c r="B1610" s="42">
        <v>1509.43</v>
      </c>
      <c r="C1610" s="42">
        <v>1511.16</v>
      </c>
      <c r="D1610" s="42">
        <v>1484.88</v>
      </c>
      <c r="E1610" s="42">
        <v>1490.21</v>
      </c>
      <c r="F1610" s="2">
        <v>12690000000</v>
      </c>
    </row>
    <row r="1611" spans="1:6">
      <c r="A1611" s="32">
        <v>41430</v>
      </c>
      <c r="B1611" s="42">
        <v>1547.06</v>
      </c>
      <c r="C1611" s="42">
        <v>1549.38</v>
      </c>
      <c r="D1611" s="42">
        <v>1522.66</v>
      </c>
      <c r="E1611" s="42">
        <v>1522.66</v>
      </c>
      <c r="F1611" s="2">
        <v>7630000000</v>
      </c>
    </row>
    <row r="1612" spans="1:6">
      <c r="A1612" s="32">
        <v>41429</v>
      </c>
      <c r="B1612" s="42">
        <v>1544.34</v>
      </c>
      <c r="C1612" s="42">
        <v>1556.97</v>
      </c>
      <c r="D1612" s="42">
        <v>1524.58</v>
      </c>
      <c r="E1612" s="42">
        <v>1555.61</v>
      </c>
      <c r="F1612" s="2">
        <v>9600000000</v>
      </c>
    </row>
    <row r="1613" spans="1:6">
      <c r="A1613" s="32">
        <v>41428</v>
      </c>
      <c r="B1613" s="42">
        <v>1556.51</v>
      </c>
      <c r="C1613" s="42">
        <v>1564.66</v>
      </c>
      <c r="D1613" s="42">
        <v>1535.77</v>
      </c>
      <c r="E1613" s="42">
        <v>1539.26</v>
      </c>
      <c r="F1613" s="2">
        <v>7440000000</v>
      </c>
    </row>
    <row r="1614" spans="1:6">
      <c r="A1614" s="32">
        <v>41425</v>
      </c>
      <c r="B1614" s="42">
        <v>1589.59</v>
      </c>
      <c r="C1614" s="42">
        <v>1595.12</v>
      </c>
      <c r="D1614" s="42">
        <v>1555.23</v>
      </c>
      <c r="E1614" s="42">
        <v>1562.07</v>
      </c>
      <c r="F1614" s="2">
        <v>8240000000</v>
      </c>
    </row>
    <row r="1615" spans="1:6">
      <c r="A1615" s="32">
        <v>41424</v>
      </c>
      <c r="B1615" s="42">
        <v>1589.9</v>
      </c>
      <c r="C1615" s="42">
        <v>1598.18</v>
      </c>
      <c r="D1615" s="42">
        <v>1577.88</v>
      </c>
      <c r="E1615" s="42">
        <v>1581.32</v>
      </c>
      <c r="F1615" s="2">
        <v>8820000000</v>
      </c>
    </row>
    <row r="1616" spans="1:6">
      <c r="A1616" s="32">
        <v>41423</v>
      </c>
      <c r="B1616" s="42">
        <v>1618.78</v>
      </c>
      <c r="C1616" s="42">
        <v>1624.87</v>
      </c>
      <c r="D1616" s="42">
        <v>1599.92</v>
      </c>
      <c r="E1616" s="42">
        <v>1601.61</v>
      </c>
      <c r="F1616" s="2">
        <v>9470000000</v>
      </c>
    </row>
    <row r="1617" spans="1:6">
      <c r="A1617" s="32">
        <v>41422</v>
      </c>
      <c r="B1617" s="42">
        <v>1594.03</v>
      </c>
      <c r="C1617" s="42">
        <v>1619.59</v>
      </c>
      <c r="D1617" s="42">
        <v>1593.02</v>
      </c>
      <c r="E1617" s="42">
        <v>1619.57</v>
      </c>
      <c r="F1617" s="2">
        <v>8460000000</v>
      </c>
    </row>
    <row r="1618" spans="1:6">
      <c r="A1618" s="32">
        <v>41421</v>
      </c>
      <c r="B1618" s="42">
        <v>1597.92</v>
      </c>
      <c r="C1618" s="42">
        <v>1598.52</v>
      </c>
      <c r="D1618" s="42">
        <v>1585.32</v>
      </c>
      <c r="E1618" s="42">
        <v>1593.1</v>
      </c>
      <c r="F1618" s="2">
        <v>7610000000</v>
      </c>
    </row>
    <row r="1619" spans="1:6">
      <c r="A1619" s="32">
        <v>41417</v>
      </c>
      <c r="B1619" s="42">
        <v>1624.33</v>
      </c>
      <c r="C1619" s="42">
        <v>1629.57</v>
      </c>
      <c r="D1619" s="42">
        <v>1582.76</v>
      </c>
      <c r="E1619" s="42">
        <v>1607.46</v>
      </c>
      <c r="F1619" s="2">
        <v>12300000000</v>
      </c>
    </row>
    <row r="1620" spans="1:6">
      <c r="A1620" s="32">
        <v>41416</v>
      </c>
      <c r="B1620" s="42">
        <v>1642.46</v>
      </c>
      <c r="C1620" s="42">
        <v>1648.3</v>
      </c>
      <c r="D1620" s="42">
        <v>1629.47</v>
      </c>
      <c r="E1620" s="42">
        <v>1631.27</v>
      </c>
      <c r="F1620" s="2">
        <v>9050000000</v>
      </c>
    </row>
    <row r="1621" spans="1:6">
      <c r="A1621" s="32">
        <v>41415</v>
      </c>
      <c r="B1621" s="42">
        <v>1645.78</v>
      </c>
      <c r="C1621" s="42">
        <v>1649.77</v>
      </c>
      <c r="D1621" s="42">
        <v>1639.49</v>
      </c>
      <c r="E1621" s="42">
        <v>1643.43</v>
      </c>
      <c r="F1621" s="2">
        <v>9870000000</v>
      </c>
    </row>
    <row r="1622" spans="1:6">
      <c r="A1622" s="32">
        <v>41414</v>
      </c>
      <c r="B1622" s="42">
        <v>1636.94</v>
      </c>
      <c r="C1622" s="42">
        <v>1646.59</v>
      </c>
      <c r="D1622" s="42">
        <v>1636.21</v>
      </c>
      <c r="E1622" s="42">
        <v>1643.4</v>
      </c>
      <c r="F1622" s="2">
        <v>10300000000</v>
      </c>
    </row>
    <row r="1623" spans="1:6">
      <c r="A1623" s="32">
        <v>41411</v>
      </c>
      <c r="B1623" s="42">
        <v>1615.73</v>
      </c>
      <c r="C1623" s="42">
        <v>1632.14</v>
      </c>
      <c r="D1623" s="42">
        <v>1612.12</v>
      </c>
      <c r="E1623" s="42">
        <v>1627.96</v>
      </c>
      <c r="F1623" s="2">
        <v>10460000000</v>
      </c>
    </row>
    <row r="1624" spans="1:6">
      <c r="A1624" s="32">
        <v>41410</v>
      </c>
      <c r="B1624" s="42">
        <v>1632.53</v>
      </c>
      <c r="C1624" s="42">
        <v>1634.78</v>
      </c>
      <c r="D1624" s="42">
        <v>1611.18</v>
      </c>
      <c r="E1624" s="42">
        <v>1617.89</v>
      </c>
      <c r="F1624" s="2">
        <v>11580000000</v>
      </c>
    </row>
    <row r="1625" spans="1:6">
      <c r="A1625" s="32">
        <v>41409</v>
      </c>
      <c r="B1625" s="42">
        <v>1631.31</v>
      </c>
      <c r="C1625" s="42">
        <v>1635.42</v>
      </c>
      <c r="D1625" s="42">
        <v>1627.85</v>
      </c>
      <c r="E1625" s="42">
        <v>1630.09</v>
      </c>
      <c r="F1625" s="2">
        <v>14790000000</v>
      </c>
    </row>
    <row r="1626" spans="1:6">
      <c r="A1626" s="32">
        <v>41408</v>
      </c>
      <c r="B1626" s="42">
        <v>1620.06</v>
      </c>
      <c r="C1626" s="42">
        <v>1628.65</v>
      </c>
      <c r="D1626" s="42">
        <v>1619.05</v>
      </c>
      <c r="E1626" s="42">
        <v>1623.48</v>
      </c>
      <c r="F1626" s="2">
        <v>13040000000</v>
      </c>
    </row>
    <row r="1627" spans="1:6">
      <c r="A1627" s="32">
        <v>41407</v>
      </c>
      <c r="B1627" s="42">
        <v>1621.58</v>
      </c>
      <c r="C1627" s="42">
        <v>1625.64</v>
      </c>
      <c r="D1627" s="42">
        <v>1608.59</v>
      </c>
      <c r="E1627" s="42">
        <v>1617.73</v>
      </c>
      <c r="F1627" s="2">
        <v>11250000000</v>
      </c>
    </row>
    <row r="1628" spans="1:6">
      <c r="A1628" s="32">
        <v>41404</v>
      </c>
      <c r="B1628" s="42">
        <v>1622.9</v>
      </c>
      <c r="C1628" s="42">
        <v>1626.99</v>
      </c>
      <c r="D1628" s="42">
        <v>1614.88</v>
      </c>
      <c r="E1628" s="42">
        <v>1622.48</v>
      </c>
      <c r="F1628" s="2">
        <v>10520000000</v>
      </c>
    </row>
    <row r="1629" spans="1:6">
      <c r="A1629" s="32">
        <v>41403</v>
      </c>
      <c r="B1629" s="42">
        <v>1618.67</v>
      </c>
      <c r="C1629" s="42">
        <v>1625.84</v>
      </c>
      <c r="D1629" s="42">
        <v>1611.52</v>
      </c>
      <c r="E1629" s="42">
        <v>1621.12</v>
      </c>
      <c r="F1629" s="2">
        <v>11070000000</v>
      </c>
    </row>
    <row r="1630" spans="1:6">
      <c r="A1630" s="32">
        <v>41402</v>
      </c>
      <c r="B1630" s="42">
        <v>1608.9</v>
      </c>
      <c r="C1630" s="42">
        <v>1621.4</v>
      </c>
      <c r="D1630" s="42">
        <v>1607.19</v>
      </c>
      <c r="E1630" s="42">
        <v>1614.15</v>
      </c>
      <c r="F1630" s="2">
        <v>9250000000</v>
      </c>
    </row>
    <row r="1631" spans="1:6">
      <c r="A1631" s="32">
        <v>41401</v>
      </c>
      <c r="B1631" s="42">
        <v>1587.18</v>
      </c>
      <c r="C1631" s="42">
        <v>1601.18</v>
      </c>
      <c r="D1631" s="42">
        <v>1572.74</v>
      </c>
      <c r="E1631" s="42">
        <v>1601.15</v>
      </c>
      <c r="F1631" s="2">
        <v>7250000000</v>
      </c>
    </row>
    <row r="1632" spans="1:6">
      <c r="A1632" s="32">
        <v>41397</v>
      </c>
      <c r="B1632" s="42">
        <v>1596.6</v>
      </c>
      <c r="C1632" s="42">
        <v>1598.93</v>
      </c>
      <c r="D1632" s="42">
        <v>1577.4</v>
      </c>
      <c r="E1632" s="42">
        <v>1578.95</v>
      </c>
      <c r="F1632" s="2">
        <v>9790000000</v>
      </c>
    </row>
    <row r="1633" spans="1:6">
      <c r="A1633" s="32">
        <v>41396</v>
      </c>
      <c r="B1633" s="42">
        <v>1601</v>
      </c>
      <c r="C1633" s="42">
        <v>1603.01</v>
      </c>
      <c r="D1633" s="42">
        <v>1588.04</v>
      </c>
      <c r="E1633" s="42">
        <v>1589.19</v>
      </c>
      <c r="F1633" s="2">
        <v>10340000000</v>
      </c>
    </row>
    <row r="1634" spans="1:6">
      <c r="A1634" s="32">
        <v>41394</v>
      </c>
      <c r="B1634" s="42">
        <v>1593.13</v>
      </c>
      <c r="C1634" s="42">
        <v>1597.86</v>
      </c>
      <c r="D1634" s="42">
        <v>1586.45</v>
      </c>
      <c r="E1634" s="42">
        <v>1597.86</v>
      </c>
      <c r="F1634" s="2">
        <v>8410000000</v>
      </c>
    </row>
    <row r="1635" spans="1:6">
      <c r="A1635" s="32">
        <v>41393</v>
      </c>
      <c r="B1635" s="42">
        <v>1590.11</v>
      </c>
      <c r="C1635" s="42">
        <v>1592.76</v>
      </c>
      <c r="D1635" s="42">
        <v>1575.9</v>
      </c>
      <c r="E1635" s="42">
        <v>1584.93</v>
      </c>
      <c r="F1635" s="2">
        <v>11960000000</v>
      </c>
    </row>
    <row r="1636" spans="1:6">
      <c r="A1636" s="32">
        <v>41390</v>
      </c>
      <c r="B1636" s="42">
        <v>1582.26</v>
      </c>
      <c r="C1636" s="42">
        <v>1587.24</v>
      </c>
      <c r="D1636" s="42">
        <v>1576.18</v>
      </c>
      <c r="E1636" s="42">
        <v>1582.93</v>
      </c>
      <c r="F1636" s="2">
        <v>8820000000</v>
      </c>
    </row>
    <row r="1637" spans="1:6">
      <c r="A1637" s="32">
        <v>41389</v>
      </c>
      <c r="B1637" s="42">
        <v>1556.35</v>
      </c>
      <c r="C1637" s="42">
        <v>1574.67</v>
      </c>
      <c r="D1637" s="42">
        <v>1555.18</v>
      </c>
      <c r="E1637" s="42">
        <v>1574.25</v>
      </c>
      <c r="F1637" s="2">
        <v>10960000000</v>
      </c>
    </row>
    <row r="1638" spans="1:6">
      <c r="A1638" s="32">
        <v>41388</v>
      </c>
      <c r="B1638" s="42">
        <v>1557.3</v>
      </c>
      <c r="C1638" s="42">
        <v>1560.34</v>
      </c>
      <c r="D1638" s="42">
        <v>1550.05</v>
      </c>
      <c r="E1638" s="42">
        <v>1553.85</v>
      </c>
      <c r="F1638" s="2">
        <v>8600000000</v>
      </c>
    </row>
    <row r="1639" spans="1:6">
      <c r="A1639" s="32">
        <v>41387</v>
      </c>
      <c r="B1639" s="42">
        <v>1557.16</v>
      </c>
      <c r="C1639" s="42">
        <v>1564.51</v>
      </c>
      <c r="D1639" s="42">
        <v>1546.76</v>
      </c>
      <c r="E1639" s="42">
        <v>1549.35</v>
      </c>
      <c r="F1639" s="2">
        <v>9970000000</v>
      </c>
    </row>
    <row r="1640" spans="1:6">
      <c r="A1640" s="32">
        <v>41386</v>
      </c>
      <c r="B1640" s="42">
        <v>1558.5</v>
      </c>
      <c r="C1640" s="42">
        <v>1559.65</v>
      </c>
      <c r="D1640" s="42">
        <v>1545.48</v>
      </c>
      <c r="E1640" s="42">
        <v>1559.1</v>
      </c>
      <c r="F1640" s="2">
        <v>10060000000</v>
      </c>
    </row>
    <row r="1641" spans="1:6">
      <c r="A1641" s="32">
        <v>41383</v>
      </c>
      <c r="B1641" s="42">
        <v>1535.18</v>
      </c>
      <c r="C1641" s="42">
        <v>1551.08</v>
      </c>
      <c r="D1641" s="42">
        <v>1531.7</v>
      </c>
      <c r="E1641" s="42">
        <v>1545.46</v>
      </c>
      <c r="F1641" s="2">
        <v>9930000000</v>
      </c>
    </row>
    <row r="1642" spans="1:6">
      <c r="A1642" s="32">
        <v>41382</v>
      </c>
      <c r="B1642" s="42">
        <v>1521.66</v>
      </c>
      <c r="C1642" s="42">
        <v>1529.92</v>
      </c>
      <c r="D1642" s="42">
        <v>1510.38</v>
      </c>
      <c r="E1642" s="42">
        <v>1529.76</v>
      </c>
      <c r="F1642" s="2">
        <v>6760000000</v>
      </c>
    </row>
    <row r="1643" spans="1:6">
      <c r="A1643" s="32">
        <v>41381</v>
      </c>
      <c r="B1643" s="42">
        <v>1522.31</v>
      </c>
      <c r="C1643" s="42">
        <v>1538.17</v>
      </c>
      <c r="D1643" s="42">
        <v>1518.19</v>
      </c>
      <c r="E1643" s="42">
        <v>1521.53</v>
      </c>
      <c r="F1643" s="2">
        <v>8260000000</v>
      </c>
    </row>
    <row r="1644" spans="1:6">
      <c r="A1644" s="32">
        <v>41376</v>
      </c>
      <c r="B1644" s="42">
        <v>1519.54</v>
      </c>
      <c r="C1644" s="42">
        <v>1528.94</v>
      </c>
      <c r="D1644" s="42">
        <v>1514.22</v>
      </c>
      <c r="E1644" s="42">
        <v>1527.32</v>
      </c>
      <c r="F1644" s="2">
        <v>7470000000</v>
      </c>
    </row>
    <row r="1645" spans="1:6">
      <c r="A1645" s="32">
        <v>41375</v>
      </c>
      <c r="B1645" s="42">
        <v>1500.24</v>
      </c>
      <c r="C1645" s="42">
        <v>1516.88</v>
      </c>
      <c r="D1645" s="42">
        <v>1490.84</v>
      </c>
      <c r="E1645" s="42">
        <v>1516.81</v>
      </c>
      <c r="F1645" s="2">
        <v>8910000000</v>
      </c>
    </row>
    <row r="1646" spans="1:6">
      <c r="A1646" s="32">
        <v>41374</v>
      </c>
      <c r="B1646" s="42">
        <v>1476.58</v>
      </c>
      <c r="C1646" s="42">
        <v>1490.39</v>
      </c>
      <c r="D1646" s="42">
        <v>1458.4</v>
      </c>
      <c r="E1646" s="42">
        <v>1490.25</v>
      </c>
      <c r="F1646" s="2">
        <v>11750000000</v>
      </c>
    </row>
    <row r="1647" spans="1:6">
      <c r="A1647" s="32">
        <v>41373</v>
      </c>
      <c r="B1647" s="42">
        <v>1494.04</v>
      </c>
      <c r="C1647" s="42">
        <v>1495.24</v>
      </c>
      <c r="D1647" s="42">
        <v>1470.22</v>
      </c>
      <c r="E1647" s="42">
        <v>1470.72</v>
      </c>
      <c r="F1647" s="2">
        <v>10020000000</v>
      </c>
    </row>
    <row r="1648" spans="1:6">
      <c r="A1648" s="32">
        <v>41369</v>
      </c>
      <c r="B1648" s="42">
        <v>1515.24</v>
      </c>
      <c r="C1648" s="42">
        <v>1517.25</v>
      </c>
      <c r="D1648" s="42">
        <v>1487.6</v>
      </c>
      <c r="E1648" s="42">
        <v>1489.53</v>
      </c>
      <c r="F1648" s="2">
        <v>11490000000</v>
      </c>
    </row>
    <row r="1649" spans="1:6">
      <c r="A1649" s="32">
        <v>41368</v>
      </c>
      <c r="B1649" s="42">
        <v>1482.48</v>
      </c>
      <c r="C1649" s="42">
        <v>1528.48</v>
      </c>
      <c r="D1649" s="42">
        <v>1480.41</v>
      </c>
      <c r="E1649" s="42">
        <v>1528.46</v>
      </c>
      <c r="F1649" s="2">
        <v>15900000000</v>
      </c>
    </row>
    <row r="1650" spans="1:6">
      <c r="A1650" s="32">
        <v>41367</v>
      </c>
      <c r="B1650" s="42">
        <v>1559</v>
      </c>
      <c r="C1650" s="42">
        <v>1562.39</v>
      </c>
      <c r="D1650" s="42">
        <v>1518.6</v>
      </c>
      <c r="E1650" s="42">
        <v>1520.52</v>
      </c>
      <c r="F1650" s="2">
        <v>16150000000</v>
      </c>
    </row>
    <row r="1651" spans="1:6">
      <c r="A1651" s="32">
        <v>41366</v>
      </c>
      <c r="B1651" s="42">
        <v>1553.24</v>
      </c>
      <c r="C1651" s="42">
        <v>1559.5</v>
      </c>
      <c r="D1651" s="42">
        <v>1540</v>
      </c>
      <c r="E1651" s="42">
        <v>1550.54</v>
      </c>
      <c r="F1651" s="2">
        <v>14120000000</v>
      </c>
    </row>
    <row r="1652" spans="1:6">
      <c r="A1652" s="32">
        <v>41365</v>
      </c>
      <c r="B1652" s="42">
        <v>1562.71</v>
      </c>
      <c r="C1652" s="42">
        <v>1563.1</v>
      </c>
      <c r="D1652" s="42">
        <v>1549.33</v>
      </c>
      <c r="E1652" s="42">
        <v>1549.55</v>
      </c>
      <c r="F1652" s="2">
        <v>9370000000</v>
      </c>
    </row>
    <row r="1653" spans="1:6">
      <c r="A1653" s="32">
        <v>41362</v>
      </c>
      <c r="B1653" s="42">
        <v>1554.64</v>
      </c>
      <c r="C1653" s="42">
        <v>1567.44</v>
      </c>
      <c r="D1653" s="42">
        <v>1554.18</v>
      </c>
      <c r="E1653" s="42">
        <v>1561.06</v>
      </c>
      <c r="F1653" s="2">
        <v>11820000000</v>
      </c>
    </row>
    <row r="1654" spans="1:6">
      <c r="A1654" s="32">
        <v>41361</v>
      </c>
      <c r="B1654" s="42">
        <v>1557.05</v>
      </c>
      <c r="C1654" s="42">
        <v>1562.49</v>
      </c>
      <c r="D1654" s="42">
        <v>1539.6</v>
      </c>
      <c r="E1654" s="42">
        <v>1544.57</v>
      </c>
      <c r="F1654" s="2">
        <v>14930000000</v>
      </c>
    </row>
    <row r="1655" spans="1:6">
      <c r="A1655" s="32">
        <v>41360</v>
      </c>
      <c r="B1655" s="42">
        <v>1553.71</v>
      </c>
      <c r="C1655" s="42">
        <v>1569.32</v>
      </c>
      <c r="D1655" s="42">
        <v>1553.57</v>
      </c>
      <c r="E1655" s="42">
        <v>1560.87</v>
      </c>
      <c r="F1655" s="2">
        <v>14190000000</v>
      </c>
    </row>
    <row r="1656" spans="1:6">
      <c r="A1656" s="32">
        <v>41359</v>
      </c>
      <c r="B1656" s="42">
        <v>1523.86</v>
      </c>
      <c r="C1656" s="42">
        <v>1547.1</v>
      </c>
      <c r="D1656" s="42">
        <v>1516.47</v>
      </c>
      <c r="E1656" s="42">
        <v>1544.03</v>
      </c>
      <c r="F1656" s="2">
        <v>12570000000</v>
      </c>
    </row>
    <row r="1657" spans="1:6">
      <c r="A1657" s="32">
        <v>41358</v>
      </c>
      <c r="B1657" s="42">
        <v>1494.09</v>
      </c>
      <c r="C1657" s="42">
        <v>1525.42</v>
      </c>
      <c r="D1657" s="42">
        <v>1491.01</v>
      </c>
      <c r="E1657" s="42">
        <v>1523.95</v>
      </c>
      <c r="F1657" s="2">
        <v>14990000000</v>
      </c>
    </row>
    <row r="1658" spans="1:6">
      <c r="A1658" s="32">
        <v>41355</v>
      </c>
      <c r="B1658" s="42">
        <v>1519.89</v>
      </c>
      <c r="C1658" s="42">
        <v>1526.27</v>
      </c>
      <c r="D1658" s="42">
        <v>1464.72</v>
      </c>
      <c r="E1658" s="42">
        <v>1478.97</v>
      </c>
      <c r="F1658" s="2">
        <v>35620000000</v>
      </c>
    </row>
    <row r="1659" spans="1:6">
      <c r="A1659" s="32">
        <v>41354</v>
      </c>
      <c r="B1659" s="42">
        <v>1546.81</v>
      </c>
      <c r="C1659" s="42">
        <v>1548.66</v>
      </c>
      <c r="D1659" s="42">
        <v>1526.24</v>
      </c>
      <c r="E1659" s="42">
        <v>1529.52</v>
      </c>
      <c r="F1659" s="2">
        <v>31760000000</v>
      </c>
    </row>
    <row r="1660" spans="1:6">
      <c r="A1660" s="32">
        <v>41353</v>
      </c>
      <c r="B1660" s="42">
        <v>1568.48</v>
      </c>
      <c r="C1660" s="42">
        <v>1569.7</v>
      </c>
      <c r="D1660" s="42">
        <v>1534.27</v>
      </c>
      <c r="E1660" s="42">
        <v>1543.67</v>
      </c>
      <c r="F1660" s="2">
        <v>31710000000</v>
      </c>
    </row>
    <row r="1661" spans="1:6">
      <c r="A1661" s="32">
        <v>41352</v>
      </c>
      <c r="B1661" s="42">
        <v>1598.84</v>
      </c>
      <c r="C1661" s="42">
        <v>1601.34</v>
      </c>
      <c r="D1661" s="42">
        <v>1554.27</v>
      </c>
      <c r="E1661" s="42">
        <v>1568.25</v>
      </c>
      <c r="F1661" s="2">
        <v>30290000000</v>
      </c>
    </row>
    <row r="1662" spans="1:6">
      <c r="A1662" s="32">
        <v>41351</v>
      </c>
      <c r="B1662" s="42">
        <v>1588.84</v>
      </c>
      <c r="C1662" s="42">
        <v>1596.44</v>
      </c>
      <c r="D1662" s="42">
        <v>1587.45</v>
      </c>
      <c r="E1662" s="42">
        <v>1591.65</v>
      </c>
      <c r="F1662" s="2">
        <v>27420000000</v>
      </c>
    </row>
    <row r="1663" spans="1:6">
      <c r="A1663" s="32">
        <v>41348</v>
      </c>
      <c r="B1663" s="42">
        <v>1596.1</v>
      </c>
      <c r="C1663" s="42">
        <v>1599.89</v>
      </c>
      <c r="D1663" s="42">
        <v>1592.69</v>
      </c>
      <c r="E1663" s="42">
        <v>1598.13</v>
      </c>
      <c r="F1663" s="2">
        <v>21580000000</v>
      </c>
    </row>
    <row r="1664" spans="1:6">
      <c r="A1664" s="32">
        <v>41347</v>
      </c>
      <c r="B1664" s="42">
        <v>1577.68</v>
      </c>
      <c r="C1664" s="42">
        <v>1587.22</v>
      </c>
      <c r="D1664" s="42">
        <v>1574.48</v>
      </c>
      <c r="E1664" s="42">
        <v>1586.79</v>
      </c>
      <c r="F1664" s="2">
        <v>13970000000</v>
      </c>
    </row>
    <row r="1665" spans="1:6">
      <c r="A1665" s="32">
        <v>41346</v>
      </c>
      <c r="B1665" s="42">
        <v>1579.12</v>
      </c>
      <c r="C1665" s="42">
        <v>1582.1</v>
      </c>
      <c r="D1665" s="42">
        <v>1571.4</v>
      </c>
      <c r="E1665" s="42">
        <v>1578.7</v>
      </c>
      <c r="F1665" s="2">
        <v>16730000000</v>
      </c>
    </row>
    <row r="1666" spans="1:6">
      <c r="A1666" s="32">
        <v>41345</v>
      </c>
      <c r="B1666" s="42">
        <v>1583.09</v>
      </c>
      <c r="C1666" s="42">
        <v>1586.41</v>
      </c>
      <c r="D1666" s="42">
        <v>1570.53</v>
      </c>
      <c r="E1666" s="42">
        <v>1576.68</v>
      </c>
      <c r="F1666" s="2">
        <v>18370000000</v>
      </c>
    </row>
    <row r="1667" spans="1:6">
      <c r="A1667" s="32">
        <v>41344</v>
      </c>
      <c r="B1667" s="42">
        <v>1574.08</v>
      </c>
      <c r="C1667" s="42">
        <v>1580.87</v>
      </c>
      <c r="D1667" s="42">
        <v>1571.58</v>
      </c>
      <c r="E1667" s="42">
        <v>1577.65</v>
      </c>
      <c r="F1667" s="2">
        <v>16790000000</v>
      </c>
    </row>
    <row r="1668" spans="1:6">
      <c r="A1668" s="32">
        <v>41341</v>
      </c>
      <c r="B1668" s="42">
        <v>1571.73</v>
      </c>
      <c r="C1668" s="42">
        <v>1573.1</v>
      </c>
      <c r="D1668" s="42">
        <v>1563.23</v>
      </c>
      <c r="E1668" s="42">
        <v>1566.92</v>
      </c>
      <c r="F1668" s="2">
        <v>15870000000</v>
      </c>
    </row>
    <row r="1669" spans="1:6">
      <c r="A1669" s="32">
        <v>41340</v>
      </c>
      <c r="B1669" s="42">
        <v>1561.3</v>
      </c>
      <c r="C1669" s="42">
        <v>1562.9</v>
      </c>
      <c r="D1669" s="42">
        <v>1554.83</v>
      </c>
      <c r="E1669" s="42">
        <v>1560.98</v>
      </c>
      <c r="F1669" s="2">
        <v>12360000000</v>
      </c>
    </row>
    <row r="1670" spans="1:6">
      <c r="A1670" s="32">
        <v>41339</v>
      </c>
      <c r="B1670" s="42">
        <v>1558.84</v>
      </c>
      <c r="C1670" s="42">
        <v>1561.72</v>
      </c>
      <c r="D1670" s="42">
        <v>1554.23</v>
      </c>
      <c r="E1670" s="42">
        <v>1559.35</v>
      </c>
      <c r="F1670" s="2">
        <v>11420000000</v>
      </c>
    </row>
    <row r="1671" spans="1:6">
      <c r="A1671" s="32">
        <v>41338</v>
      </c>
      <c r="B1671" s="42">
        <v>1551.07</v>
      </c>
      <c r="C1671" s="42">
        <v>1555.63</v>
      </c>
      <c r="D1671" s="42">
        <v>1545.45</v>
      </c>
      <c r="E1671" s="42">
        <v>1549.31</v>
      </c>
      <c r="F1671" s="2">
        <v>11200000000</v>
      </c>
    </row>
    <row r="1672" spans="1:6">
      <c r="A1672" s="32">
        <v>41337</v>
      </c>
      <c r="B1672" s="42">
        <v>1540.37</v>
      </c>
      <c r="C1672" s="42">
        <v>1543.38</v>
      </c>
      <c r="D1672" s="42">
        <v>1530.84</v>
      </c>
      <c r="E1672" s="42">
        <v>1540.72</v>
      </c>
      <c r="F1672" s="2">
        <v>12710000000</v>
      </c>
    </row>
    <row r="1673" spans="1:6">
      <c r="A1673" s="32">
        <v>41334</v>
      </c>
      <c r="B1673" s="42">
        <v>1544.34</v>
      </c>
      <c r="C1673" s="42">
        <v>1549.82</v>
      </c>
      <c r="D1673" s="42">
        <v>1537.02</v>
      </c>
      <c r="E1673" s="42">
        <v>1539.6</v>
      </c>
      <c r="F1673" s="2">
        <v>13290000000</v>
      </c>
    </row>
    <row r="1674" spans="1:6">
      <c r="A1674" s="32">
        <v>41333</v>
      </c>
      <c r="B1674" s="42">
        <v>1529</v>
      </c>
      <c r="C1674" s="42">
        <v>1541.68</v>
      </c>
      <c r="D1674" s="42">
        <v>1518.98</v>
      </c>
      <c r="E1674" s="42">
        <v>1541.58</v>
      </c>
      <c r="F1674" s="2">
        <v>11790000000</v>
      </c>
    </row>
    <row r="1675" spans="1:6">
      <c r="A1675" s="32">
        <v>41332</v>
      </c>
      <c r="B1675" s="42">
        <v>1535.59</v>
      </c>
      <c r="C1675" s="42">
        <v>1538.23</v>
      </c>
      <c r="D1675" s="42">
        <v>1518.02</v>
      </c>
      <c r="E1675" s="42">
        <v>1518.05</v>
      </c>
      <c r="F1675" s="2">
        <v>15340000000</v>
      </c>
    </row>
    <row r="1676" spans="1:6">
      <c r="A1676" s="32">
        <v>41331</v>
      </c>
      <c r="B1676" s="42">
        <v>1538.87</v>
      </c>
      <c r="C1676" s="42">
        <v>1539.81</v>
      </c>
      <c r="D1676" s="42">
        <v>1524.08</v>
      </c>
      <c r="E1676" s="42">
        <v>1530.32</v>
      </c>
      <c r="F1676" s="2">
        <v>11220000000</v>
      </c>
    </row>
    <row r="1677" spans="1:6">
      <c r="A1677" s="32">
        <v>41327</v>
      </c>
      <c r="B1677" s="42">
        <v>1528.76</v>
      </c>
      <c r="C1677" s="42">
        <v>1542.9</v>
      </c>
      <c r="D1677" s="42">
        <v>1527.59</v>
      </c>
      <c r="E1677" s="42">
        <v>1540.13</v>
      </c>
      <c r="F1677" s="2">
        <v>11950000000</v>
      </c>
    </row>
    <row r="1678" spans="1:6">
      <c r="A1678" s="32">
        <v>41326</v>
      </c>
      <c r="B1678" s="42">
        <v>1537.73</v>
      </c>
      <c r="C1678" s="42">
        <v>1540.81</v>
      </c>
      <c r="D1678" s="42">
        <v>1526.93</v>
      </c>
      <c r="E1678" s="42">
        <v>1528.74</v>
      </c>
      <c r="F1678" s="2">
        <v>18500000000</v>
      </c>
    </row>
    <row r="1679" spans="1:6">
      <c r="A1679" s="32">
        <v>41325</v>
      </c>
      <c r="B1679" s="42">
        <v>1539.59</v>
      </c>
      <c r="C1679" s="42">
        <v>1547.33</v>
      </c>
      <c r="D1679" s="42">
        <v>1536.53</v>
      </c>
      <c r="E1679" s="42">
        <v>1546.64</v>
      </c>
      <c r="F1679" s="2">
        <v>15540000000</v>
      </c>
    </row>
    <row r="1680" spans="1:6">
      <c r="A1680" s="32">
        <v>41324</v>
      </c>
      <c r="B1680" s="42">
        <v>1528.35</v>
      </c>
      <c r="C1680" s="42">
        <v>1533.59</v>
      </c>
      <c r="D1680" s="42">
        <v>1524.8</v>
      </c>
      <c r="E1680" s="42">
        <v>1532.07</v>
      </c>
      <c r="F1680" s="2">
        <v>15830000000</v>
      </c>
    </row>
    <row r="1681" spans="1:6">
      <c r="A1681" s="32">
        <v>41323</v>
      </c>
      <c r="B1681" s="42">
        <v>1523.84</v>
      </c>
      <c r="C1681" s="42">
        <v>1528.56</v>
      </c>
      <c r="D1681" s="42">
        <v>1519.86</v>
      </c>
      <c r="E1681" s="42">
        <v>1523.29</v>
      </c>
      <c r="F1681" s="2">
        <v>18540000000</v>
      </c>
    </row>
    <row r="1682" spans="1:6">
      <c r="A1682" s="32">
        <v>41320</v>
      </c>
      <c r="B1682" s="42">
        <v>1524.6</v>
      </c>
      <c r="C1682" s="42">
        <v>1526.23</v>
      </c>
      <c r="D1682" s="42">
        <v>1514.03</v>
      </c>
      <c r="E1682" s="42">
        <v>1521.52</v>
      </c>
      <c r="F1682" s="2">
        <v>13170000000</v>
      </c>
    </row>
    <row r="1683" spans="1:6">
      <c r="A1683" s="32">
        <v>41319</v>
      </c>
      <c r="B1683" s="42">
        <v>1522.61</v>
      </c>
      <c r="C1683" s="42">
        <v>1527.48</v>
      </c>
      <c r="D1683" s="42">
        <v>1516.97</v>
      </c>
      <c r="E1683" s="42">
        <v>1526.74</v>
      </c>
      <c r="F1683" s="2">
        <v>12200000000</v>
      </c>
    </row>
    <row r="1684" spans="1:6">
      <c r="A1684" s="32">
        <v>41318</v>
      </c>
      <c r="B1684" s="42">
        <v>1497.8</v>
      </c>
      <c r="C1684" s="42">
        <v>1516.21</v>
      </c>
      <c r="D1684" s="42">
        <v>1497.73</v>
      </c>
      <c r="E1684" s="42">
        <v>1514.11</v>
      </c>
      <c r="F1684" s="2">
        <v>20060000000</v>
      </c>
    </row>
    <row r="1685" spans="1:6">
      <c r="A1685" s="32">
        <v>41317</v>
      </c>
      <c r="B1685" s="42">
        <v>1488.4</v>
      </c>
      <c r="C1685" s="42">
        <v>1497.25</v>
      </c>
      <c r="D1685" s="42">
        <v>1486.2</v>
      </c>
      <c r="E1685" s="42">
        <v>1488.95</v>
      </c>
      <c r="F1685" s="2">
        <v>16410000000</v>
      </c>
    </row>
    <row r="1686" spans="1:6">
      <c r="A1686" s="32">
        <v>41316</v>
      </c>
      <c r="B1686" s="42">
        <v>1501.02</v>
      </c>
      <c r="C1686" s="42">
        <v>1502.47</v>
      </c>
      <c r="D1686" s="42">
        <v>1488.82</v>
      </c>
      <c r="E1686" s="42">
        <v>1489.11</v>
      </c>
      <c r="F1686" s="2">
        <v>14880000000</v>
      </c>
    </row>
    <row r="1687" spans="1:6">
      <c r="A1687" s="32">
        <v>41313</v>
      </c>
      <c r="B1687" s="42">
        <v>1499.69</v>
      </c>
      <c r="C1687" s="42">
        <v>1509.57</v>
      </c>
      <c r="D1687" s="42">
        <v>1495.9</v>
      </c>
      <c r="E1687" s="42">
        <v>1497.3</v>
      </c>
      <c r="F1687" s="2">
        <v>13390000000</v>
      </c>
    </row>
    <row r="1688" spans="1:6">
      <c r="A1688" s="32">
        <v>41312</v>
      </c>
      <c r="B1688" s="42">
        <v>1496.75</v>
      </c>
      <c r="C1688" s="42">
        <v>1502.89</v>
      </c>
      <c r="D1688" s="42">
        <v>1482.64</v>
      </c>
      <c r="E1688" s="42">
        <v>1499.81</v>
      </c>
      <c r="F1688" s="2">
        <v>18230000000</v>
      </c>
    </row>
    <row r="1689" spans="1:6">
      <c r="A1689" s="32">
        <v>41311</v>
      </c>
      <c r="B1689" s="42">
        <v>1508.2</v>
      </c>
      <c r="C1689" s="42">
        <v>1509.89</v>
      </c>
      <c r="D1689" s="42">
        <v>1498.24</v>
      </c>
      <c r="E1689" s="42">
        <v>1500.35</v>
      </c>
      <c r="F1689" s="2">
        <v>14410000000</v>
      </c>
    </row>
    <row r="1690" spans="1:6">
      <c r="A1690" s="32">
        <v>41310</v>
      </c>
      <c r="B1690" s="42">
        <v>1494.86</v>
      </c>
      <c r="C1690" s="42">
        <v>1509.23</v>
      </c>
      <c r="D1690" s="42">
        <v>1493.96</v>
      </c>
      <c r="E1690" s="42">
        <v>1505.72</v>
      </c>
      <c r="F1690" s="2">
        <v>11480000000</v>
      </c>
    </row>
    <row r="1691" spans="1:6">
      <c r="A1691" s="32">
        <v>41309</v>
      </c>
      <c r="B1691" s="42">
        <v>1508.44</v>
      </c>
      <c r="C1691" s="42">
        <v>1511.95</v>
      </c>
      <c r="D1691" s="42">
        <v>1502.12</v>
      </c>
      <c r="E1691" s="42">
        <v>1506.37</v>
      </c>
      <c r="F1691" s="2">
        <v>13660000000</v>
      </c>
    </row>
    <row r="1692" spans="1:6">
      <c r="A1692" s="32">
        <v>41306</v>
      </c>
      <c r="B1692" s="42">
        <v>1481.48</v>
      </c>
      <c r="C1692" s="42">
        <v>1499.22</v>
      </c>
      <c r="D1692" s="42">
        <v>1480.41</v>
      </c>
      <c r="E1692" s="42">
        <v>1499.22</v>
      </c>
      <c r="F1692" s="2">
        <v>20810000000</v>
      </c>
    </row>
    <row r="1693" spans="1:6">
      <c r="A1693" s="32">
        <v>41305</v>
      </c>
      <c r="B1693" s="42">
        <v>1487.07</v>
      </c>
      <c r="C1693" s="42">
        <v>1491.02</v>
      </c>
      <c r="D1693" s="42">
        <v>1471.4</v>
      </c>
      <c r="E1693" s="42">
        <v>1474.2</v>
      </c>
      <c r="F1693" s="2">
        <v>11750000000</v>
      </c>
    </row>
    <row r="1694" spans="1:6">
      <c r="A1694" s="32">
        <v>41304</v>
      </c>
      <c r="B1694" s="42">
        <v>1484.28</v>
      </c>
      <c r="C1694" s="42">
        <v>1492.72</v>
      </c>
      <c r="D1694" s="42">
        <v>1479.64</v>
      </c>
      <c r="E1694" s="42">
        <v>1490.82</v>
      </c>
      <c r="F1694" s="2">
        <v>12680000000</v>
      </c>
    </row>
    <row r="1695" spans="1:6">
      <c r="A1695" s="32">
        <v>41303</v>
      </c>
      <c r="B1695" s="42">
        <v>1475.42</v>
      </c>
      <c r="C1695" s="42">
        <v>1480.19</v>
      </c>
      <c r="D1695" s="42">
        <v>1468.08</v>
      </c>
      <c r="E1695" s="42">
        <v>1478.77</v>
      </c>
      <c r="F1695" s="2">
        <v>12070000000</v>
      </c>
    </row>
    <row r="1696" spans="1:6">
      <c r="A1696" s="32">
        <v>41302</v>
      </c>
      <c r="B1696" s="42">
        <v>1467.17</v>
      </c>
      <c r="C1696" s="42">
        <v>1473.67</v>
      </c>
      <c r="D1696" s="42">
        <v>1464.4</v>
      </c>
      <c r="E1696" s="42">
        <v>1472.05</v>
      </c>
      <c r="F1696" s="2">
        <v>16880000000</v>
      </c>
    </row>
    <row r="1697" spans="1:6">
      <c r="A1697" s="32">
        <v>41299</v>
      </c>
      <c r="B1697" s="42">
        <v>1451.53</v>
      </c>
      <c r="C1697" s="42">
        <v>1463.2</v>
      </c>
      <c r="D1697" s="42">
        <v>1450.54</v>
      </c>
      <c r="E1697" s="42">
        <v>1461.41</v>
      </c>
      <c r="F1697" s="2">
        <v>20940000000</v>
      </c>
    </row>
    <row r="1698" spans="1:6">
      <c r="A1698" s="32">
        <v>41298</v>
      </c>
      <c r="B1698" s="42">
        <v>1446.9</v>
      </c>
      <c r="C1698" s="42">
        <v>1450.8</v>
      </c>
      <c r="D1698" s="42">
        <v>1437.73</v>
      </c>
      <c r="E1698" s="42">
        <v>1449.09</v>
      </c>
      <c r="F1698" s="2">
        <v>21660000000</v>
      </c>
    </row>
    <row r="1699" spans="1:6">
      <c r="A1699" s="32">
        <v>41297</v>
      </c>
      <c r="B1699" s="42">
        <v>1440.95</v>
      </c>
      <c r="C1699" s="42">
        <v>1444.85</v>
      </c>
      <c r="D1699" s="42">
        <v>1419.53</v>
      </c>
      <c r="E1699" s="42">
        <v>1439.2</v>
      </c>
      <c r="F1699" s="2">
        <v>40040000000</v>
      </c>
    </row>
    <row r="1700" spans="1:6">
      <c r="A1700" s="32">
        <v>41296</v>
      </c>
      <c r="B1700" s="42">
        <v>1442.73</v>
      </c>
      <c r="C1700" s="42">
        <v>1451.06</v>
      </c>
      <c r="D1700" s="42">
        <v>1433.73</v>
      </c>
      <c r="E1700" s="42">
        <v>1434.09</v>
      </c>
      <c r="F1700" s="2">
        <v>44900000000</v>
      </c>
    </row>
    <row r="1701" spans="1:6">
      <c r="A1701" s="32">
        <v>41295</v>
      </c>
      <c r="B1701" s="42">
        <v>1441.66</v>
      </c>
      <c r="C1701" s="42">
        <v>1443.98</v>
      </c>
      <c r="D1701" s="42">
        <v>1434.81</v>
      </c>
      <c r="E1701" s="42">
        <v>1440.48</v>
      </c>
      <c r="F1701" s="2">
        <v>31150000000</v>
      </c>
    </row>
    <row r="1702" spans="1:6">
      <c r="A1702" s="32">
        <v>41292</v>
      </c>
      <c r="B1702" s="42">
        <v>1429.12</v>
      </c>
      <c r="C1702" s="42">
        <v>1437.02</v>
      </c>
      <c r="D1702" s="42">
        <v>1427.35</v>
      </c>
      <c r="E1702" s="42">
        <v>1434.44</v>
      </c>
      <c r="F1702" s="2">
        <v>35860000000</v>
      </c>
    </row>
    <row r="1703" spans="1:6">
      <c r="A1703" s="32">
        <v>41291</v>
      </c>
      <c r="B1703" s="42">
        <v>1421.45</v>
      </c>
      <c r="C1703" s="42">
        <v>1422.5</v>
      </c>
      <c r="D1703" s="42">
        <v>1410.1</v>
      </c>
      <c r="E1703" s="42">
        <v>1420.95</v>
      </c>
      <c r="F1703" s="2">
        <v>46820000000</v>
      </c>
    </row>
    <row r="1704" spans="1:6">
      <c r="A1704" s="32">
        <v>41290</v>
      </c>
      <c r="B1704" s="42">
        <v>1424.9</v>
      </c>
      <c r="C1704" s="42">
        <v>1426.98</v>
      </c>
      <c r="D1704" s="42">
        <v>1413.11</v>
      </c>
      <c r="E1704" s="42">
        <v>1416.14</v>
      </c>
      <c r="F1704" s="2">
        <v>43140000000</v>
      </c>
    </row>
    <row r="1705" spans="1:6">
      <c r="A1705" s="32">
        <v>41289</v>
      </c>
      <c r="B1705" s="42">
        <v>1431.62</v>
      </c>
      <c r="C1705" s="42">
        <v>1432.21</v>
      </c>
      <c r="D1705" s="42">
        <v>1417.91</v>
      </c>
      <c r="E1705" s="42">
        <v>1422.86</v>
      </c>
      <c r="F1705" s="2">
        <v>23730000000</v>
      </c>
    </row>
    <row r="1706" spans="1:6">
      <c r="A1706" s="32">
        <v>41288</v>
      </c>
      <c r="B1706" s="42">
        <v>1417.16</v>
      </c>
      <c r="C1706" s="42">
        <v>1426.22</v>
      </c>
      <c r="D1706" s="42">
        <v>1414.03</v>
      </c>
      <c r="E1706" s="42">
        <v>1425.07</v>
      </c>
      <c r="F1706" s="2">
        <v>29260000000</v>
      </c>
    </row>
    <row r="1707" spans="1:6">
      <c r="A1707" s="32">
        <v>41285</v>
      </c>
      <c r="B1707" s="42">
        <v>1407.12</v>
      </c>
      <c r="C1707" s="42">
        <v>1412.06</v>
      </c>
      <c r="D1707" s="42">
        <v>1392.61</v>
      </c>
      <c r="E1707" s="42">
        <v>1412.06</v>
      </c>
      <c r="F1707" s="2">
        <v>14570000000</v>
      </c>
    </row>
    <row r="1708" spans="1:6">
      <c r="A1708" s="32">
        <v>41284</v>
      </c>
      <c r="B1708" s="42">
        <v>1426.73</v>
      </c>
      <c r="C1708" s="42">
        <v>1429.21</v>
      </c>
      <c r="D1708" s="42">
        <v>1404.12</v>
      </c>
      <c r="E1708" s="42">
        <v>1405.99</v>
      </c>
      <c r="F1708" s="2">
        <v>12550000000</v>
      </c>
    </row>
    <row r="1709" spans="1:6">
      <c r="A1709" s="32">
        <v>41283</v>
      </c>
      <c r="B1709" s="42">
        <v>1422.83</v>
      </c>
      <c r="C1709" s="42">
        <v>1428.98</v>
      </c>
      <c r="D1709" s="42">
        <v>1421.63</v>
      </c>
      <c r="E1709" s="42">
        <v>1423.46</v>
      </c>
      <c r="F1709" s="2">
        <v>17450000000</v>
      </c>
    </row>
    <row r="1710" spans="1:6">
      <c r="A1710" s="32">
        <v>41282</v>
      </c>
      <c r="B1710" s="42">
        <v>1415.08</v>
      </c>
      <c r="C1710" s="42">
        <v>1421.62</v>
      </c>
      <c r="D1710" s="42">
        <v>1408.08</v>
      </c>
      <c r="E1710" s="42">
        <v>1417.33</v>
      </c>
      <c r="F1710" s="2">
        <v>11870000000</v>
      </c>
    </row>
    <row r="1711" spans="1:6">
      <c r="A1711" s="32">
        <v>41281</v>
      </c>
      <c r="B1711" s="42">
        <v>1423.27</v>
      </c>
      <c r="C1711" s="42">
        <v>1425.26</v>
      </c>
      <c r="D1711" s="42">
        <v>1415.32</v>
      </c>
      <c r="E1711" s="42">
        <v>1415.32</v>
      </c>
      <c r="F1711" s="2">
        <v>20920000000</v>
      </c>
    </row>
    <row r="1712" spans="1:6">
      <c r="A1712" s="32">
        <v>41278</v>
      </c>
      <c r="B1712" s="42">
        <v>1405.48</v>
      </c>
      <c r="C1712" s="42">
        <v>1416.67</v>
      </c>
      <c r="D1712" s="42">
        <v>1399.97</v>
      </c>
      <c r="E1712" s="42">
        <v>1416.66</v>
      </c>
      <c r="F1712" s="2">
        <v>18370000000</v>
      </c>
    </row>
    <row r="1713" spans="1:6">
      <c r="A1713" s="32">
        <v>41277</v>
      </c>
      <c r="B1713" s="42">
        <v>1411.56</v>
      </c>
      <c r="C1713" s="42">
        <v>1415.81</v>
      </c>
      <c r="D1713" s="42">
        <v>1404.99</v>
      </c>
      <c r="E1713" s="42">
        <v>1408.41</v>
      </c>
      <c r="F1713" s="2">
        <v>14590000000</v>
      </c>
    </row>
    <row r="1714" spans="1:6">
      <c r="A1714" s="32">
        <v>41276</v>
      </c>
      <c r="B1714" s="42">
        <v>1401.39</v>
      </c>
      <c r="C1714" s="42">
        <v>1411.58</v>
      </c>
      <c r="D1714" s="42">
        <v>1400.95</v>
      </c>
      <c r="E1714" s="42">
        <v>1407.45</v>
      </c>
      <c r="F1714" s="2">
        <v>14580000000</v>
      </c>
    </row>
    <row r="1715" spans="1:6">
      <c r="A1715" s="32">
        <v>41271</v>
      </c>
      <c r="B1715" s="42">
        <v>1401.91</v>
      </c>
      <c r="C1715" s="42">
        <v>1402.86</v>
      </c>
      <c r="D1715" s="42">
        <v>1391.85</v>
      </c>
      <c r="E1715" s="42">
        <v>1391.93</v>
      </c>
      <c r="F1715" s="2">
        <v>17630000000</v>
      </c>
    </row>
    <row r="1716" spans="1:6">
      <c r="A1716" s="32">
        <v>41270</v>
      </c>
      <c r="B1716" s="42">
        <v>1385.38</v>
      </c>
      <c r="C1716" s="42">
        <v>1398.8</v>
      </c>
      <c r="D1716" s="42">
        <v>1384.24</v>
      </c>
      <c r="E1716" s="42">
        <v>1397.19</v>
      </c>
      <c r="F1716" s="2">
        <v>15200000000</v>
      </c>
    </row>
    <row r="1717" spans="1:6">
      <c r="A1717" s="32">
        <v>41269</v>
      </c>
      <c r="B1717" s="42">
        <v>1379.43</v>
      </c>
      <c r="C1717" s="42">
        <v>1384.7</v>
      </c>
      <c r="D1717" s="42">
        <v>1378.43</v>
      </c>
      <c r="E1717" s="42">
        <v>1382.23</v>
      </c>
      <c r="F1717" s="2">
        <v>10880000000</v>
      </c>
    </row>
    <row r="1718" spans="1:6">
      <c r="A1718" s="32">
        <v>41268</v>
      </c>
      <c r="B1718" s="42">
        <v>1375.7</v>
      </c>
      <c r="C1718" s="42">
        <v>1379.66</v>
      </c>
      <c r="D1718" s="42">
        <v>1374.89</v>
      </c>
      <c r="E1718" s="42">
        <v>1378.32</v>
      </c>
      <c r="F1718" s="2">
        <v>7860000000</v>
      </c>
    </row>
    <row r="1719" spans="1:6">
      <c r="A1719" s="32">
        <v>41267</v>
      </c>
      <c r="B1719" s="42">
        <v>1372.99</v>
      </c>
      <c r="C1719" s="42">
        <v>1375.82</v>
      </c>
      <c r="D1719" s="42">
        <v>1369.02</v>
      </c>
      <c r="E1719" s="42">
        <v>1375.82</v>
      </c>
      <c r="F1719" s="2">
        <v>11660000000</v>
      </c>
    </row>
    <row r="1720" spans="1:6">
      <c r="A1720" s="32">
        <v>41264</v>
      </c>
      <c r="B1720" s="42">
        <v>1371.95</v>
      </c>
      <c r="C1720" s="42">
        <v>1375.83</v>
      </c>
      <c r="D1720" s="42">
        <v>1368.66</v>
      </c>
      <c r="E1720" s="42">
        <v>1373.38</v>
      </c>
      <c r="F1720" s="2">
        <v>11540000000</v>
      </c>
    </row>
    <row r="1721" spans="1:6">
      <c r="A1721" s="32">
        <v>41263</v>
      </c>
      <c r="B1721" s="42">
        <v>1377.74</v>
      </c>
      <c r="C1721" s="42">
        <v>1381.38</v>
      </c>
      <c r="D1721" s="42">
        <v>1372.52</v>
      </c>
      <c r="E1721" s="42">
        <v>1377.4</v>
      </c>
      <c r="F1721" s="2">
        <v>11520000000</v>
      </c>
    </row>
    <row r="1722" spans="1:6">
      <c r="A1722" s="32">
        <v>41262</v>
      </c>
      <c r="B1722" s="42">
        <v>1369.77</v>
      </c>
      <c r="C1722" s="42">
        <v>1378.76</v>
      </c>
      <c r="D1722" s="42">
        <v>1367.9</v>
      </c>
      <c r="E1722" s="42">
        <v>1378.4</v>
      </c>
      <c r="F1722" s="2">
        <v>16330000000</v>
      </c>
    </row>
    <row r="1723" spans="1:6">
      <c r="A1723" s="32">
        <v>41261</v>
      </c>
      <c r="B1723" s="42">
        <v>1364.15</v>
      </c>
      <c r="C1723" s="42">
        <v>1366.17</v>
      </c>
      <c r="D1723" s="42">
        <v>1348.15</v>
      </c>
      <c r="E1723" s="42">
        <v>1362.94</v>
      </c>
      <c r="F1723" s="2">
        <v>10530000000</v>
      </c>
    </row>
    <row r="1724" spans="1:6">
      <c r="A1724" s="32">
        <v>41260</v>
      </c>
      <c r="B1724" s="42">
        <v>1361.83</v>
      </c>
      <c r="C1724" s="42">
        <v>1366.01</v>
      </c>
      <c r="D1724" s="42">
        <v>1357.74</v>
      </c>
      <c r="E1724" s="42">
        <v>1359.09</v>
      </c>
      <c r="F1724" s="2">
        <v>8560000000</v>
      </c>
    </row>
    <row r="1725" spans="1:6">
      <c r="A1725" s="32">
        <v>41257</v>
      </c>
      <c r="B1725" s="42">
        <v>1355.41</v>
      </c>
      <c r="C1725" s="42">
        <v>1360.42</v>
      </c>
      <c r="D1725" s="42">
        <v>1354.39</v>
      </c>
      <c r="E1725" s="42">
        <v>1358.5</v>
      </c>
      <c r="F1725" s="2">
        <v>17400000000</v>
      </c>
    </row>
    <row r="1726" spans="1:6">
      <c r="A1726" s="32">
        <v>41256</v>
      </c>
      <c r="B1726" s="42">
        <v>1356.6</v>
      </c>
      <c r="C1726" s="42">
        <v>1360.23</v>
      </c>
      <c r="D1726" s="42">
        <v>1350.55</v>
      </c>
      <c r="E1726" s="42">
        <v>1353.81</v>
      </c>
      <c r="F1726" s="2">
        <v>7150000000</v>
      </c>
    </row>
    <row r="1727" spans="1:6">
      <c r="A1727" s="32">
        <v>41255</v>
      </c>
      <c r="B1727" s="42">
        <v>1347.44</v>
      </c>
      <c r="C1727" s="42">
        <v>1354.84</v>
      </c>
      <c r="D1727" s="42">
        <v>1345.36</v>
      </c>
      <c r="E1727" s="42">
        <v>1354.57</v>
      </c>
      <c r="F1727" s="2">
        <v>13230000000</v>
      </c>
    </row>
    <row r="1728" spans="1:6">
      <c r="A1728" s="32">
        <v>41254</v>
      </c>
      <c r="B1728" s="42">
        <v>1341.2</v>
      </c>
      <c r="C1728" s="42">
        <v>1344.82</v>
      </c>
      <c r="D1728" s="42">
        <v>1338.3</v>
      </c>
      <c r="E1728" s="42">
        <v>1341.33</v>
      </c>
      <c r="F1728" s="2">
        <v>5950000000</v>
      </c>
    </row>
    <row r="1729" spans="1:6">
      <c r="A1729" s="32">
        <v>41250</v>
      </c>
      <c r="B1729" s="42">
        <v>1341.35</v>
      </c>
      <c r="C1729" s="42">
        <v>1343.03</v>
      </c>
      <c r="D1729" s="42">
        <v>1330.26</v>
      </c>
      <c r="E1729" s="42">
        <v>1334.95</v>
      </c>
      <c r="F1729" s="2">
        <v>7330000000</v>
      </c>
    </row>
    <row r="1730" spans="1:6">
      <c r="A1730" s="32">
        <v>41249</v>
      </c>
      <c r="B1730" s="42">
        <v>1335.72</v>
      </c>
      <c r="C1730" s="42">
        <v>1342.53</v>
      </c>
      <c r="D1730" s="42">
        <v>1335.01</v>
      </c>
      <c r="E1730" s="42">
        <v>1339.88</v>
      </c>
      <c r="F1730" s="2">
        <v>6920000000</v>
      </c>
    </row>
    <row r="1731" spans="1:6">
      <c r="A1731" s="32">
        <v>41247</v>
      </c>
      <c r="B1731" s="42">
        <v>1334.3</v>
      </c>
      <c r="C1731" s="42">
        <v>1335.19</v>
      </c>
      <c r="D1731" s="42">
        <v>1326.68</v>
      </c>
      <c r="E1731" s="42">
        <v>1330.06</v>
      </c>
      <c r="F1731" s="2">
        <v>6580000000</v>
      </c>
    </row>
    <row r="1732" spans="1:6">
      <c r="A1732" s="32">
        <v>41246</v>
      </c>
      <c r="B1732" s="42">
        <v>1329.12</v>
      </c>
      <c r="C1732" s="42">
        <v>1333.64</v>
      </c>
      <c r="D1732" s="42">
        <v>1326.95</v>
      </c>
      <c r="E1732" s="42">
        <v>1332.92</v>
      </c>
      <c r="F1732" s="2">
        <v>5660000000</v>
      </c>
    </row>
    <row r="1733" spans="1:6">
      <c r="A1733" s="32">
        <v>41243</v>
      </c>
      <c r="B1733" s="42">
        <v>1314.33</v>
      </c>
      <c r="C1733" s="42">
        <v>1328.27</v>
      </c>
      <c r="D1733" s="42">
        <v>1313.68</v>
      </c>
      <c r="E1733" s="42">
        <v>1324.04</v>
      </c>
      <c r="F1733" s="2">
        <v>6490000000</v>
      </c>
    </row>
    <row r="1734" spans="1:6">
      <c r="A1734" s="32">
        <v>41242</v>
      </c>
      <c r="B1734" s="42">
        <v>1304.33</v>
      </c>
      <c r="C1734" s="42">
        <v>1311.09</v>
      </c>
      <c r="D1734" s="42">
        <v>1303.7</v>
      </c>
      <c r="E1734" s="42">
        <v>1309.57</v>
      </c>
      <c r="F1734" s="2">
        <v>5140000000</v>
      </c>
    </row>
    <row r="1735" spans="1:6">
      <c r="A1735" s="32">
        <v>41241</v>
      </c>
      <c r="B1735" s="42">
        <v>1295.1099999999999</v>
      </c>
      <c r="C1735" s="42">
        <v>1302.1300000000001</v>
      </c>
      <c r="D1735" s="42">
        <v>1292.6400000000001</v>
      </c>
      <c r="E1735" s="42">
        <v>1299.94</v>
      </c>
      <c r="F1735" s="2">
        <v>4930000000</v>
      </c>
    </row>
    <row r="1736" spans="1:6">
      <c r="A1736" s="32">
        <v>41240</v>
      </c>
      <c r="B1736" s="42">
        <v>1293.71</v>
      </c>
      <c r="C1736" s="42">
        <v>1298.47</v>
      </c>
      <c r="D1736" s="42">
        <v>1292.47</v>
      </c>
      <c r="E1736" s="42">
        <v>1297.03</v>
      </c>
      <c r="F1736" s="2">
        <v>5570000000</v>
      </c>
    </row>
    <row r="1737" spans="1:6">
      <c r="A1737" s="32">
        <v>41239</v>
      </c>
      <c r="B1737" s="42">
        <v>1288.19</v>
      </c>
      <c r="C1737" s="42">
        <v>1292.6600000000001</v>
      </c>
      <c r="D1737" s="42">
        <v>1286.1300000000001</v>
      </c>
      <c r="E1737" s="42">
        <v>1290.8499999999999</v>
      </c>
      <c r="F1737" s="2">
        <v>4860000000</v>
      </c>
    </row>
    <row r="1738" spans="1:6">
      <c r="A1738" s="32">
        <v>41236</v>
      </c>
      <c r="B1738" s="42">
        <v>1277.3</v>
      </c>
      <c r="C1738" s="42">
        <v>1282.23</v>
      </c>
      <c r="D1738" s="42">
        <v>1272.98</v>
      </c>
      <c r="E1738" s="42">
        <v>1281.7</v>
      </c>
      <c r="F1738" s="2">
        <v>5680000000</v>
      </c>
    </row>
    <row r="1739" spans="1:6">
      <c r="A1739" s="32">
        <v>41235</v>
      </c>
      <c r="B1739" s="42">
        <v>1279.3599999999999</v>
      </c>
      <c r="C1739" s="42">
        <v>1282.73</v>
      </c>
      <c r="D1739" s="42">
        <v>1276.92</v>
      </c>
      <c r="E1739" s="42">
        <v>1279.51</v>
      </c>
      <c r="F1739" s="2">
        <v>5050000000</v>
      </c>
    </row>
    <row r="1740" spans="1:6">
      <c r="A1740" s="32">
        <v>41234</v>
      </c>
      <c r="B1740" s="42">
        <v>1277.98</v>
      </c>
      <c r="C1740" s="42">
        <v>1279.25</v>
      </c>
      <c r="D1740" s="42">
        <v>1268.3</v>
      </c>
      <c r="E1740" s="42">
        <v>1276.3900000000001</v>
      </c>
      <c r="F1740" s="2">
        <v>4510000000</v>
      </c>
    </row>
    <row r="1741" spans="1:6">
      <c r="A1741" s="32">
        <v>41233</v>
      </c>
      <c r="B1741" s="42">
        <v>1289.74</v>
      </c>
      <c r="C1741" s="42">
        <v>1291.29</v>
      </c>
      <c r="D1741" s="42">
        <v>1273.82</v>
      </c>
      <c r="E1741" s="42">
        <v>1276.4100000000001</v>
      </c>
      <c r="F1741" s="2">
        <v>4350000000</v>
      </c>
    </row>
    <row r="1742" spans="1:6">
      <c r="A1742" s="32">
        <v>41232</v>
      </c>
      <c r="B1742" s="42">
        <v>1282.49</v>
      </c>
      <c r="C1742" s="42">
        <v>1284.77</v>
      </c>
      <c r="D1742" s="42">
        <v>1278.48</v>
      </c>
      <c r="E1742" s="42">
        <v>1283.6500000000001</v>
      </c>
      <c r="F1742" s="2">
        <v>4160000000</v>
      </c>
    </row>
    <row r="1743" spans="1:6">
      <c r="A1743" s="32">
        <v>41229</v>
      </c>
      <c r="B1743" s="42">
        <v>1273.3499999999999</v>
      </c>
      <c r="C1743" s="42">
        <v>1280.1300000000001</v>
      </c>
      <c r="D1743" s="42">
        <v>1272.48</v>
      </c>
      <c r="E1743" s="42">
        <v>1280.1300000000001</v>
      </c>
      <c r="F1743" s="2">
        <v>4210000000</v>
      </c>
    </row>
    <row r="1744" spans="1:6">
      <c r="A1744" s="32">
        <v>41228</v>
      </c>
      <c r="B1744" s="42">
        <v>1274.1600000000001</v>
      </c>
      <c r="C1744" s="42">
        <v>1276.77</v>
      </c>
      <c r="D1744" s="42">
        <v>1263.05</v>
      </c>
      <c r="E1744" s="42">
        <v>1274.02</v>
      </c>
      <c r="F1744" s="2">
        <v>6070000000</v>
      </c>
    </row>
    <row r="1745" spans="1:6">
      <c r="A1745" s="32">
        <v>41227</v>
      </c>
      <c r="B1745" s="42">
        <v>1291.48</v>
      </c>
      <c r="C1745" s="42">
        <v>1293.77</v>
      </c>
      <c r="D1745" s="42">
        <v>1278.94</v>
      </c>
      <c r="E1745" s="42">
        <v>1279.29</v>
      </c>
      <c r="F1745" s="2">
        <v>5920000000</v>
      </c>
    </row>
    <row r="1746" spans="1:6">
      <c r="A1746" s="32">
        <v>41226</v>
      </c>
      <c r="B1746" s="42">
        <v>1291.6300000000001</v>
      </c>
      <c r="C1746" s="42">
        <v>1293.1500000000001</v>
      </c>
      <c r="D1746" s="42">
        <v>1283.7</v>
      </c>
      <c r="E1746" s="42">
        <v>1289.07</v>
      </c>
      <c r="F1746" s="2">
        <v>5130000000</v>
      </c>
    </row>
    <row r="1747" spans="1:6">
      <c r="A1747" s="32">
        <v>41225</v>
      </c>
      <c r="B1747" s="42">
        <v>1293.6600000000001</v>
      </c>
      <c r="C1747" s="42">
        <v>1296.56</v>
      </c>
      <c r="D1747" s="42">
        <v>1289.6300000000001</v>
      </c>
      <c r="E1747" s="42">
        <v>1294.5</v>
      </c>
      <c r="F1747" s="2">
        <v>4610000000</v>
      </c>
    </row>
    <row r="1748" spans="1:6">
      <c r="A1748" s="32">
        <v>41222</v>
      </c>
      <c r="B1748" s="42">
        <v>1292.94</v>
      </c>
      <c r="C1748" s="42">
        <v>1298.04</v>
      </c>
      <c r="D1748" s="42">
        <v>1286.21</v>
      </c>
      <c r="E1748" s="42">
        <v>1290.83</v>
      </c>
      <c r="F1748" s="2">
        <v>6220000000</v>
      </c>
    </row>
    <row r="1749" spans="1:6">
      <c r="A1749" s="32">
        <v>41221</v>
      </c>
      <c r="B1749" s="42">
        <v>1288.58</v>
      </c>
      <c r="C1749" s="42">
        <v>1295.02</v>
      </c>
      <c r="D1749" s="42">
        <v>1285.77</v>
      </c>
      <c r="E1749" s="42">
        <v>1293.7</v>
      </c>
      <c r="F1749" s="2">
        <v>5850000000</v>
      </c>
    </row>
    <row r="1750" spans="1:6">
      <c r="A1750" s="32">
        <v>41220</v>
      </c>
      <c r="B1750" s="42">
        <v>1304.56</v>
      </c>
      <c r="C1750" s="42">
        <v>1306.56</v>
      </c>
      <c r="D1750" s="42">
        <v>1297.51</v>
      </c>
      <c r="E1750" s="42">
        <v>1299.74</v>
      </c>
      <c r="F1750" s="2">
        <v>5590000000</v>
      </c>
    </row>
    <row r="1751" spans="1:6">
      <c r="A1751" s="32">
        <v>41219</v>
      </c>
      <c r="B1751" s="42">
        <v>1308.07</v>
      </c>
      <c r="C1751" s="42">
        <v>1313.24</v>
      </c>
      <c r="D1751" s="42">
        <v>1298.4100000000001</v>
      </c>
      <c r="E1751" s="42">
        <v>1300.8399999999999</v>
      </c>
      <c r="F1751" s="2">
        <v>5480000000</v>
      </c>
    </row>
    <row r="1752" spans="1:6">
      <c r="A1752" s="32">
        <v>41218</v>
      </c>
      <c r="B1752" s="42">
        <v>1306.8699999999999</v>
      </c>
      <c r="C1752" s="42">
        <v>1310.5</v>
      </c>
      <c r="D1752" s="42">
        <v>1303.44</v>
      </c>
      <c r="E1752" s="42">
        <v>1306.7</v>
      </c>
      <c r="F1752" s="2">
        <v>5540000000</v>
      </c>
    </row>
    <row r="1753" spans="1:6">
      <c r="A1753" s="32">
        <v>41215</v>
      </c>
      <c r="B1753" s="42">
        <v>1307.69</v>
      </c>
      <c r="C1753" s="42">
        <v>1311.39</v>
      </c>
      <c r="D1753" s="42">
        <v>1304.93</v>
      </c>
      <c r="E1753" s="42">
        <v>1306.5999999999999</v>
      </c>
      <c r="F1753" s="2">
        <v>6750000000</v>
      </c>
    </row>
    <row r="1754" spans="1:6">
      <c r="A1754" s="32">
        <v>41214</v>
      </c>
      <c r="B1754" s="42">
        <v>1297.04</v>
      </c>
      <c r="C1754" s="42">
        <v>1302.68</v>
      </c>
      <c r="D1754" s="42">
        <v>1294.93</v>
      </c>
      <c r="E1754" s="42">
        <v>1297.99</v>
      </c>
      <c r="F1754" s="2">
        <v>5220000000</v>
      </c>
    </row>
    <row r="1755" spans="1:6">
      <c r="A1755" s="32">
        <v>41213</v>
      </c>
      <c r="B1755" s="42">
        <v>1294.54</v>
      </c>
      <c r="C1755" s="42">
        <v>1300.1300000000001</v>
      </c>
      <c r="D1755" s="42">
        <v>1291.8900000000001</v>
      </c>
      <c r="E1755" s="42">
        <v>1298.8699999999999</v>
      </c>
      <c r="F1755" s="2">
        <v>5570000000</v>
      </c>
    </row>
    <row r="1756" spans="1:6">
      <c r="A1756" s="32">
        <v>41212</v>
      </c>
      <c r="B1756" s="42">
        <v>1281.8499999999999</v>
      </c>
      <c r="C1756" s="42">
        <v>1294.43</v>
      </c>
      <c r="D1756" s="42">
        <v>1280.3</v>
      </c>
      <c r="E1756" s="42">
        <v>1294.43</v>
      </c>
      <c r="F1756" s="2">
        <v>4900000000</v>
      </c>
    </row>
    <row r="1757" spans="1:6">
      <c r="A1757" s="32">
        <v>41211</v>
      </c>
      <c r="B1757" s="42">
        <v>1281.55</v>
      </c>
      <c r="C1757" s="42">
        <v>1283.74</v>
      </c>
      <c r="D1757" s="42">
        <v>1274.9000000000001</v>
      </c>
      <c r="E1757" s="42">
        <v>1279.57</v>
      </c>
      <c r="F1757" s="2">
        <v>4290000000</v>
      </c>
    </row>
    <row r="1758" spans="1:6">
      <c r="A1758" s="32">
        <v>41208</v>
      </c>
      <c r="B1758" s="42">
        <v>1293.24</v>
      </c>
      <c r="C1758" s="42">
        <v>1294.67</v>
      </c>
      <c r="D1758" s="42">
        <v>1271.33</v>
      </c>
      <c r="E1758" s="42">
        <v>1281.81</v>
      </c>
      <c r="F1758" s="2">
        <v>5930000000</v>
      </c>
    </row>
    <row r="1759" spans="1:6">
      <c r="A1759" s="32">
        <v>41207</v>
      </c>
      <c r="B1759" s="42">
        <v>1293.6600000000001</v>
      </c>
      <c r="C1759" s="42">
        <v>1298.96</v>
      </c>
      <c r="D1759" s="42">
        <v>1285.83</v>
      </c>
      <c r="E1759" s="42">
        <v>1297.3900000000001</v>
      </c>
      <c r="F1759" s="2">
        <v>5360000000</v>
      </c>
    </row>
    <row r="1760" spans="1:6">
      <c r="A1760" s="32">
        <v>41206</v>
      </c>
      <c r="B1760" s="42">
        <v>1304.77</v>
      </c>
      <c r="C1760" s="42">
        <v>1307.8499999999999</v>
      </c>
      <c r="D1760" s="42">
        <v>1291.3599999999999</v>
      </c>
      <c r="E1760" s="42">
        <v>1295</v>
      </c>
      <c r="F1760" s="2">
        <v>7870000000</v>
      </c>
    </row>
    <row r="1761" spans="1:6">
      <c r="A1761" s="32">
        <v>41204</v>
      </c>
      <c r="B1761" s="42">
        <v>1301.8499999999999</v>
      </c>
      <c r="C1761" s="42">
        <v>1310.94</v>
      </c>
      <c r="D1761" s="42">
        <v>1300.8</v>
      </c>
      <c r="E1761" s="42">
        <v>1310.42</v>
      </c>
      <c r="F1761" s="2">
        <v>5800000000</v>
      </c>
    </row>
    <row r="1762" spans="1:6">
      <c r="A1762" s="32">
        <v>41201</v>
      </c>
      <c r="B1762" s="42">
        <v>1311.39</v>
      </c>
      <c r="C1762" s="42">
        <v>1314.32</v>
      </c>
      <c r="D1762" s="42">
        <v>1306.83</v>
      </c>
      <c r="E1762" s="42">
        <v>1307.71</v>
      </c>
      <c r="F1762" s="2">
        <v>5770000000</v>
      </c>
    </row>
    <row r="1763" spans="1:6">
      <c r="A1763" s="32">
        <v>41200</v>
      </c>
      <c r="B1763" s="42">
        <v>1306.8399999999999</v>
      </c>
      <c r="C1763" s="42">
        <v>1312.07</v>
      </c>
      <c r="D1763" s="42">
        <v>1302.83</v>
      </c>
      <c r="E1763" s="42">
        <v>1311.21</v>
      </c>
      <c r="F1763" s="2">
        <v>7690000000</v>
      </c>
    </row>
    <row r="1764" spans="1:6">
      <c r="A1764" s="32">
        <v>41199</v>
      </c>
      <c r="B1764" s="42">
        <v>1292.53</v>
      </c>
      <c r="C1764" s="42">
        <v>1301.5</v>
      </c>
      <c r="D1764" s="42">
        <v>1290.3</v>
      </c>
      <c r="E1764" s="42">
        <v>1301.28</v>
      </c>
      <c r="F1764" s="2">
        <v>8950000000</v>
      </c>
    </row>
    <row r="1765" spans="1:6">
      <c r="A1765" s="32">
        <v>41198</v>
      </c>
      <c r="B1765" s="42">
        <v>1296</v>
      </c>
      <c r="C1765" s="42">
        <v>1297.42</v>
      </c>
      <c r="D1765" s="42">
        <v>1287.0999999999999</v>
      </c>
      <c r="E1765" s="42">
        <v>1287.49</v>
      </c>
      <c r="F1765" s="2">
        <v>8400000000</v>
      </c>
    </row>
    <row r="1766" spans="1:6">
      <c r="A1766" s="32">
        <v>41197</v>
      </c>
      <c r="B1766" s="42">
        <v>1293.46</v>
      </c>
      <c r="C1766" s="42">
        <v>1295.6099999999999</v>
      </c>
      <c r="D1766" s="42">
        <v>1286.1199999999999</v>
      </c>
      <c r="E1766" s="42">
        <v>1290.56</v>
      </c>
      <c r="F1766" s="2">
        <v>7190000000</v>
      </c>
    </row>
    <row r="1767" spans="1:6">
      <c r="A1767" s="32">
        <v>41194</v>
      </c>
      <c r="B1767" s="42">
        <v>1298.3800000000001</v>
      </c>
      <c r="C1767" s="42">
        <v>1302.54</v>
      </c>
      <c r="D1767" s="42">
        <v>1296.6300000000001</v>
      </c>
      <c r="E1767" s="42">
        <v>1296.98</v>
      </c>
      <c r="F1767" s="2">
        <v>7360000000</v>
      </c>
    </row>
    <row r="1768" spans="1:6">
      <c r="A1768" s="32">
        <v>41193</v>
      </c>
      <c r="B1768" s="42">
        <v>1290.3699999999999</v>
      </c>
      <c r="C1768" s="42">
        <v>1295.1199999999999</v>
      </c>
      <c r="D1768" s="42">
        <v>1280.23</v>
      </c>
      <c r="E1768" s="42">
        <v>1294.9000000000001</v>
      </c>
      <c r="F1768" s="2">
        <v>8380000000</v>
      </c>
    </row>
    <row r="1769" spans="1:6">
      <c r="A1769" s="32">
        <v>41192</v>
      </c>
      <c r="B1769" s="42">
        <v>1286.56</v>
      </c>
      <c r="C1769" s="42">
        <v>1294.22</v>
      </c>
      <c r="D1769" s="42">
        <v>1286.5</v>
      </c>
      <c r="E1769" s="42">
        <v>1289.3499999999999</v>
      </c>
      <c r="F1769" s="2">
        <v>8050000000</v>
      </c>
    </row>
    <row r="1770" spans="1:6">
      <c r="A1770" s="32">
        <v>41191</v>
      </c>
      <c r="B1770" s="42">
        <v>1310.95</v>
      </c>
      <c r="C1770" s="42">
        <v>1314.64</v>
      </c>
      <c r="D1770" s="42">
        <v>1292.4000000000001</v>
      </c>
      <c r="E1770" s="42">
        <v>1292.48</v>
      </c>
      <c r="F1770" s="2">
        <v>9360000000</v>
      </c>
    </row>
    <row r="1771" spans="1:6">
      <c r="A1771" s="32">
        <v>41190</v>
      </c>
      <c r="B1771" s="42">
        <v>1308.46</v>
      </c>
      <c r="C1771" s="42">
        <v>1310.43</v>
      </c>
      <c r="D1771" s="42">
        <v>1300.51</v>
      </c>
      <c r="E1771" s="42">
        <v>1304.71</v>
      </c>
      <c r="F1771" s="2">
        <v>10140000000</v>
      </c>
    </row>
    <row r="1772" spans="1:6">
      <c r="A1772" s="32">
        <v>41187</v>
      </c>
      <c r="B1772" s="42">
        <v>1311.4</v>
      </c>
      <c r="C1772" s="42">
        <v>1314.28</v>
      </c>
      <c r="D1772" s="42">
        <v>1308.6300000000001</v>
      </c>
      <c r="E1772" s="42">
        <v>1311.35</v>
      </c>
      <c r="F1772" s="2">
        <v>6990000000</v>
      </c>
    </row>
    <row r="1773" spans="1:6">
      <c r="A1773" s="32">
        <v>41186</v>
      </c>
      <c r="B1773" s="42">
        <v>1308.97</v>
      </c>
      <c r="C1773" s="42">
        <v>1314.32</v>
      </c>
      <c r="D1773" s="42">
        <v>1306.05</v>
      </c>
      <c r="E1773" s="42">
        <v>1306.6300000000001</v>
      </c>
      <c r="F1773" s="2">
        <v>8400000000</v>
      </c>
    </row>
    <row r="1774" spans="1:6">
      <c r="A1774" s="32">
        <v>41185</v>
      </c>
      <c r="B1774" s="42">
        <v>1309.01</v>
      </c>
      <c r="C1774" s="42">
        <v>1311.67</v>
      </c>
      <c r="D1774" s="42">
        <v>1302.3499999999999</v>
      </c>
      <c r="E1774" s="42">
        <v>1307.55</v>
      </c>
      <c r="F1774" s="2">
        <v>8270000000</v>
      </c>
    </row>
    <row r="1775" spans="1:6">
      <c r="A1775" s="32">
        <v>41184</v>
      </c>
      <c r="B1775" s="42">
        <v>1305.19</v>
      </c>
      <c r="C1775" s="42">
        <v>1309.04</v>
      </c>
      <c r="D1775" s="42">
        <v>1301.06</v>
      </c>
      <c r="E1775" s="42">
        <v>1305.6600000000001</v>
      </c>
      <c r="F1775" s="2">
        <v>6280000000</v>
      </c>
    </row>
    <row r="1776" spans="1:6">
      <c r="A1776" s="32">
        <v>41183</v>
      </c>
      <c r="B1776" s="42">
        <v>1295.31</v>
      </c>
      <c r="C1776" s="42">
        <v>1303.73</v>
      </c>
      <c r="D1776" s="42">
        <v>1294.97</v>
      </c>
      <c r="E1776" s="42">
        <v>1299.71</v>
      </c>
      <c r="F1776" s="2">
        <v>4920000000</v>
      </c>
    </row>
    <row r="1777" spans="1:6">
      <c r="A1777" s="32">
        <v>41180</v>
      </c>
      <c r="B1777" s="42">
        <v>1295.69</v>
      </c>
      <c r="C1777" s="42">
        <v>1300.17</v>
      </c>
      <c r="D1777" s="42">
        <v>1293.6199999999999</v>
      </c>
      <c r="E1777" s="42">
        <v>1298.79</v>
      </c>
      <c r="F1777" s="2">
        <v>6510000000</v>
      </c>
    </row>
    <row r="1778" spans="1:6">
      <c r="A1778" s="32">
        <v>41179</v>
      </c>
      <c r="B1778" s="42">
        <v>1277.4000000000001</v>
      </c>
      <c r="C1778" s="42">
        <v>1290.5</v>
      </c>
      <c r="D1778" s="42">
        <v>1276.9100000000001</v>
      </c>
      <c r="E1778" s="42">
        <v>1286.1099999999999</v>
      </c>
      <c r="F1778" s="2">
        <v>5750000000</v>
      </c>
    </row>
    <row r="1779" spans="1:6">
      <c r="A1779" s="32">
        <v>41178</v>
      </c>
      <c r="B1779" s="42">
        <v>1282.8900000000001</v>
      </c>
      <c r="C1779" s="42">
        <v>1285.19</v>
      </c>
      <c r="D1779" s="42">
        <v>1270.33</v>
      </c>
      <c r="E1779" s="42">
        <v>1274.5</v>
      </c>
      <c r="F1779" s="2">
        <v>7330000000</v>
      </c>
    </row>
    <row r="1780" spans="1:6">
      <c r="A1780" s="32">
        <v>41177</v>
      </c>
      <c r="B1780" s="42">
        <v>1287.52</v>
      </c>
      <c r="C1780" s="42">
        <v>1290.7</v>
      </c>
      <c r="D1780" s="42">
        <v>1284.46</v>
      </c>
      <c r="E1780" s="42">
        <v>1287.4100000000001</v>
      </c>
      <c r="F1780" s="2">
        <v>7390000000</v>
      </c>
    </row>
    <row r="1781" spans="1:6">
      <c r="A1781" s="32">
        <v>41176</v>
      </c>
      <c r="B1781" s="42">
        <v>1283.46</v>
      </c>
      <c r="C1781" s="42">
        <v>1288.57</v>
      </c>
      <c r="D1781" s="42">
        <v>1280.49</v>
      </c>
      <c r="E1781" s="42">
        <v>1284.3</v>
      </c>
      <c r="F1781" s="2">
        <v>7800000000</v>
      </c>
    </row>
    <row r="1782" spans="1:6">
      <c r="A1782" s="32">
        <v>41173</v>
      </c>
      <c r="B1782" s="42">
        <v>1285.56</v>
      </c>
      <c r="C1782" s="42">
        <v>1288.3699999999999</v>
      </c>
      <c r="D1782" s="42">
        <v>1282.33</v>
      </c>
      <c r="E1782" s="42">
        <v>1286.26</v>
      </c>
      <c r="F1782" s="2">
        <v>6650000000</v>
      </c>
    </row>
    <row r="1783" spans="1:6">
      <c r="A1783" s="32">
        <v>41172</v>
      </c>
      <c r="B1783" s="42">
        <v>1282.1600000000001</v>
      </c>
      <c r="C1783" s="42">
        <v>1286.68</v>
      </c>
      <c r="D1783" s="42">
        <v>1276.1199999999999</v>
      </c>
      <c r="E1783" s="42">
        <v>1282.68</v>
      </c>
      <c r="F1783" s="2">
        <v>7490000000</v>
      </c>
    </row>
    <row r="1784" spans="1:6">
      <c r="A1784" s="32">
        <v>41171</v>
      </c>
      <c r="B1784" s="42">
        <v>1274.1400000000001</v>
      </c>
      <c r="C1784" s="42">
        <v>1285.55</v>
      </c>
      <c r="D1784" s="42">
        <v>1273.5999999999999</v>
      </c>
      <c r="E1784" s="42">
        <v>1285.46</v>
      </c>
      <c r="F1784" s="2">
        <v>6910000000</v>
      </c>
    </row>
    <row r="1785" spans="1:6">
      <c r="A1785" s="32">
        <v>41170</v>
      </c>
      <c r="B1785" s="42">
        <v>1274.54</v>
      </c>
      <c r="C1785" s="42">
        <v>1279.0899999999999</v>
      </c>
      <c r="D1785" s="42">
        <v>1269.1600000000001</v>
      </c>
      <c r="E1785" s="42">
        <v>1272.8599999999999</v>
      </c>
      <c r="F1785" s="2">
        <v>5550000000</v>
      </c>
    </row>
    <row r="1786" spans="1:6">
      <c r="A1786" s="32">
        <v>41169</v>
      </c>
      <c r="B1786" s="42">
        <v>1277.83</v>
      </c>
      <c r="C1786" s="42">
        <v>1282.22</v>
      </c>
      <c r="D1786" s="42">
        <v>1274.18</v>
      </c>
      <c r="E1786" s="42">
        <v>1278.54</v>
      </c>
      <c r="F1786" s="2">
        <v>8600000000</v>
      </c>
    </row>
    <row r="1787" spans="1:6">
      <c r="A1787" s="32">
        <v>41166</v>
      </c>
      <c r="B1787" s="42">
        <v>1274.04</v>
      </c>
      <c r="C1787" s="42">
        <v>1279.67</v>
      </c>
      <c r="D1787" s="42">
        <v>1270.71</v>
      </c>
      <c r="E1787" s="42">
        <v>1276.1199999999999</v>
      </c>
      <c r="F1787" s="2">
        <v>7220000000</v>
      </c>
    </row>
    <row r="1788" spans="1:6">
      <c r="A1788" s="32">
        <v>41165</v>
      </c>
      <c r="B1788" s="42">
        <v>1261.9000000000001</v>
      </c>
      <c r="C1788" s="42">
        <v>1262.06</v>
      </c>
      <c r="D1788" s="42">
        <v>1253.81</v>
      </c>
      <c r="E1788" s="42">
        <v>1257.69</v>
      </c>
      <c r="F1788" s="2">
        <v>5240000000</v>
      </c>
    </row>
    <row r="1789" spans="1:6">
      <c r="A1789" s="32">
        <v>41164</v>
      </c>
      <c r="B1789" s="42">
        <v>1255.2</v>
      </c>
      <c r="C1789" s="42">
        <v>1259.96</v>
      </c>
      <c r="D1789" s="42">
        <v>1252.6199999999999</v>
      </c>
      <c r="E1789" s="42">
        <v>1259.96</v>
      </c>
      <c r="F1789" s="2">
        <v>6270000000</v>
      </c>
    </row>
    <row r="1790" spans="1:6">
      <c r="A1790" s="32">
        <v>41163</v>
      </c>
      <c r="B1790" s="42">
        <v>1250.69</v>
      </c>
      <c r="C1790" s="42">
        <v>1253.05</v>
      </c>
      <c r="D1790" s="42">
        <v>1244.6099999999999</v>
      </c>
      <c r="E1790" s="42">
        <v>1248.32</v>
      </c>
      <c r="F1790" s="2">
        <v>6830000000</v>
      </c>
    </row>
    <row r="1791" spans="1:6">
      <c r="A1791" s="32">
        <v>41162</v>
      </c>
      <c r="B1791" s="42">
        <v>1249.73</v>
      </c>
      <c r="C1791" s="42">
        <v>1254.8699999999999</v>
      </c>
      <c r="D1791" s="42">
        <v>1249.3499999999999</v>
      </c>
      <c r="E1791" s="42">
        <v>1250.93</v>
      </c>
      <c r="F1791" s="2">
        <v>7220000000</v>
      </c>
    </row>
    <row r="1792" spans="1:6">
      <c r="A1792" s="32">
        <v>41159</v>
      </c>
      <c r="B1792" s="42">
        <v>1254.29</v>
      </c>
      <c r="C1792" s="42">
        <v>1255.8900000000001</v>
      </c>
      <c r="D1792" s="42">
        <v>1246.0999999999999</v>
      </c>
      <c r="E1792" s="42">
        <v>1246.0999999999999</v>
      </c>
      <c r="F1792" s="2">
        <v>8760000000</v>
      </c>
    </row>
    <row r="1793" spans="1:6">
      <c r="A1793" s="32">
        <v>41158</v>
      </c>
      <c r="B1793" s="42">
        <v>1237.79</v>
      </c>
      <c r="C1793" s="42">
        <v>1246.98</v>
      </c>
      <c r="D1793" s="42">
        <v>1237.23</v>
      </c>
      <c r="E1793" s="42">
        <v>1243.92</v>
      </c>
      <c r="F1793" s="2">
        <v>5120000000</v>
      </c>
    </row>
    <row r="1794" spans="1:6">
      <c r="A1794" s="32">
        <v>41157</v>
      </c>
      <c r="B1794" s="42">
        <v>1231.28</v>
      </c>
      <c r="C1794" s="42">
        <v>1238.8499999999999</v>
      </c>
      <c r="D1794" s="42">
        <v>1230.4100000000001</v>
      </c>
      <c r="E1794" s="42">
        <v>1233.8399999999999</v>
      </c>
      <c r="F1794" s="2">
        <v>3960000000</v>
      </c>
    </row>
    <row r="1795" spans="1:6">
      <c r="A1795" s="32">
        <v>41156</v>
      </c>
      <c r="B1795" s="42">
        <v>1240.73</v>
      </c>
      <c r="C1795" s="42">
        <v>1241.73</v>
      </c>
      <c r="D1795" s="42">
        <v>1232.33</v>
      </c>
      <c r="E1795" s="42">
        <v>1236.31</v>
      </c>
      <c r="F1795" s="2">
        <v>3970000000</v>
      </c>
    </row>
    <row r="1796" spans="1:6">
      <c r="A1796" s="32">
        <v>41155</v>
      </c>
      <c r="B1796" s="42">
        <v>1231.2</v>
      </c>
      <c r="C1796" s="42">
        <v>1239.19</v>
      </c>
      <c r="D1796" s="42">
        <v>1229.1500000000001</v>
      </c>
      <c r="E1796" s="42">
        <v>1235.48</v>
      </c>
      <c r="F1796" s="2">
        <v>3510000000</v>
      </c>
    </row>
    <row r="1797" spans="1:6">
      <c r="A1797" s="32">
        <v>41152</v>
      </c>
      <c r="B1797" s="42">
        <v>1213.17</v>
      </c>
      <c r="C1797" s="42">
        <v>1227.48</v>
      </c>
      <c r="D1797" s="42">
        <v>1211.3800000000001</v>
      </c>
      <c r="E1797" s="42">
        <v>1227.48</v>
      </c>
      <c r="F1797" s="2">
        <v>3570000000</v>
      </c>
    </row>
    <row r="1798" spans="1:6">
      <c r="A1798" s="32">
        <v>41151</v>
      </c>
      <c r="B1798" s="42">
        <v>1216.22</v>
      </c>
      <c r="C1798" s="42">
        <v>1217.1500000000001</v>
      </c>
      <c r="D1798" s="42">
        <v>1207.53</v>
      </c>
      <c r="E1798" s="42">
        <v>1214.55</v>
      </c>
      <c r="F1798" s="2">
        <v>3340000000</v>
      </c>
    </row>
    <row r="1799" spans="1:6">
      <c r="A1799" s="32">
        <v>41150</v>
      </c>
      <c r="B1799" s="42">
        <v>1233.76</v>
      </c>
      <c r="C1799" s="42">
        <v>1237.82</v>
      </c>
      <c r="D1799" s="42">
        <v>1220.1600000000001</v>
      </c>
      <c r="E1799" s="42">
        <v>1220.1600000000001</v>
      </c>
      <c r="F1799" s="2">
        <v>3640000000</v>
      </c>
    </row>
    <row r="1800" spans="1:6">
      <c r="A1800" s="32">
        <v>41149</v>
      </c>
      <c r="B1800" s="42">
        <v>1234.6500000000001</v>
      </c>
      <c r="C1800" s="42">
        <v>1239.4000000000001</v>
      </c>
      <c r="D1800" s="42">
        <v>1232.8599999999999</v>
      </c>
      <c r="E1800" s="42">
        <v>1233.1600000000001</v>
      </c>
      <c r="F1800" s="2">
        <v>3800000000</v>
      </c>
    </row>
    <row r="1801" spans="1:6">
      <c r="A1801" s="32">
        <v>41148</v>
      </c>
      <c r="B1801" s="42">
        <v>1240.47</v>
      </c>
      <c r="C1801" s="42">
        <v>1242.44</v>
      </c>
      <c r="D1801" s="42">
        <v>1233.73</v>
      </c>
      <c r="E1801" s="42">
        <v>1233.73</v>
      </c>
      <c r="F1801" s="2">
        <v>3190000000</v>
      </c>
    </row>
    <row r="1802" spans="1:6">
      <c r="A1802" s="32">
        <v>41145</v>
      </c>
      <c r="B1802" s="42">
        <v>1231.51</v>
      </c>
      <c r="C1802" s="42">
        <v>1238.02</v>
      </c>
      <c r="D1802" s="42">
        <v>1230.93</v>
      </c>
      <c r="E1802" s="42">
        <v>1237.19</v>
      </c>
      <c r="F1802" s="2">
        <v>3260000000</v>
      </c>
    </row>
    <row r="1803" spans="1:6">
      <c r="A1803" s="32">
        <v>41144</v>
      </c>
      <c r="B1803" s="42">
        <v>1236.43</v>
      </c>
      <c r="C1803" s="42">
        <v>1243.26</v>
      </c>
      <c r="D1803" s="42">
        <v>1235.27</v>
      </c>
      <c r="E1803" s="42">
        <v>1237.6400000000001</v>
      </c>
      <c r="F1803" s="2">
        <v>4230000000</v>
      </c>
    </row>
    <row r="1804" spans="1:6">
      <c r="A1804" s="32">
        <v>41143</v>
      </c>
      <c r="B1804" s="42">
        <v>1230.3499999999999</v>
      </c>
      <c r="C1804" s="42">
        <v>1234.8900000000001</v>
      </c>
      <c r="D1804" s="42">
        <v>1228.9000000000001</v>
      </c>
      <c r="E1804" s="42">
        <v>1234.1400000000001</v>
      </c>
      <c r="F1804" s="2">
        <v>4840000000</v>
      </c>
    </row>
    <row r="1805" spans="1:6">
      <c r="A1805" s="32">
        <v>41142</v>
      </c>
      <c r="B1805" s="42">
        <v>1227.53</v>
      </c>
      <c r="C1805" s="42">
        <v>1235.3900000000001</v>
      </c>
      <c r="D1805" s="42">
        <v>1227</v>
      </c>
      <c r="E1805" s="42">
        <v>1232.29</v>
      </c>
      <c r="F1805" s="2">
        <v>4250000000</v>
      </c>
    </row>
    <row r="1806" spans="1:6">
      <c r="A1806" s="32">
        <v>41141</v>
      </c>
      <c r="B1806" s="42">
        <v>1222.0999999999999</v>
      </c>
      <c r="C1806" s="42">
        <v>1229.8</v>
      </c>
      <c r="D1806" s="42">
        <v>1218.1500000000001</v>
      </c>
      <c r="E1806" s="42">
        <v>1229</v>
      </c>
      <c r="F1806" s="2">
        <v>3260000000</v>
      </c>
    </row>
    <row r="1807" spans="1:6">
      <c r="A1807" s="32">
        <v>41138</v>
      </c>
      <c r="B1807" s="42">
        <v>1230.33</v>
      </c>
      <c r="C1807" s="42">
        <v>1230.5</v>
      </c>
      <c r="D1807" s="42">
        <v>1220.1199999999999</v>
      </c>
      <c r="E1807" s="42">
        <v>1223.9100000000001</v>
      </c>
      <c r="F1807" s="2">
        <v>3520000000</v>
      </c>
    </row>
    <row r="1808" spans="1:6">
      <c r="A1808" s="32">
        <v>41137</v>
      </c>
      <c r="B1808" s="42">
        <v>1228.3599999999999</v>
      </c>
      <c r="C1808" s="42">
        <v>1230.6099999999999</v>
      </c>
      <c r="D1808" s="42">
        <v>1224.4000000000001</v>
      </c>
      <c r="E1808" s="42">
        <v>1224.4000000000001</v>
      </c>
      <c r="F1808" s="2">
        <v>5430000000</v>
      </c>
    </row>
    <row r="1809" spans="1:6">
      <c r="A1809" s="32">
        <v>41136</v>
      </c>
      <c r="B1809" s="42">
        <v>1222.8800000000001</v>
      </c>
      <c r="C1809" s="42">
        <v>1227.05</v>
      </c>
      <c r="D1809" s="42">
        <v>1218.3399999999999</v>
      </c>
      <c r="E1809" s="42">
        <v>1226.83</v>
      </c>
      <c r="F1809" s="2">
        <v>6760000000</v>
      </c>
    </row>
    <row r="1810" spans="1:6">
      <c r="A1810" s="32">
        <v>41135</v>
      </c>
      <c r="B1810" s="42">
        <v>1223.93</v>
      </c>
      <c r="C1810" s="42">
        <v>1226.82</v>
      </c>
      <c r="D1810" s="42">
        <v>1217.3900000000001</v>
      </c>
      <c r="E1810" s="42">
        <v>1226.82</v>
      </c>
      <c r="F1810" s="2">
        <v>4610000000</v>
      </c>
    </row>
    <row r="1811" spans="1:6">
      <c r="A1811" s="32">
        <v>41131</v>
      </c>
      <c r="B1811" s="42">
        <v>1216.47</v>
      </c>
      <c r="C1811" s="42">
        <v>1219.3699999999999</v>
      </c>
      <c r="D1811" s="42">
        <v>1209.75</v>
      </c>
      <c r="E1811" s="42">
        <v>1219.3699999999999</v>
      </c>
      <c r="F1811" s="2">
        <v>3910000000</v>
      </c>
    </row>
    <row r="1812" spans="1:6">
      <c r="A1812" s="32">
        <v>41130</v>
      </c>
      <c r="B1812" s="42">
        <v>1220.27</v>
      </c>
      <c r="C1812" s="42">
        <v>1223.93</v>
      </c>
      <c r="D1812" s="42">
        <v>1211.71</v>
      </c>
      <c r="E1812" s="42">
        <v>1217.7</v>
      </c>
      <c r="F1812" s="2">
        <v>5750000000</v>
      </c>
    </row>
    <row r="1813" spans="1:6">
      <c r="A1813" s="32">
        <v>41129</v>
      </c>
      <c r="B1813" s="42">
        <v>1213.54</v>
      </c>
      <c r="C1813" s="42">
        <v>1217.8399999999999</v>
      </c>
      <c r="D1813" s="42">
        <v>1212.79</v>
      </c>
      <c r="E1813" s="42">
        <v>1214.1300000000001</v>
      </c>
      <c r="F1813" s="2">
        <v>5440000000</v>
      </c>
    </row>
    <row r="1814" spans="1:6">
      <c r="A1814" s="32">
        <v>41128</v>
      </c>
      <c r="B1814" s="42">
        <v>1211.71</v>
      </c>
      <c r="C1814" s="42">
        <v>1212.82</v>
      </c>
      <c r="D1814" s="42">
        <v>1206.6400000000001</v>
      </c>
      <c r="E1814" s="42">
        <v>1208.19</v>
      </c>
      <c r="F1814" s="2">
        <v>3620000000</v>
      </c>
    </row>
    <row r="1815" spans="1:6">
      <c r="A1815" s="32">
        <v>41127</v>
      </c>
      <c r="B1815" s="42">
        <v>1206.44</v>
      </c>
      <c r="C1815" s="42">
        <v>1209.72</v>
      </c>
      <c r="D1815" s="42">
        <v>1201.77</v>
      </c>
      <c r="E1815" s="42">
        <v>1208.01</v>
      </c>
      <c r="F1815" s="2">
        <v>4080000000</v>
      </c>
    </row>
    <row r="1816" spans="1:6">
      <c r="A1816" s="32">
        <v>41124</v>
      </c>
      <c r="B1816" s="42">
        <v>1194.6600000000001</v>
      </c>
      <c r="C1816" s="42">
        <v>1199.51</v>
      </c>
      <c r="D1816" s="42">
        <v>1186.3800000000001</v>
      </c>
      <c r="E1816" s="42">
        <v>1197.53</v>
      </c>
      <c r="F1816" s="2">
        <v>4670000000</v>
      </c>
    </row>
    <row r="1817" spans="1:6">
      <c r="A1817" s="32">
        <v>41122</v>
      </c>
      <c r="B1817" s="42">
        <v>1197.26</v>
      </c>
      <c r="C1817" s="42">
        <v>1202</v>
      </c>
      <c r="D1817" s="42">
        <v>1194.26</v>
      </c>
      <c r="E1817" s="42">
        <v>1201.1300000000001</v>
      </c>
      <c r="F1817" s="2">
        <v>3970000000</v>
      </c>
    </row>
    <row r="1818" spans="1:6">
      <c r="A1818" s="32">
        <v>41121</v>
      </c>
      <c r="B1818" s="42">
        <v>1198.8</v>
      </c>
      <c r="C1818" s="42">
        <v>1199.74</v>
      </c>
      <c r="D1818" s="42">
        <v>1189.3800000000001</v>
      </c>
      <c r="E1818" s="42">
        <v>1199.3</v>
      </c>
      <c r="F1818" s="2">
        <v>3310000000</v>
      </c>
    </row>
    <row r="1819" spans="1:6">
      <c r="A1819" s="32">
        <v>41120</v>
      </c>
      <c r="B1819" s="42">
        <v>1183.3399999999999</v>
      </c>
      <c r="C1819" s="42">
        <v>1193.32</v>
      </c>
      <c r="D1819" s="42">
        <v>1183.3399999999999</v>
      </c>
      <c r="E1819" s="42">
        <v>1193.32</v>
      </c>
      <c r="F1819" s="2">
        <v>2770000000</v>
      </c>
    </row>
    <row r="1820" spans="1:6">
      <c r="A1820" s="32">
        <v>41117</v>
      </c>
      <c r="B1820" s="42">
        <v>1188.94</v>
      </c>
      <c r="C1820" s="42">
        <v>1189.5899999999999</v>
      </c>
      <c r="D1820" s="42">
        <v>1173.8900000000001</v>
      </c>
      <c r="E1820" s="42">
        <v>1178.01</v>
      </c>
      <c r="F1820" s="2">
        <v>4030000000</v>
      </c>
    </row>
    <row r="1821" spans="1:6">
      <c r="A1821" s="32">
        <v>41116</v>
      </c>
      <c r="B1821" s="42">
        <v>1193.6400000000001</v>
      </c>
      <c r="C1821" s="42">
        <v>1196.3699999999999</v>
      </c>
      <c r="D1821" s="42">
        <v>1172.92</v>
      </c>
      <c r="E1821" s="42">
        <v>1172.92</v>
      </c>
      <c r="F1821" s="2">
        <v>4910000000</v>
      </c>
    </row>
    <row r="1822" spans="1:6">
      <c r="A1822" s="32">
        <v>41115</v>
      </c>
      <c r="B1822" s="42">
        <v>1186.6099999999999</v>
      </c>
      <c r="C1822" s="42">
        <v>1189.45</v>
      </c>
      <c r="D1822" s="42">
        <v>1179.25</v>
      </c>
      <c r="E1822" s="42">
        <v>1188.6199999999999</v>
      </c>
      <c r="F1822" s="2">
        <v>5100000000</v>
      </c>
    </row>
    <row r="1823" spans="1:6">
      <c r="A1823" s="32">
        <v>41114</v>
      </c>
      <c r="B1823" s="42">
        <v>1184.1600000000001</v>
      </c>
      <c r="C1823" s="42">
        <v>1193.0899999999999</v>
      </c>
      <c r="D1823" s="42">
        <v>1183.23</v>
      </c>
      <c r="E1823" s="42">
        <v>1187.6400000000001</v>
      </c>
      <c r="F1823" s="2">
        <v>4080000000</v>
      </c>
    </row>
    <row r="1824" spans="1:6">
      <c r="A1824" s="32">
        <v>41113</v>
      </c>
      <c r="B1824" s="42">
        <v>1188.98</v>
      </c>
      <c r="C1824" s="42">
        <v>1194.02</v>
      </c>
      <c r="D1824" s="42">
        <v>1183.6300000000001</v>
      </c>
      <c r="E1824" s="42">
        <v>1185.1099999999999</v>
      </c>
      <c r="F1824" s="2">
        <v>3820000000</v>
      </c>
    </row>
    <row r="1825" spans="1:6">
      <c r="A1825" s="32">
        <v>41110</v>
      </c>
      <c r="B1825" s="42">
        <v>1216.42</v>
      </c>
      <c r="C1825" s="42">
        <v>1218.99</v>
      </c>
      <c r="D1825" s="42">
        <v>1204.99</v>
      </c>
      <c r="E1825" s="42">
        <v>1208.55</v>
      </c>
      <c r="F1825" s="2">
        <v>3810000000</v>
      </c>
    </row>
    <row r="1826" spans="1:6">
      <c r="A1826" s="32">
        <v>41109</v>
      </c>
      <c r="B1826" s="42">
        <v>1228.44</v>
      </c>
      <c r="C1826" s="42">
        <v>1228.8</v>
      </c>
      <c r="D1826" s="42">
        <v>1210.67</v>
      </c>
      <c r="E1826" s="42">
        <v>1212.96</v>
      </c>
      <c r="F1826" s="2">
        <v>5300000000</v>
      </c>
    </row>
    <row r="1827" spans="1:6">
      <c r="A1827" s="32">
        <v>41108</v>
      </c>
      <c r="B1827" s="42">
        <v>1222.1600000000001</v>
      </c>
      <c r="C1827" s="42">
        <v>1224.81</v>
      </c>
      <c r="D1827" s="42">
        <v>1215.6400000000001</v>
      </c>
      <c r="E1827" s="42">
        <v>1220.1400000000001</v>
      </c>
      <c r="F1827" s="2">
        <v>4440000000</v>
      </c>
    </row>
    <row r="1828" spans="1:6">
      <c r="A1828" s="32">
        <v>41107</v>
      </c>
      <c r="B1828" s="42">
        <v>1222.3</v>
      </c>
      <c r="C1828" s="42">
        <v>1224.94</v>
      </c>
      <c r="D1828" s="42">
        <v>1219.3699999999999</v>
      </c>
      <c r="E1828" s="42">
        <v>1224.21</v>
      </c>
      <c r="F1828" s="2">
        <v>4170000000</v>
      </c>
    </row>
    <row r="1829" spans="1:6">
      <c r="A1829" s="32">
        <v>41106</v>
      </c>
      <c r="B1829" s="42">
        <v>1212.96</v>
      </c>
      <c r="C1829" s="42">
        <v>1219.46</v>
      </c>
      <c r="D1829" s="42">
        <v>1209.57</v>
      </c>
      <c r="E1829" s="42">
        <v>1214.25</v>
      </c>
      <c r="F1829" s="2">
        <v>4580000000</v>
      </c>
    </row>
    <row r="1830" spans="1:6">
      <c r="A1830" s="32">
        <v>41103</v>
      </c>
      <c r="B1830" s="42">
        <v>1194.48</v>
      </c>
      <c r="C1830" s="42">
        <v>1212.6600000000001</v>
      </c>
      <c r="D1830" s="42">
        <v>1194.48</v>
      </c>
      <c r="E1830" s="42">
        <v>1210.29</v>
      </c>
      <c r="F1830" s="2">
        <v>3270000000</v>
      </c>
    </row>
    <row r="1831" spans="1:6">
      <c r="A1831" s="32">
        <v>41102</v>
      </c>
      <c r="B1831" s="42">
        <v>1203.24</v>
      </c>
      <c r="C1831" s="42">
        <v>1205.8499999999999</v>
      </c>
      <c r="D1831" s="42">
        <v>1193.1300000000001</v>
      </c>
      <c r="E1831" s="42">
        <v>1193.1300000000001</v>
      </c>
      <c r="F1831" s="2">
        <v>3430000000</v>
      </c>
    </row>
    <row r="1832" spans="1:6">
      <c r="A1832" s="32">
        <v>41101</v>
      </c>
      <c r="B1832" s="42">
        <v>1200.79</v>
      </c>
      <c r="C1832" s="42">
        <v>1210.44</v>
      </c>
      <c r="D1832" s="42">
        <v>1199.31</v>
      </c>
      <c r="E1832" s="42">
        <v>1208.67</v>
      </c>
      <c r="F1832" s="2">
        <v>4490000000</v>
      </c>
    </row>
    <row r="1833" spans="1:6">
      <c r="A1833" s="32">
        <v>41100</v>
      </c>
      <c r="B1833" s="42">
        <v>1188.8699999999999</v>
      </c>
      <c r="C1833" s="42">
        <v>1204.42</v>
      </c>
      <c r="D1833" s="42">
        <v>1187.49</v>
      </c>
      <c r="E1833" s="42">
        <v>1204.42</v>
      </c>
      <c r="F1833" s="2">
        <v>3550000000</v>
      </c>
    </row>
    <row r="1834" spans="1:6">
      <c r="A1834" s="32">
        <v>41099</v>
      </c>
      <c r="B1834" s="42">
        <v>1191.3900000000001</v>
      </c>
      <c r="C1834" s="42">
        <v>1192.58</v>
      </c>
      <c r="D1834" s="42">
        <v>1186.32</v>
      </c>
      <c r="E1834" s="42">
        <v>1186.95</v>
      </c>
      <c r="F1834" s="2">
        <v>2710000000</v>
      </c>
    </row>
    <row r="1835" spans="1:6">
      <c r="A1835" s="32">
        <v>41096</v>
      </c>
      <c r="B1835" s="42">
        <v>1201.92</v>
      </c>
      <c r="C1835" s="42">
        <v>1205.04</v>
      </c>
      <c r="D1835" s="42">
        <v>1191.07</v>
      </c>
      <c r="E1835" s="42">
        <v>1200.08</v>
      </c>
      <c r="F1835" s="2">
        <v>3550000000</v>
      </c>
    </row>
    <row r="1836" spans="1:6">
      <c r="A1836" s="32">
        <v>41095</v>
      </c>
      <c r="B1836" s="42">
        <v>1193.42</v>
      </c>
      <c r="C1836" s="42">
        <v>1201.8</v>
      </c>
      <c r="D1836" s="42">
        <v>1190.02</v>
      </c>
      <c r="E1836" s="42">
        <v>1201.8</v>
      </c>
      <c r="F1836" s="2">
        <v>3560000000</v>
      </c>
    </row>
    <row r="1837" spans="1:6">
      <c r="A1837" s="32">
        <v>41094</v>
      </c>
      <c r="B1837" s="42">
        <v>1203.0999999999999</v>
      </c>
      <c r="C1837" s="42">
        <v>1203.7</v>
      </c>
      <c r="D1837" s="42">
        <v>1190.57</v>
      </c>
      <c r="E1837" s="42">
        <v>1194.1500000000001</v>
      </c>
      <c r="F1837" s="2">
        <v>3630000000</v>
      </c>
    </row>
    <row r="1838" spans="1:6">
      <c r="A1838" s="32">
        <v>41093</v>
      </c>
      <c r="B1838" s="42">
        <v>1193.94</v>
      </c>
      <c r="C1838" s="42">
        <v>1199.17</v>
      </c>
      <c r="D1838" s="42">
        <v>1191.81</v>
      </c>
      <c r="E1838" s="42">
        <v>1198.07</v>
      </c>
      <c r="F1838" s="2">
        <v>3990000000</v>
      </c>
    </row>
    <row r="1839" spans="1:6">
      <c r="A1839" s="32">
        <v>41092</v>
      </c>
      <c r="B1839" s="42">
        <v>1185.1600000000001</v>
      </c>
      <c r="C1839" s="42">
        <v>1190.03</v>
      </c>
      <c r="D1839" s="42">
        <v>1181.48</v>
      </c>
      <c r="E1839" s="42">
        <v>1188.74</v>
      </c>
      <c r="F1839" s="2">
        <v>3630000000</v>
      </c>
    </row>
    <row r="1840" spans="1:6">
      <c r="A1840" s="32">
        <v>41089</v>
      </c>
      <c r="B1840" s="42">
        <v>1176.07</v>
      </c>
      <c r="C1840" s="42">
        <v>1185.6300000000001</v>
      </c>
      <c r="D1840" s="42">
        <v>1172.1099999999999</v>
      </c>
      <c r="E1840" s="42">
        <v>1172.1099999999999</v>
      </c>
      <c r="F1840" s="2">
        <v>3800000000</v>
      </c>
    </row>
    <row r="1841" spans="1:6">
      <c r="A1841" s="32">
        <v>41088</v>
      </c>
      <c r="B1841" s="42">
        <v>1170.74</v>
      </c>
      <c r="C1841" s="42">
        <v>1178.06</v>
      </c>
      <c r="D1841" s="42">
        <v>1160.75</v>
      </c>
      <c r="E1841" s="42">
        <v>1171.32</v>
      </c>
      <c r="F1841" s="2">
        <v>3620000000</v>
      </c>
    </row>
    <row r="1842" spans="1:6">
      <c r="A1842" s="32">
        <v>41087</v>
      </c>
      <c r="B1842" s="42">
        <v>1156.78</v>
      </c>
      <c r="C1842" s="42">
        <v>1167.1199999999999</v>
      </c>
      <c r="D1842" s="42">
        <v>1156.53</v>
      </c>
      <c r="E1842" s="42">
        <v>1165.98</v>
      </c>
      <c r="F1842" s="2">
        <v>4040000000</v>
      </c>
    </row>
    <row r="1843" spans="1:6">
      <c r="A1843" s="32">
        <v>41086</v>
      </c>
      <c r="B1843" s="42">
        <v>1146.8900000000001</v>
      </c>
      <c r="C1843" s="42">
        <v>1154.77</v>
      </c>
      <c r="D1843" s="42">
        <v>1145.79</v>
      </c>
      <c r="E1843" s="42">
        <v>1151.0899999999999</v>
      </c>
      <c r="F1843" s="2">
        <v>3120000000</v>
      </c>
    </row>
    <row r="1844" spans="1:6">
      <c r="A1844" s="32">
        <v>41085</v>
      </c>
      <c r="B1844" s="42">
        <v>1151.82</v>
      </c>
      <c r="C1844" s="42">
        <v>1158.1199999999999</v>
      </c>
      <c r="D1844" s="42">
        <v>1147.43</v>
      </c>
      <c r="E1844" s="42">
        <v>1147.43</v>
      </c>
      <c r="F1844" s="2">
        <v>3130000000</v>
      </c>
    </row>
    <row r="1845" spans="1:6">
      <c r="A1845" s="32">
        <v>41082</v>
      </c>
      <c r="B1845" s="42">
        <v>1149.32</v>
      </c>
      <c r="C1845" s="42">
        <v>1152.9100000000001</v>
      </c>
      <c r="D1845" s="42">
        <v>1144.44</v>
      </c>
      <c r="E1845" s="42">
        <v>1152.9100000000001</v>
      </c>
      <c r="F1845" s="2">
        <v>3670000000</v>
      </c>
    </row>
    <row r="1846" spans="1:6">
      <c r="A1846" s="32">
        <v>41081</v>
      </c>
      <c r="B1846" s="42">
        <v>1165.46</v>
      </c>
      <c r="C1846" s="42">
        <v>1167</v>
      </c>
      <c r="D1846" s="42">
        <v>1156.47</v>
      </c>
      <c r="E1846" s="42">
        <v>1159.05</v>
      </c>
      <c r="F1846" s="2">
        <v>3800000000</v>
      </c>
    </row>
    <row r="1847" spans="1:6">
      <c r="A1847" s="32">
        <v>41080</v>
      </c>
      <c r="B1847" s="42">
        <v>1171.28</v>
      </c>
      <c r="C1847" s="42">
        <v>1175.3399999999999</v>
      </c>
      <c r="D1847" s="42">
        <v>1168.1500000000001</v>
      </c>
      <c r="E1847" s="42">
        <v>1173.24</v>
      </c>
      <c r="F1847" s="2">
        <v>4510000000</v>
      </c>
    </row>
    <row r="1848" spans="1:6">
      <c r="A1848" s="32">
        <v>41079</v>
      </c>
      <c r="B1848" s="42">
        <v>1166.3699999999999</v>
      </c>
      <c r="C1848" s="42">
        <v>1173.0899999999999</v>
      </c>
      <c r="D1848" s="42">
        <v>1162.3</v>
      </c>
      <c r="E1848" s="42">
        <v>1173.0899999999999</v>
      </c>
      <c r="F1848" s="2">
        <v>3960000000</v>
      </c>
    </row>
    <row r="1849" spans="1:6">
      <c r="A1849" s="32">
        <v>41078</v>
      </c>
      <c r="B1849" s="42">
        <v>1178.74</v>
      </c>
      <c r="C1849" s="42">
        <v>1181.69</v>
      </c>
      <c r="D1849" s="42">
        <v>1159.95</v>
      </c>
      <c r="E1849" s="42">
        <v>1163.4100000000001</v>
      </c>
      <c r="F1849" s="2">
        <v>4150000000</v>
      </c>
    </row>
    <row r="1850" spans="1:6">
      <c r="A1850" s="32">
        <v>41075</v>
      </c>
      <c r="B1850" s="42">
        <v>1161.31</v>
      </c>
      <c r="C1850" s="42">
        <v>1170.48</v>
      </c>
      <c r="D1850" s="42">
        <v>1160.4000000000001</v>
      </c>
      <c r="E1850" s="42">
        <v>1165.73</v>
      </c>
      <c r="F1850" s="2">
        <v>6090000000</v>
      </c>
    </row>
    <row r="1851" spans="1:6">
      <c r="A1851" s="32">
        <v>41074</v>
      </c>
      <c r="B1851" s="42">
        <v>1153.78</v>
      </c>
      <c r="C1851" s="42">
        <v>1163.78</v>
      </c>
      <c r="D1851" s="42">
        <v>1152.42</v>
      </c>
      <c r="E1851" s="42">
        <v>1153.01</v>
      </c>
      <c r="F1851" s="2">
        <v>5010000000</v>
      </c>
    </row>
    <row r="1852" spans="1:6">
      <c r="A1852" s="32">
        <v>41073</v>
      </c>
      <c r="B1852" s="42">
        <v>1164.31</v>
      </c>
      <c r="C1852" s="42">
        <v>1166.96</v>
      </c>
      <c r="D1852" s="42">
        <v>1152.28</v>
      </c>
      <c r="E1852" s="42">
        <v>1158.22</v>
      </c>
      <c r="F1852" s="2">
        <v>5790000000</v>
      </c>
    </row>
    <row r="1853" spans="1:6">
      <c r="A1853" s="32">
        <v>41072</v>
      </c>
      <c r="B1853" s="42">
        <v>1148.23</v>
      </c>
      <c r="C1853" s="42">
        <v>1162.93</v>
      </c>
      <c r="D1853" s="42">
        <v>1145.48</v>
      </c>
      <c r="E1853" s="42">
        <v>1162.93</v>
      </c>
      <c r="F1853" s="2">
        <v>5040000000</v>
      </c>
    </row>
    <row r="1854" spans="1:6">
      <c r="A1854" s="32">
        <v>41071</v>
      </c>
      <c r="B1854" s="42">
        <v>1143.17</v>
      </c>
      <c r="C1854" s="42">
        <v>1158.07</v>
      </c>
      <c r="D1854" s="42">
        <v>1143.17</v>
      </c>
      <c r="E1854" s="42">
        <v>1158.07</v>
      </c>
      <c r="F1854" s="2">
        <v>5280000000</v>
      </c>
    </row>
    <row r="1855" spans="1:6">
      <c r="A1855" s="32">
        <v>41068</v>
      </c>
      <c r="B1855" s="42">
        <v>1116</v>
      </c>
      <c r="C1855" s="42">
        <v>1127.0999999999999</v>
      </c>
      <c r="D1855" s="42">
        <v>1112.18</v>
      </c>
      <c r="E1855" s="42">
        <v>1127.0999999999999</v>
      </c>
      <c r="F1855" s="2">
        <v>3070000000</v>
      </c>
    </row>
    <row r="1856" spans="1:6">
      <c r="A1856" s="32">
        <v>41067</v>
      </c>
      <c r="B1856" s="42">
        <v>1130.8699999999999</v>
      </c>
      <c r="C1856" s="42">
        <v>1134.6099999999999</v>
      </c>
      <c r="D1856" s="42">
        <v>1114.8399999999999</v>
      </c>
      <c r="E1856" s="42">
        <v>1118.53</v>
      </c>
      <c r="F1856" s="2">
        <v>4550000000</v>
      </c>
    </row>
    <row r="1857" spans="1:6">
      <c r="A1857" s="32">
        <v>41066</v>
      </c>
      <c r="B1857" s="42">
        <v>1110.3399999999999</v>
      </c>
      <c r="C1857" s="42">
        <v>1123.44</v>
      </c>
      <c r="D1857" s="42">
        <v>1110.24</v>
      </c>
      <c r="E1857" s="42">
        <v>1117.95</v>
      </c>
      <c r="F1857" s="2">
        <v>4290000000</v>
      </c>
    </row>
    <row r="1858" spans="1:6">
      <c r="A1858" s="32">
        <v>41065</v>
      </c>
      <c r="B1858" s="42">
        <v>1119.57</v>
      </c>
      <c r="C1858" s="42">
        <v>1122.3499999999999</v>
      </c>
      <c r="D1858" s="42">
        <v>1099.1500000000001</v>
      </c>
      <c r="E1858" s="42">
        <v>1099.1500000000001</v>
      </c>
      <c r="F1858" s="2">
        <v>4040000000</v>
      </c>
    </row>
    <row r="1859" spans="1:6">
      <c r="A1859" s="32">
        <v>41061</v>
      </c>
      <c r="B1859" s="42">
        <v>1137.27</v>
      </c>
      <c r="C1859" s="42">
        <v>1139.6600000000001</v>
      </c>
      <c r="D1859" s="42">
        <v>1115.19</v>
      </c>
      <c r="E1859" s="42">
        <v>1115.19</v>
      </c>
      <c r="F1859" s="2">
        <v>3430000000</v>
      </c>
    </row>
    <row r="1860" spans="1:6">
      <c r="A1860" s="32">
        <v>41060</v>
      </c>
      <c r="B1860" s="42">
        <v>1127.82</v>
      </c>
      <c r="C1860" s="42">
        <v>1143.92</v>
      </c>
      <c r="D1860" s="42">
        <v>1123.26</v>
      </c>
      <c r="E1860" s="42">
        <v>1141.5</v>
      </c>
      <c r="F1860" s="2">
        <v>6120000000</v>
      </c>
    </row>
    <row r="1861" spans="1:6">
      <c r="A1861" s="32">
        <v>41059</v>
      </c>
      <c r="B1861" s="42">
        <v>1145.3800000000001</v>
      </c>
      <c r="C1861" s="42">
        <v>1148.7</v>
      </c>
      <c r="D1861" s="42">
        <v>1137.67</v>
      </c>
      <c r="E1861" s="42">
        <v>1138.6300000000001</v>
      </c>
      <c r="F1861" s="2">
        <v>5980000000</v>
      </c>
    </row>
    <row r="1862" spans="1:6">
      <c r="A1862" s="32">
        <v>41058</v>
      </c>
      <c r="B1862" s="42">
        <v>1140.81</v>
      </c>
      <c r="C1862" s="42">
        <v>1156.23</v>
      </c>
      <c r="D1862" s="42">
        <v>1140.57</v>
      </c>
      <c r="E1862" s="42">
        <v>1153.6600000000001</v>
      </c>
      <c r="F1862" s="2">
        <v>4920000000</v>
      </c>
    </row>
    <row r="1863" spans="1:6">
      <c r="A1863" s="32">
        <v>41057</v>
      </c>
      <c r="B1863" s="42">
        <v>1130.19</v>
      </c>
      <c r="C1863" s="42">
        <v>1139.93</v>
      </c>
      <c r="D1863" s="42">
        <v>1123.92</v>
      </c>
      <c r="E1863" s="42">
        <v>1139.93</v>
      </c>
      <c r="F1863" s="2">
        <v>2880000000</v>
      </c>
    </row>
    <row r="1864" spans="1:6">
      <c r="A1864" s="32">
        <v>41054</v>
      </c>
      <c r="B1864" s="42">
        <v>1119.1500000000001</v>
      </c>
      <c r="C1864" s="42">
        <v>1134.2</v>
      </c>
      <c r="D1864" s="42">
        <v>1115.69</v>
      </c>
      <c r="E1864" s="42">
        <v>1132.83</v>
      </c>
      <c r="F1864" s="2">
        <v>2890000000</v>
      </c>
    </row>
    <row r="1865" spans="1:6">
      <c r="A1865" s="32">
        <v>41053</v>
      </c>
      <c r="B1865" s="42">
        <v>1111.06</v>
      </c>
      <c r="C1865" s="42">
        <v>1125.78</v>
      </c>
      <c r="D1865" s="42">
        <v>1101.5899999999999</v>
      </c>
      <c r="E1865" s="42">
        <v>1125.78</v>
      </c>
      <c r="F1865" s="2">
        <v>4010000000</v>
      </c>
    </row>
    <row r="1866" spans="1:6">
      <c r="A1866" s="32">
        <v>41052</v>
      </c>
      <c r="B1866" s="42">
        <v>1125.9100000000001</v>
      </c>
      <c r="C1866" s="42">
        <v>1128.43</v>
      </c>
      <c r="D1866" s="42">
        <v>1108.56</v>
      </c>
      <c r="E1866" s="42">
        <v>1110.7</v>
      </c>
      <c r="F1866" s="2">
        <v>3630000000</v>
      </c>
    </row>
    <row r="1867" spans="1:6">
      <c r="A1867" s="32">
        <v>41051</v>
      </c>
      <c r="B1867" s="42">
        <v>1146.76</v>
      </c>
      <c r="C1867" s="42">
        <v>1149.72</v>
      </c>
      <c r="D1867" s="42">
        <v>1131.52</v>
      </c>
      <c r="E1867" s="42">
        <v>1131.52</v>
      </c>
      <c r="F1867" s="2">
        <v>3270000000</v>
      </c>
    </row>
    <row r="1868" spans="1:6">
      <c r="A1868" s="32">
        <v>41050</v>
      </c>
      <c r="B1868" s="42">
        <v>1152.71</v>
      </c>
      <c r="C1868" s="42">
        <v>1153.73</v>
      </c>
      <c r="D1868" s="42">
        <v>1135.1600000000001</v>
      </c>
      <c r="E1868" s="42">
        <v>1135.1600000000001</v>
      </c>
      <c r="F1868" s="2">
        <v>3970000000</v>
      </c>
    </row>
    <row r="1869" spans="1:6">
      <c r="A1869" s="32">
        <v>41047</v>
      </c>
      <c r="B1869" s="42">
        <v>1157.73</v>
      </c>
      <c r="C1869" s="42">
        <v>1160.56</v>
      </c>
      <c r="D1869" s="42">
        <v>1148.81</v>
      </c>
      <c r="E1869" s="42">
        <v>1154.44</v>
      </c>
      <c r="F1869" s="2">
        <v>4710000000</v>
      </c>
    </row>
    <row r="1870" spans="1:6">
      <c r="A1870" s="32">
        <v>41046</v>
      </c>
      <c r="B1870" s="42">
        <v>1173.6400000000001</v>
      </c>
      <c r="C1870" s="42">
        <v>1179.1400000000001</v>
      </c>
      <c r="D1870" s="42">
        <v>1166.22</v>
      </c>
      <c r="E1870" s="42">
        <v>1173.56</v>
      </c>
      <c r="F1870" s="2">
        <v>5270000000</v>
      </c>
    </row>
    <row r="1871" spans="1:6">
      <c r="A1871" s="32">
        <v>41045</v>
      </c>
      <c r="B1871" s="42">
        <v>1165.77</v>
      </c>
      <c r="C1871" s="42">
        <v>1171.23</v>
      </c>
      <c r="D1871" s="42">
        <v>1151.8399999999999</v>
      </c>
      <c r="E1871" s="42">
        <v>1171.23</v>
      </c>
      <c r="F1871" s="2">
        <v>5190000000</v>
      </c>
    </row>
    <row r="1872" spans="1:6">
      <c r="A1872" s="32">
        <v>41044</v>
      </c>
      <c r="B1872" s="42">
        <v>1164.19</v>
      </c>
      <c r="C1872" s="42">
        <v>1184.55</v>
      </c>
      <c r="D1872" s="42">
        <v>1159.6600000000001</v>
      </c>
      <c r="E1872" s="42">
        <v>1184.55</v>
      </c>
      <c r="F1872" s="2">
        <v>4780000000</v>
      </c>
    </row>
    <row r="1873" spans="1:6">
      <c r="A1873" s="32">
        <v>41043</v>
      </c>
      <c r="B1873" s="42">
        <v>1191.4000000000001</v>
      </c>
      <c r="C1873" s="42">
        <v>1201.23</v>
      </c>
      <c r="D1873" s="42">
        <v>1159.23</v>
      </c>
      <c r="E1873" s="42">
        <v>1165.51</v>
      </c>
      <c r="F1873" s="2">
        <v>6070000000</v>
      </c>
    </row>
    <row r="1874" spans="1:6">
      <c r="A1874" s="32">
        <v>41040</v>
      </c>
      <c r="B1874" s="42">
        <v>1187.94</v>
      </c>
      <c r="C1874" s="42">
        <v>1195.7</v>
      </c>
      <c r="D1874" s="42">
        <v>1179.8</v>
      </c>
      <c r="E1874" s="42">
        <v>1191.01</v>
      </c>
      <c r="F1874" s="2">
        <v>6240000000</v>
      </c>
    </row>
    <row r="1875" spans="1:6">
      <c r="A1875" s="32">
        <v>41039</v>
      </c>
      <c r="B1875" s="42">
        <v>1201.57</v>
      </c>
      <c r="C1875" s="42">
        <v>1202.2</v>
      </c>
      <c r="D1875" s="42">
        <v>1185.8900000000001</v>
      </c>
      <c r="E1875" s="42">
        <v>1190.6500000000001</v>
      </c>
      <c r="F1875" s="2">
        <v>7600000000</v>
      </c>
    </row>
    <row r="1876" spans="1:6">
      <c r="A1876" s="32">
        <v>41038</v>
      </c>
      <c r="B1876" s="42">
        <v>1225.06</v>
      </c>
      <c r="C1876" s="42">
        <v>1227.3399999999999</v>
      </c>
      <c r="D1876" s="42">
        <v>1207.25</v>
      </c>
      <c r="E1876" s="42">
        <v>1207.25</v>
      </c>
      <c r="F1876" s="2">
        <v>7900000000</v>
      </c>
    </row>
    <row r="1877" spans="1:6">
      <c r="A1877" s="32">
        <v>41037</v>
      </c>
      <c r="B1877" s="42">
        <v>1221.3699999999999</v>
      </c>
      <c r="C1877" s="42">
        <v>1232.81</v>
      </c>
      <c r="D1877" s="42">
        <v>1219.43</v>
      </c>
      <c r="E1877" s="42">
        <v>1231.04</v>
      </c>
      <c r="F1877" s="2">
        <v>5330000000</v>
      </c>
    </row>
    <row r="1878" spans="1:6">
      <c r="A1878" s="32">
        <v>41033</v>
      </c>
      <c r="B1878" s="42">
        <v>1239.99</v>
      </c>
      <c r="C1878" s="42">
        <v>1240.2</v>
      </c>
      <c r="D1878" s="42">
        <v>1226.3599999999999</v>
      </c>
      <c r="E1878" s="42">
        <v>1227.4100000000001</v>
      </c>
      <c r="F1878" s="2">
        <v>6210000000</v>
      </c>
    </row>
    <row r="1879" spans="1:6">
      <c r="A1879" s="32">
        <v>41032</v>
      </c>
      <c r="B1879" s="42">
        <v>1240.31</v>
      </c>
      <c r="C1879" s="42">
        <v>1247.72</v>
      </c>
      <c r="D1879" s="42">
        <v>1236.23</v>
      </c>
      <c r="E1879" s="42">
        <v>1240.03</v>
      </c>
      <c r="F1879" s="2">
        <v>5050000000</v>
      </c>
    </row>
    <row r="1880" spans="1:6">
      <c r="A1880" s="32">
        <v>41031</v>
      </c>
      <c r="B1880" s="42">
        <v>1235.73</v>
      </c>
      <c r="C1880" s="42">
        <v>1241.1300000000001</v>
      </c>
      <c r="D1880" s="42">
        <v>1233.77</v>
      </c>
      <c r="E1880" s="42">
        <v>1239.06</v>
      </c>
      <c r="F1880" s="2">
        <v>4630000000</v>
      </c>
    </row>
    <row r="1881" spans="1:6">
      <c r="A1881" s="32">
        <v>41029</v>
      </c>
      <c r="B1881" s="42">
        <v>1218.0999999999999</v>
      </c>
      <c r="C1881" s="42">
        <v>1228.49</v>
      </c>
      <c r="D1881" s="42">
        <v>1217.9100000000001</v>
      </c>
      <c r="E1881" s="42">
        <v>1228.49</v>
      </c>
      <c r="F1881" s="2">
        <v>3840000000</v>
      </c>
    </row>
    <row r="1882" spans="1:6">
      <c r="A1882" s="32">
        <v>41026</v>
      </c>
      <c r="B1882" s="42">
        <v>1212.0899999999999</v>
      </c>
      <c r="C1882" s="42">
        <v>1214.78</v>
      </c>
      <c r="D1882" s="42">
        <v>1204.3399999999999</v>
      </c>
      <c r="E1882" s="42">
        <v>1211.78</v>
      </c>
      <c r="F1882" s="2">
        <v>3660000000</v>
      </c>
    </row>
    <row r="1883" spans="1:6">
      <c r="A1883" s="32">
        <v>41025</v>
      </c>
      <c r="B1883" s="42">
        <v>1203.8399999999999</v>
      </c>
      <c r="C1883" s="42">
        <v>1213.06</v>
      </c>
      <c r="D1883" s="42">
        <v>1203.82</v>
      </c>
      <c r="E1883" s="42">
        <v>1209.27</v>
      </c>
      <c r="F1883" s="2">
        <v>3700000000</v>
      </c>
    </row>
    <row r="1884" spans="1:6">
      <c r="A1884" s="32">
        <v>41024</v>
      </c>
      <c r="B1884" s="42">
        <v>1201.71</v>
      </c>
      <c r="C1884" s="42">
        <v>1204.73</v>
      </c>
      <c r="D1884" s="42">
        <v>1196.45</v>
      </c>
      <c r="E1884" s="42">
        <v>1201.3599999999999</v>
      </c>
      <c r="F1884" s="2">
        <v>3660000000</v>
      </c>
    </row>
    <row r="1885" spans="1:6">
      <c r="A1885" s="32">
        <v>41023</v>
      </c>
      <c r="B1885" s="42">
        <v>1193.25</v>
      </c>
      <c r="C1885" s="42">
        <v>1199.8599999999999</v>
      </c>
      <c r="D1885" s="42">
        <v>1189.3599999999999</v>
      </c>
      <c r="E1885" s="42">
        <v>1199.8599999999999</v>
      </c>
      <c r="F1885" s="2">
        <v>3860000000</v>
      </c>
    </row>
    <row r="1886" spans="1:6">
      <c r="A1886" s="32">
        <v>41022</v>
      </c>
      <c r="B1886" s="42">
        <v>1198.5899999999999</v>
      </c>
      <c r="C1886" s="42">
        <v>1201.1199999999999</v>
      </c>
      <c r="D1886" s="42">
        <v>1186.46</v>
      </c>
      <c r="E1886" s="42">
        <v>1189.3499999999999</v>
      </c>
      <c r="F1886" s="2">
        <v>3950000000</v>
      </c>
    </row>
    <row r="1887" spans="1:6">
      <c r="A1887" s="32">
        <v>41019</v>
      </c>
      <c r="B1887" s="42">
        <v>1184.99</v>
      </c>
      <c r="C1887" s="42">
        <v>1195.43</v>
      </c>
      <c r="D1887" s="42">
        <v>1182.42</v>
      </c>
      <c r="E1887" s="42">
        <v>1194.5999999999999</v>
      </c>
      <c r="F1887" s="2">
        <v>3380000000</v>
      </c>
    </row>
    <row r="1888" spans="1:6">
      <c r="A1888" s="32">
        <v>41018</v>
      </c>
      <c r="B1888" s="42">
        <v>1170.6400000000001</v>
      </c>
      <c r="C1888" s="42">
        <v>1185.5</v>
      </c>
      <c r="D1888" s="42">
        <v>1169.2</v>
      </c>
      <c r="E1888" s="42">
        <v>1185.3399999999999</v>
      </c>
      <c r="F1888" s="2">
        <v>2840000000</v>
      </c>
    </row>
    <row r="1889" spans="1:6">
      <c r="A1889" s="32">
        <v>41017</v>
      </c>
      <c r="B1889" s="42">
        <v>1170.49</v>
      </c>
      <c r="C1889" s="42">
        <v>1173.48</v>
      </c>
      <c r="D1889" s="42">
        <v>1164.24</v>
      </c>
      <c r="E1889" s="42">
        <v>1168.05</v>
      </c>
      <c r="F1889" s="2">
        <v>3110000000</v>
      </c>
    </row>
    <row r="1890" spans="1:6">
      <c r="A1890" s="32">
        <v>41016</v>
      </c>
      <c r="B1890" s="42">
        <v>1180.02</v>
      </c>
      <c r="C1890" s="42">
        <v>1180.02</v>
      </c>
      <c r="D1890" s="42">
        <v>1156.28</v>
      </c>
      <c r="E1890" s="42">
        <v>1160.23</v>
      </c>
      <c r="F1890" s="2">
        <v>2750000000</v>
      </c>
    </row>
    <row r="1891" spans="1:6">
      <c r="A1891" s="32">
        <v>41011</v>
      </c>
      <c r="B1891" s="42">
        <v>1158.21</v>
      </c>
      <c r="C1891" s="42">
        <v>1169.45</v>
      </c>
      <c r="D1891" s="42">
        <v>1158.21</v>
      </c>
      <c r="E1891" s="42">
        <v>1169.45</v>
      </c>
      <c r="F1891" s="2">
        <v>2380000000</v>
      </c>
    </row>
    <row r="1892" spans="1:6">
      <c r="A1892" s="32">
        <v>41010</v>
      </c>
      <c r="B1892" s="42">
        <v>1155.67</v>
      </c>
      <c r="C1892" s="42">
        <v>1161.53</v>
      </c>
      <c r="D1892" s="42">
        <v>1151.21</v>
      </c>
      <c r="E1892" s="42">
        <v>1154.49</v>
      </c>
      <c r="F1892" s="2">
        <v>3470000000</v>
      </c>
    </row>
    <row r="1893" spans="1:6">
      <c r="A1893" s="32">
        <v>41009</v>
      </c>
      <c r="B1893" s="42">
        <v>1174.23</v>
      </c>
      <c r="C1893" s="42">
        <v>1176.26</v>
      </c>
      <c r="D1893" s="42">
        <v>1156.83</v>
      </c>
      <c r="E1893" s="42">
        <v>1165.6099999999999</v>
      </c>
      <c r="F1893" s="2">
        <v>3770000000</v>
      </c>
    </row>
    <row r="1894" spans="1:6">
      <c r="A1894" s="32">
        <v>41004</v>
      </c>
      <c r="B1894" s="42">
        <v>1195.6400000000001</v>
      </c>
      <c r="C1894" s="42">
        <v>1197.04</v>
      </c>
      <c r="D1894" s="42">
        <v>1177.83</v>
      </c>
      <c r="E1894" s="42">
        <v>1182.4100000000001</v>
      </c>
      <c r="F1894" s="2">
        <v>3730000000</v>
      </c>
    </row>
    <row r="1895" spans="1:6">
      <c r="A1895" s="32">
        <v>41003</v>
      </c>
      <c r="B1895" s="42">
        <v>1208.33</v>
      </c>
      <c r="C1895" s="42">
        <v>1210.8</v>
      </c>
      <c r="D1895" s="42">
        <v>1198.0899999999999</v>
      </c>
      <c r="E1895" s="42">
        <v>1198.0899999999999</v>
      </c>
      <c r="F1895" s="2">
        <v>3000000000</v>
      </c>
    </row>
    <row r="1896" spans="1:6">
      <c r="A1896" s="32">
        <v>41002</v>
      </c>
      <c r="B1896" s="42">
        <v>1204.76</v>
      </c>
      <c r="C1896" s="42">
        <v>1213.57</v>
      </c>
      <c r="D1896" s="42">
        <v>1204.49</v>
      </c>
      <c r="E1896" s="42">
        <v>1211.07</v>
      </c>
      <c r="F1896" s="2">
        <v>3710000000</v>
      </c>
    </row>
    <row r="1897" spans="1:6">
      <c r="A1897" s="32">
        <v>41001</v>
      </c>
      <c r="B1897" s="42">
        <v>1195.96</v>
      </c>
      <c r="C1897" s="42">
        <v>1203.03</v>
      </c>
      <c r="D1897" s="42">
        <v>1195.21</v>
      </c>
      <c r="E1897" s="42">
        <v>1199.0899999999999</v>
      </c>
      <c r="F1897" s="2">
        <v>3150000000</v>
      </c>
    </row>
    <row r="1898" spans="1:6">
      <c r="A1898" s="32">
        <v>40998</v>
      </c>
      <c r="B1898" s="42">
        <v>1205.23</v>
      </c>
      <c r="C1898" s="42">
        <v>1207.28</v>
      </c>
      <c r="D1898" s="42">
        <v>1194.03</v>
      </c>
      <c r="E1898" s="42">
        <v>1196.77</v>
      </c>
      <c r="F1898" s="2">
        <v>3180000000</v>
      </c>
    </row>
    <row r="1899" spans="1:6">
      <c r="A1899" s="32">
        <v>40997</v>
      </c>
      <c r="B1899" s="42">
        <v>1198.58</v>
      </c>
      <c r="C1899" s="42">
        <v>1205.6300000000001</v>
      </c>
      <c r="D1899" s="42">
        <v>1194.83</v>
      </c>
      <c r="E1899" s="42">
        <v>1203.9100000000001</v>
      </c>
      <c r="F1899" s="2">
        <v>3770000000</v>
      </c>
    </row>
    <row r="1900" spans="1:6">
      <c r="A1900" s="32">
        <v>40996</v>
      </c>
      <c r="B1900" s="42">
        <v>1204.03</v>
      </c>
      <c r="C1900" s="42">
        <v>1209.1600000000001</v>
      </c>
      <c r="D1900" s="42">
        <v>1199.5899999999999</v>
      </c>
      <c r="E1900" s="42">
        <v>1204.01</v>
      </c>
      <c r="F1900" s="2">
        <v>4970000000</v>
      </c>
    </row>
    <row r="1901" spans="1:6">
      <c r="A1901" s="32">
        <v>40995</v>
      </c>
      <c r="B1901" s="42">
        <v>1202.48</v>
      </c>
      <c r="C1901" s="42">
        <v>1207.29</v>
      </c>
      <c r="D1901" s="42">
        <v>1197.82</v>
      </c>
      <c r="E1901" s="42">
        <v>1207.29</v>
      </c>
      <c r="F1901" s="2">
        <v>4500000000</v>
      </c>
    </row>
    <row r="1902" spans="1:6">
      <c r="A1902" s="32">
        <v>40994</v>
      </c>
      <c r="B1902" s="42">
        <v>1196.47</v>
      </c>
      <c r="C1902" s="42">
        <v>1199</v>
      </c>
      <c r="D1902" s="42">
        <v>1187.6500000000001</v>
      </c>
      <c r="E1902" s="42">
        <v>1188.32</v>
      </c>
      <c r="F1902" s="2">
        <v>3750000000</v>
      </c>
    </row>
    <row r="1903" spans="1:6">
      <c r="A1903" s="32">
        <v>40991</v>
      </c>
      <c r="B1903" s="42">
        <v>1192.49</v>
      </c>
      <c r="C1903" s="42">
        <v>1197.04</v>
      </c>
      <c r="D1903" s="42">
        <v>1179.49</v>
      </c>
      <c r="E1903" s="42">
        <v>1194.44</v>
      </c>
      <c r="F1903" s="2">
        <v>4980000000</v>
      </c>
    </row>
    <row r="1904" spans="1:6">
      <c r="A1904" s="32">
        <v>40990</v>
      </c>
      <c r="B1904" s="42">
        <v>1207.08</v>
      </c>
      <c r="C1904" s="42">
        <v>1214.31</v>
      </c>
      <c r="D1904" s="42">
        <v>1191</v>
      </c>
      <c r="E1904" s="42">
        <v>1191</v>
      </c>
      <c r="F1904" s="2">
        <v>7850000000</v>
      </c>
    </row>
    <row r="1905" spans="1:6">
      <c r="A1905" s="32">
        <v>40989</v>
      </c>
      <c r="B1905" s="42">
        <v>1196.6500000000001</v>
      </c>
      <c r="C1905" s="42">
        <v>1207.67</v>
      </c>
      <c r="D1905" s="42">
        <v>1193.31</v>
      </c>
      <c r="E1905" s="42">
        <v>1207.67</v>
      </c>
      <c r="F1905" s="2">
        <v>5330000000</v>
      </c>
    </row>
    <row r="1906" spans="1:6">
      <c r="A1906" s="32">
        <v>40988</v>
      </c>
      <c r="B1906" s="42">
        <v>1190.26</v>
      </c>
      <c r="C1906" s="42">
        <v>1200.3800000000001</v>
      </c>
      <c r="D1906" s="42">
        <v>1189.5</v>
      </c>
      <c r="E1906" s="42">
        <v>1196.5999999999999</v>
      </c>
      <c r="F1906" s="2">
        <v>4450000000</v>
      </c>
    </row>
    <row r="1907" spans="1:6">
      <c r="A1907" s="32">
        <v>40987</v>
      </c>
      <c r="B1907" s="42">
        <v>1196.42</v>
      </c>
      <c r="C1907" s="42">
        <v>1201.6099999999999</v>
      </c>
      <c r="D1907" s="42">
        <v>1189.5</v>
      </c>
      <c r="E1907" s="42">
        <v>1189.5</v>
      </c>
      <c r="F1907" s="2">
        <v>6310000000</v>
      </c>
    </row>
    <row r="1908" spans="1:6">
      <c r="A1908" s="32">
        <v>40984</v>
      </c>
      <c r="B1908" s="42">
        <v>1176.76</v>
      </c>
      <c r="C1908" s="42">
        <v>1189.56</v>
      </c>
      <c r="D1908" s="42">
        <v>1173.95</v>
      </c>
      <c r="E1908" s="42">
        <v>1189.56</v>
      </c>
      <c r="F1908" s="2">
        <v>6580000000</v>
      </c>
    </row>
    <row r="1909" spans="1:6">
      <c r="A1909" s="32">
        <v>40983</v>
      </c>
      <c r="B1909" s="42">
        <v>1166.53</v>
      </c>
      <c r="C1909" s="42">
        <v>1174.42</v>
      </c>
      <c r="D1909" s="42">
        <v>1166.1500000000001</v>
      </c>
      <c r="E1909" s="42">
        <v>1171.3399999999999</v>
      </c>
      <c r="F1909" s="2">
        <v>4970000000</v>
      </c>
    </row>
    <row r="1910" spans="1:6">
      <c r="A1910" s="32">
        <v>40982</v>
      </c>
      <c r="B1910" s="42">
        <v>1162.71</v>
      </c>
      <c r="C1910" s="42">
        <v>1166.99</v>
      </c>
      <c r="D1910" s="42">
        <v>1158.2</v>
      </c>
      <c r="E1910" s="42">
        <v>1164.3599999999999</v>
      </c>
      <c r="F1910" s="2">
        <v>4730000000</v>
      </c>
    </row>
    <row r="1911" spans="1:6">
      <c r="A1911" s="32">
        <v>40981</v>
      </c>
      <c r="B1911" s="42">
        <v>1155.67</v>
      </c>
      <c r="C1911" s="42">
        <v>1156.71</v>
      </c>
      <c r="D1911" s="42">
        <v>1144.43</v>
      </c>
      <c r="E1911" s="42">
        <v>1153.56</v>
      </c>
      <c r="F1911" s="2">
        <v>5080000000</v>
      </c>
    </row>
    <row r="1912" spans="1:6">
      <c r="A1912" s="32">
        <v>40980</v>
      </c>
      <c r="B1912" s="42">
        <v>1162.03</v>
      </c>
      <c r="C1912" s="42">
        <v>1165.26</v>
      </c>
      <c r="D1912" s="42">
        <v>1146.51</v>
      </c>
      <c r="E1912" s="42">
        <v>1150.18</v>
      </c>
      <c r="F1912" s="2">
        <v>5360000000</v>
      </c>
    </row>
    <row r="1913" spans="1:6">
      <c r="A1913" s="32">
        <v>40977</v>
      </c>
      <c r="B1913" s="42">
        <v>1169.99</v>
      </c>
      <c r="C1913" s="42">
        <v>1170.5999999999999</v>
      </c>
      <c r="D1913" s="42">
        <v>1158.58</v>
      </c>
      <c r="E1913" s="42">
        <v>1158.71</v>
      </c>
      <c r="F1913" s="2">
        <v>5670000000</v>
      </c>
    </row>
    <row r="1914" spans="1:6">
      <c r="A1914" s="32">
        <v>40976</v>
      </c>
      <c r="B1914" s="42">
        <v>1156.74</v>
      </c>
      <c r="C1914" s="42">
        <v>1168.31</v>
      </c>
      <c r="D1914" s="42">
        <v>1156.43</v>
      </c>
      <c r="E1914" s="42">
        <v>1168.31</v>
      </c>
      <c r="F1914" s="2">
        <v>4500000000</v>
      </c>
    </row>
    <row r="1915" spans="1:6">
      <c r="A1915" s="32">
        <v>40974</v>
      </c>
      <c r="B1915" s="42">
        <v>1155.4000000000001</v>
      </c>
      <c r="C1915" s="42">
        <v>1160.28</v>
      </c>
      <c r="D1915" s="42">
        <v>1150.5</v>
      </c>
      <c r="E1915" s="42">
        <v>1153.1600000000001</v>
      </c>
      <c r="F1915" s="2">
        <v>5150000000</v>
      </c>
    </row>
    <row r="1916" spans="1:6">
      <c r="A1916" s="32">
        <v>40973</v>
      </c>
      <c r="B1916" s="42">
        <v>1162.55</v>
      </c>
      <c r="C1916" s="42">
        <v>1163.95</v>
      </c>
      <c r="D1916" s="42">
        <v>1157.27</v>
      </c>
      <c r="E1916" s="42">
        <v>1157.95</v>
      </c>
      <c r="F1916" s="2">
        <v>5750000000</v>
      </c>
    </row>
    <row r="1917" spans="1:6">
      <c r="A1917" s="32">
        <v>40970</v>
      </c>
      <c r="B1917" s="42">
        <v>1169.46</v>
      </c>
      <c r="C1917" s="42">
        <v>1173.07</v>
      </c>
      <c r="D1917" s="42">
        <v>1164.1400000000001</v>
      </c>
      <c r="E1917" s="42">
        <v>1165.1500000000001</v>
      </c>
      <c r="F1917" s="2">
        <v>5410000000</v>
      </c>
    </row>
    <row r="1918" spans="1:6">
      <c r="A1918" s="32">
        <v>40969</v>
      </c>
      <c r="B1918" s="42">
        <v>1159.42</v>
      </c>
      <c r="C1918" s="42">
        <v>1166.6400000000001</v>
      </c>
      <c r="D1918" s="42">
        <v>1156.97</v>
      </c>
      <c r="E1918" s="42">
        <v>1164.98</v>
      </c>
      <c r="F1918" s="2">
        <v>4760000000</v>
      </c>
    </row>
    <row r="1919" spans="1:6">
      <c r="A1919" s="32">
        <v>40968</v>
      </c>
      <c r="B1919" s="42">
        <v>1150.1600000000001</v>
      </c>
      <c r="C1919" s="42">
        <v>1160.9000000000001</v>
      </c>
      <c r="D1919" s="42">
        <v>1149.6500000000001</v>
      </c>
      <c r="E1919" s="42">
        <v>1160.9000000000001</v>
      </c>
      <c r="F1919" s="2">
        <v>4740000000</v>
      </c>
    </row>
    <row r="1920" spans="1:6">
      <c r="A1920" s="32">
        <v>40967</v>
      </c>
      <c r="B1920" s="42">
        <v>1137.57</v>
      </c>
      <c r="C1920" s="42">
        <v>1146.26</v>
      </c>
      <c r="D1920" s="42">
        <v>1134.75</v>
      </c>
      <c r="E1920" s="42">
        <v>1146.26</v>
      </c>
      <c r="F1920" s="2">
        <v>3940000000</v>
      </c>
    </row>
    <row r="1921" spans="1:6">
      <c r="A1921" s="32">
        <v>40966</v>
      </c>
      <c r="B1921" s="42">
        <v>1148.31</v>
      </c>
      <c r="C1921" s="42">
        <v>1148.6099999999999</v>
      </c>
      <c r="D1921" s="42">
        <v>1133.33</v>
      </c>
      <c r="E1921" s="42">
        <v>1135.04</v>
      </c>
      <c r="F1921" s="2">
        <v>4110000000</v>
      </c>
    </row>
    <row r="1922" spans="1:6">
      <c r="A1922" s="32">
        <v>40963</v>
      </c>
      <c r="B1922" s="42">
        <v>1143.4000000000001</v>
      </c>
      <c r="C1922" s="42">
        <v>1147.3699999999999</v>
      </c>
      <c r="D1922" s="42">
        <v>1141.72</v>
      </c>
      <c r="E1922" s="42">
        <v>1146.1400000000001</v>
      </c>
      <c r="F1922" s="2">
        <v>3970000000</v>
      </c>
    </row>
    <row r="1923" spans="1:6">
      <c r="A1923" s="32">
        <v>40962</v>
      </c>
      <c r="B1923" s="42">
        <v>1139.7</v>
      </c>
      <c r="C1923" s="42">
        <v>1142.49</v>
      </c>
      <c r="D1923" s="42">
        <v>1129.4000000000001</v>
      </c>
      <c r="E1923" s="42">
        <v>1140.07</v>
      </c>
      <c r="F1923" s="2">
        <v>4700000000</v>
      </c>
    </row>
    <row r="1924" spans="1:6">
      <c r="A1924" s="32">
        <v>40961</v>
      </c>
      <c r="B1924" s="42">
        <v>1143.92</v>
      </c>
      <c r="C1924" s="42">
        <v>1147.72</v>
      </c>
      <c r="D1924" s="42">
        <v>1137.5999999999999</v>
      </c>
      <c r="E1924" s="42">
        <v>1137.82</v>
      </c>
      <c r="F1924" s="2">
        <v>9780000000</v>
      </c>
    </row>
    <row r="1925" spans="1:6">
      <c r="A1925" s="32">
        <v>40960</v>
      </c>
      <c r="B1925" s="42">
        <v>1139.19</v>
      </c>
      <c r="C1925" s="42">
        <v>1143.3499999999999</v>
      </c>
      <c r="D1925" s="42">
        <v>1136.08</v>
      </c>
      <c r="E1925" s="42">
        <v>1140.3900000000001</v>
      </c>
      <c r="F1925" s="2">
        <v>5210000000</v>
      </c>
    </row>
    <row r="1926" spans="1:6">
      <c r="A1926" s="32">
        <v>40959</v>
      </c>
      <c r="B1926" s="42">
        <v>1135.7</v>
      </c>
      <c r="C1926" s="42">
        <v>1137.94</v>
      </c>
      <c r="D1926" s="42">
        <v>1132.05</v>
      </c>
      <c r="E1926" s="42">
        <v>1135.92</v>
      </c>
      <c r="F1926" s="2">
        <v>4120000000</v>
      </c>
    </row>
    <row r="1927" spans="1:6">
      <c r="A1927" s="32">
        <v>40956</v>
      </c>
      <c r="B1927" s="42">
        <v>1131.6300000000001</v>
      </c>
      <c r="C1927" s="42">
        <v>1132.73</v>
      </c>
      <c r="D1927" s="42">
        <v>1123.01</v>
      </c>
      <c r="E1927" s="42">
        <v>1129.93</v>
      </c>
      <c r="F1927" s="2">
        <v>4480000000</v>
      </c>
    </row>
    <row r="1928" spans="1:6">
      <c r="A1928" s="32">
        <v>40955</v>
      </c>
      <c r="B1928" s="42">
        <v>1124.47</v>
      </c>
      <c r="C1928" s="42">
        <v>1127.07</v>
      </c>
      <c r="D1928" s="42">
        <v>1117.71</v>
      </c>
      <c r="E1928" s="42">
        <v>1120.25</v>
      </c>
      <c r="F1928" s="2">
        <v>4260000000</v>
      </c>
    </row>
    <row r="1929" spans="1:6">
      <c r="A1929" s="32">
        <v>40954</v>
      </c>
      <c r="B1929" s="42">
        <v>1114</v>
      </c>
      <c r="C1929" s="42">
        <v>1127.99</v>
      </c>
      <c r="D1929" s="42">
        <v>1114</v>
      </c>
      <c r="E1929" s="42">
        <v>1126.48</v>
      </c>
      <c r="F1929" s="2">
        <v>5610000000</v>
      </c>
    </row>
    <row r="1930" spans="1:6">
      <c r="A1930" s="32">
        <v>40953</v>
      </c>
      <c r="B1930" s="42">
        <v>1115.02</v>
      </c>
      <c r="C1930" s="42">
        <v>1121.7</v>
      </c>
      <c r="D1930" s="42">
        <v>1102.77</v>
      </c>
      <c r="E1930" s="42">
        <v>1106.4100000000001</v>
      </c>
      <c r="F1930" s="2">
        <v>5570000000</v>
      </c>
    </row>
    <row r="1931" spans="1:6">
      <c r="A1931" s="32">
        <v>40952</v>
      </c>
      <c r="B1931" s="42">
        <v>1115.29</v>
      </c>
      <c r="C1931" s="42">
        <v>1120.5</v>
      </c>
      <c r="D1931" s="42">
        <v>1113.57</v>
      </c>
      <c r="E1931" s="42">
        <v>1117.4000000000001</v>
      </c>
      <c r="F1931" s="2">
        <v>4200000000</v>
      </c>
    </row>
    <row r="1932" spans="1:6">
      <c r="A1932" s="32">
        <v>40949</v>
      </c>
      <c r="B1932" s="42">
        <v>1115.71</v>
      </c>
      <c r="C1932" s="42">
        <v>1120.56</v>
      </c>
      <c r="D1932" s="42">
        <v>1111.5999999999999</v>
      </c>
      <c r="E1932" s="42">
        <v>1112.9100000000001</v>
      </c>
      <c r="F1932" s="2">
        <v>3860000000</v>
      </c>
    </row>
    <row r="1933" spans="1:6">
      <c r="A1933" s="32">
        <v>40948</v>
      </c>
      <c r="B1933" s="42">
        <v>1117.6500000000001</v>
      </c>
      <c r="C1933" s="42">
        <v>1121.22</v>
      </c>
      <c r="D1933" s="42">
        <v>1110.5999999999999</v>
      </c>
      <c r="E1933" s="42">
        <v>1117.17</v>
      </c>
      <c r="F1933" s="2">
        <v>4740000000</v>
      </c>
    </row>
    <row r="1934" spans="1:6">
      <c r="A1934" s="32">
        <v>40947</v>
      </c>
      <c r="B1934" s="42">
        <v>1107.69</v>
      </c>
      <c r="C1934" s="42">
        <v>1121.3599999999999</v>
      </c>
      <c r="D1934" s="42">
        <v>1107.52</v>
      </c>
      <c r="E1934" s="42">
        <v>1116.08</v>
      </c>
      <c r="F1934" s="2">
        <v>5170000000</v>
      </c>
    </row>
    <row r="1935" spans="1:6">
      <c r="A1935" s="32">
        <v>40946</v>
      </c>
      <c r="B1935" s="42">
        <v>1096.71</v>
      </c>
      <c r="C1935" s="42">
        <v>1102.33</v>
      </c>
      <c r="D1935" s="42">
        <v>1092.77</v>
      </c>
      <c r="E1935" s="42">
        <v>1101.1199999999999</v>
      </c>
      <c r="F1935" s="2">
        <v>3750000000</v>
      </c>
    </row>
    <row r="1936" spans="1:6">
      <c r="A1936" s="32">
        <v>40945</v>
      </c>
      <c r="B1936" s="42">
        <v>1105.75</v>
      </c>
      <c r="C1936" s="42">
        <v>1107.5</v>
      </c>
      <c r="D1936" s="42">
        <v>1094.01</v>
      </c>
      <c r="E1936" s="42">
        <v>1094.01</v>
      </c>
      <c r="F1936" s="2">
        <v>4220000000</v>
      </c>
    </row>
    <row r="1937" spans="1:6">
      <c r="A1937" s="32">
        <v>40942</v>
      </c>
      <c r="B1937" s="42">
        <v>1094.32</v>
      </c>
      <c r="C1937" s="42">
        <v>1099.6199999999999</v>
      </c>
      <c r="D1937" s="42">
        <v>1090.27</v>
      </c>
      <c r="E1937" s="42">
        <v>1098.95</v>
      </c>
      <c r="F1937" s="2">
        <v>4010000000</v>
      </c>
    </row>
    <row r="1938" spans="1:6">
      <c r="A1938" s="32">
        <v>40941</v>
      </c>
      <c r="B1938" s="42">
        <v>1092.19</v>
      </c>
      <c r="C1938" s="42">
        <v>1098.8900000000001</v>
      </c>
      <c r="D1938" s="42">
        <v>1091.01</v>
      </c>
      <c r="E1938" s="42">
        <v>1091.67</v>
      </c>
      <c r="F1938" s="2">
        <v>4420000000</v>
      </c>
    </row>
    <row r="1939" spans="1:6">
      <c r="A1939" s="32">
        <v>40940</v>
      </c>
      <c r="B1939" s="42">
        <v>1083.05</v>
      </c>
      <c r="C1939" s="42">
        <v>1087.53</v>
      </c>
      <c r="D1939" s="42">
        <v>1078.8900000000001</v>
      </c>
      <c r="E1939" s="42">
        <v>1086.3599999999999</v>
      </c>
      <c r="F1939" s="2">
        <v>4750000000</v>
      </c>
    </row>
    <row r="1940" spans="1:6">
      <c r="A1940" s="32">
        <v>40939</v>
      </c>
      <c r="B1940" s="42">
        <v>1079.82</v>
      </c>
      <c r="C1940" s="42">
        <v>1083.97</v>
      </c>
      <c r="D1940" s="42">
        <v>1073.69</v>
      </c>
      <c r="E1940" s="42">
        <v>1083.97</v>
      </c>
      <c r="F1940" s="2">
        <v>4130000000</v>
      </c>
    </row>
    <row r="1941" spans="1:6">
      <c r="A1941" s="32">
        <v>40938</v>
      </c>
      <c r="B1941" s="42">
        <v>1076.25</v>
      </c>
      <c r="C1941" s="42">
        <v>1080.6300000000001</v>
      </c>
      <c r="D1941" s="42">
        <v>1072.71</v>
      </c>
      <c r="E1941" s="42">
        <v>1074.71</v>
      </c>
      <c r="F1941" s="2">
        <v>4740000000</v>
      </c>
    </row>
    <row r="1942" spans="1:6">
      <c r="A1942" s="32">
        <v>40935</v>
      </c>
      <c r="B1942" s="42">
        <v>1072.9100000000001</v>
      </c>
      <c r="C1942" s="42">
        <v>1078.01</v>
      </c>
      <c r="D1942" s="42">
        <v>1070.25</v>
      </c>
      <c r="E1942" s="42">
        <v>1076.29</v>
      </c>
      <c r="F1942" s="2">
        <v>3880000000</v>
      </c>
    </row>
    <row r="1943" spans="1:6">
      <c r="A1943" s="32">
        <v>40934</v>
      </c>
      <c r="B1943" s="42">
        <v>1061.27</v>
      </c>
      <c r="C1943" s="42">
        <v>1068.99</v>
      </c>
      <c r="D1943" s="42">
        <v>1061.1099999999999</v>
      </c>
      <c r="E1943" s="42">
        <v>1068.54</v>
      </c>
      <c r="F1943" s="2">
        <v>3300000000</v>
      </c>
    </row>
    <row r="1944" spans="1:6">
      <c r="A1944" s="32">
        <v>40933</v>
      </c>
      <c r="B1944" s="42">
        <v>1066.6600000000001</v>
      </c>
      <c r="C1944" s="42">
        <v>1067.32</v>
      </c>
      <c r="D1944" s="42">
        <v>1054.8399999999999</v>
      </c>
      <c r="E1944" s="42">
        <v>1056.01</v>
      </c>
      <c r="F1944" s="2">
        <v>3550000000</v>
      </c>
    </row>
    <row r="1945" spans="1:6">
      <c r="A1945" s="32">
        <v>40932</v>
      </c>
      <c r="B1945" s="42">
        <v>1065.99</v>
      </c>
      <c r="C1945" s="42">
        <v>1070.8499999999999</v>
      </c>
      <c r="D1945" s="42">
        <v>1063.08</v>
      </c>
      <c r="E1945" s="42">
        <v>1063.08</v>
      </c>
      <c r="F1945" s="2">
        <v>4720000000</v>
      </c>
    </row>
    <row r="1946" spans="1:6">
      <c r="A1946" s="32">
        <v>40931</v>
      </c>
      <c r="B1946" s="42">
        <v>1059.95</v>
      </c>
      <c r="C1946" s="42">
        <v>1066.82</v>
      </c>
      <c r="D1946" s="42">
        <v>1059.28</v>
      </c>
      <c r="E1946" s="42">
        <v>1062.55</v>
      </c>
      <c r="F1946" s="2">
        <v>3300000000</v>
      </c>
    </row>
    <row r="1947" spans="1:6">
      <c r="A1947" s="32">
        <v>40928</v>
      </c>
      <c r="B1947" s="42">
        <v>1061.23</v>
      </c>
      <c r="C1947" s="42">
        <v>1063.44</v>
      </c>
      <c r="D1947" s="42">
        <v>1056.06</v>
      </c>
      <c r="E1947" s="42">
        <v>1058.6600000000001</v>
      </c>
      <c r="F1947" s="2">
        <v>3490000000</v>
      </c>
    </row>
    <row r="1948" spans="1:6">
      <c r="A1948" s="32">
        <v>40927</v>
      </c>
      <c r="B1948" s="42">
        <v>1057.93</v>
      </c>
      <c r="C1948" s="42">
        <v>1061.51</v>
      </c>
      <c r="D1948" s="42">
        <v>1053.74</v>
      </c>
      <c r="E1948" s="42">
        <v>1058.94</v>
      </c>
      <c r="F1948" s="2">
        <v>5200000000</v>
      </c>
    </row>
    <row r="1949" spans="1:6">
      <c r="A1949" s="32">
        <v>40926</v>
      </c>
      <c r="B1949" s="42">
        <v>1056.74</v>
      </c>
      <c r="C1949" s="42">
        <v>1059.73</v>
      </c>
      <c r="D1949" s="42">
        <v>1051.6400000000001</v>
      </c>
      <c r="E1949" s="42">
        <v>1051.6400000000001</v>
      </c>
      <c r="F1949" s="2">
        <v>4190000000</v>
      </c>
    </row>
    <row r="1950" spans="1:6">
      <c r="A1950" s="32">
        <v>40925</v>
      </c>
      <c r="B1950" s="42">
        <v>1043.42</v>
      </c>
      <c r="C1950" s="42">
        <v>1056.54</v>
      </c>
      <c r="D1950" s="42">
        <v>1042.51</v>
      </c>
      <c r="E1950" s="42">
        <v>1056.54</v>
      </c>
      <c r="F1950" s="2">
        <v>3010000000</v>
      </c>
    </row>
    <row r="1951" spans="1:6">
      <c r="A1951" s="32">
        <v>40924</v>
      </c>
      <c r="B1951" s="42">
        <v>1038.9100000000001</v>
      </c>
      <c r="C1951" s="42">
        <v>1039.77</v>
      </c>
      <c r="D1951" s="42">
        <v>1035</v>
      </c>
      <c r="E1951" s="42">
        <v>1037.01</v>
      </c>
      <c r="F1951" s="2">
        <v>2780000000</v>
      </c>
    </row>
    <row r="1952" spans="1:6">
      <c r="A1952" s="32">
        <v>40921</v>
      </c>
      <c r="B1952" s="42">
        <v>1052</v>
      </c>
      <c r="C1952" s="42">
        <v>1053.94</v>
      </c>
      <c r="D1952" s="42">
        <v>1041.18</v>
      </c>
      <c r="E1952" s="42">
        <v>1044.81</v>
      </c>
      <c r="F1952" s="2">
        <v>3750000000</v>
      </c>
    </row>
    <row r="1953" spans="1:6">
      <c r="A1953" s="32">
        <v>40920</v>
      </c>
      <c r="B1953" s="42">
        <v>1053.8</v>
      </c>
      <c r="C1953" s="42">
        <v>1056.76</v>
      </c>
      <c r="D1953" s="42">
        <v>1050.2</v>
      </c>
      <c r="E1953" s="42">
        <v>1052.23</v>
      </c>
      <c r="F1953" s="2">
        <v>3210000000</v>
      </c>
    </row>
    <row r="1954" spans="1:6">
      <c r="A1954" s="32">
        <v>40919</v>
      </c>
      <c r="B1954" s="42">
        <v>1052.9000000000001</v>
      </c>
      <c r="C1954" s="42">
        <v>1058.93</v>
      </c>
      <c r="D1954" s="42">
        <v>1050.54</v>
      </c>
      <c r="E1954" s="42">
        <v>1051.6300000000001</v>
      </c>
      <c r="F1954" s="2">
        <v>3210000000</v>
      </c>
    </row>
    <row r="1955" spans="1:6">
      <c r="A1955" s="32">
        <v>40918</v>
      </c>
      <c r="B1955" s="42">
        <v>1048.0899999999999</v>
      </c>
      <c r="C1955" s="42">
        <v>1055.06</v>
      </c>
      <c r="D1955" s="42">
        <v>1047.3800000000001</v>
      </c>
      <c r="E1955" s="42">
        <v>1053.04</v>
      </c>
      <c r="F1955" s="2">
        <v>4270000000</v>
      </c>
    </row>
    <row r="1956" spans="1:6">
      <c r="A1956" s="32">
        <v>40917</v>
      </c>
      <c r="B1956" s="42">
        <v>1034.07</v>
      </c>
      <c r="C1956" s="42">
        <v>1044.8399999999999</v>
      </c>
      <c r="D1956" s="42">
        <v>1033.42</v>
      </c>
      <c r="E1956" s="42">
        <v>1044.8399999999999</v>
      </c>
      <c r="F1956" s="2">
        <v>2860000000</v>
      </c>
    </row>
    <row r="1957" spans="1:6">
      <c r="A1957" s="32">
        <v>40914</v>
      </c>
      <c r="B1957" s="42">
        <v>1034.54</v>
      </c>
      <c r="C1957" s="42">
        <v>1039.51</v>
      </c>
      <c r="D1957" s="42">
        <v>1033.4000000000001</v>
      </c>
      <c r="E1957" s="42">
        <v>1036.26</v>
      </c>
      <c r="F1957" s="2">
        <v>2740000000</v>
      </c>
    </row>
    <row r="1958" spans="1:6">
      <c r="A1958" s="32">
        <v>40913</v>
      </c>
      <c r="B1958" s="42">
        <v>1035.24</v>
      </c>
      <c r="C1958" s="42">
        <v>1040.26</v>
      </c>
      <c r="D1958" s="42">
        <v>1031.76</v>
      </c>
      <c r="E1958" s="42">
        <v>1036.8</v>
      </c>
      <c r="F1958" s="2">
        <v>2760000000</v>
      </c>
    </row>
    <row r="1959" spans="1:6">
      <c r="A1959" s="32">
        <v>40912</v>
      </c>
      <c r="B1959" s="42">
        <v>1036.1400000000001</v>
      </c>
      <c r="C1959" s="42">
        <v>1041.83</v>
      </c>
      <c r="D1959" s="42">
        <v>1034.02</v>
      </c>
      <c r="E1959" s="42">
        <v>1036.21</v>
      </c>
      <c r="F1959" s="2">
        <v>2320000000</v>
      </c>
    </row>
    <row r="1960" spans="1:6">
      <c r="A1960" s="32">
        <v>40907</v>
      </c>
      <c r="B1960" s="42">
        <v>1026.8499999999999</v>
      </c>
      <c r="C1960" s="42">
        <v>1027.3699999999999</v>
      </c>
      <c r="D1960" s="42">
        <v>1022.04</v>
      </c>
      <c r="E1960" s="42">
        <v>1025.32</v>
      </c>
      <c r="F1960" s="2">
        <v>1640000000</v>
      </c>
    </row>
    <row r="1961" spans="1:6">
      <c r="A1961" s="32">
        <v>40906</v>
      </c>
      <c r="B1961" s="42">
        <v>1019.79</v>
      </c>
      <c r="C1961" s="42">
        <v>1031.26</v>
      </c>
      <c r="D1961" s="42">
        <v>1019.55</v>
      </c>
      <c r="E1961" s="42">
        <v>1023.91</v>
      </c>
      <c r="F1961" s="2">
        <v>1740000000</v>
      </c>
    </row>
    <row r="1962" spans="1:6">
      <c r="A1962" s="32">
        <v>40905</v>
      </c>
      <c r="B1962" s="42">
        <v>1027.0899999999999</v>
      </c>
      <c r="C1962" s="42">
        <v>1028.94</v>
      </c>
      <c r="D1962" s="42">
        <v>1023.1</v>
      </c>
      <c r="E1962" s="42">
        <v>1028.19</v>
      </c>
      <c r="F1962" s="2">
        <v>1650000000</v>
      </c>
    </row>
    <row r="1963" spans="1:6">
      <c r="A1963" s="32">
        <v>40904</v>
      </c>
      <c r="B1963" s="42">
        <v>1033.56</v>
      </c>
      <c r="C1963" s="42">
        <v>1033.93</v>
      </c>
      <c r="D1963" s="42">
        <v>1024.32</v>
      </c>
      <c r="E1963" s="42">
        <v>1028.3800000000001</v>
      </c>
      <c r="F1963" s="2">
        <v>2070000000</v>
      </c>
    </row>
    <row r="1964" spans="1:6">
      <c r="A1964" s="32">
        <v>40903</v>
      </c>
      <c r="B1964" s="42">
        <v>1040.94</v>
      </c>
      <c r="C1964" s="42">
        <v>1042.32</v>
      </c>
      <c r="D1964" s="42">
        <v>1031.49</v>
      </c>
      <c r="E1964" s="42">
        <v>1032.51</v>
      </c>
      <c r="F1964" s="2">
        <v>2710000000</v>
      </c>
    </row>
    <row r="1965" spans="1:6">
      <c r="A1965" s="32">
        <v>40900</v>
      </c>
      <c r="B1965" s="42">
        <v>1045</v>
      </c>
      <c r="C1965" s="42">
        <v>1045.9100000000001</v>
      </c>
      <c r="D1965" s="42">
        <v>1037.3699999999999</v>
      </c>
      <c r="E1965" s="42">
        <v>1037.3699999999999</v>
      </c>
      <c r="F1965" s="2">
        <v>3200000000</v>
      </c>
    </row>
    <row r="1966" spans="1:6">
      <c r="A1966" s="32">
        <v>40899</v>
      </c>
      <c r="B1966" s="42">
        <v>1043.98</v>
      </c>
      <c r="C1966" s="42">
        <v>1047.0899999999999</v>
      </c>
      <c r="D1966" s="42">
        <v>1037.19</v>
      </c>
      <c r="E1966" s="42">
        <v>1042.52</v>
      </c>
      <c r="F1966" s="2">
        <v>3050000000</v>
      </c>
    </row>
    <row r="1967" spans="1:6">
      <c r="A1967" s="32">
        <v>40898</v>
      </c>
      <c r="B1967" s="42">
        <v>1045.6600000000001</v>
      </c>
      <c r="C1967" s="42">
        <v>1049.29</v>
      </c>
      <c r="D1967" s="42">
        <v>1043.75</v>
      </c>
      <c r="E1967" s="42">
        <v>1043.75</v>
      </c>
      <c r="F1967" s="2">
        <v>3320000000</v>
      </c>
    </row>
    <row r="1968" spans="1:6">
      <c r="A1968" s="32">
        <v>40897</v>
      </c>
      <c r="B1968" s="42">
        <v>1036.8599999999999</v>
      </c>
      <c r="C1968" s="42">
        <v>1041.28</v>
      </c>
      <c r="D1968" s="42">
        <v>1033.29</v>
      </c>
      <c r="E1968" s="42">
        <v>1033.29</v>
      </c>
      <c r="F1968" s="2">
        <v>3730000000</v>
      </c>
    </row>
    <row r="1969" spans="1:6">
      <c r="A1969" s="32">
        <v>40896</v>
      </c>
      <c r="B1969" s="42">
        <v>1031.68</v>
      </c>
      <c r="C1969" s="42">
        <v>1039.03</v>
      </c>
      <c r="D1969" s="42">
        <v>1029.1500000000001</v>
      </c>
      <c r="E1969" s="42">
        <v>1033.55</v>
      </c>
      <c r="F1969" s="2">
        <v>3270000000</v>
      </c>
    </row>
    <row r="1970" spans="1:6">
      <c r="A1970" s="32">
        <v>40893</v>
      </c>
      <c r="B1970" s="42">
        <v>1026.32</v>
      </c>
      <c r="C1970" s="42">
        <v>1036.75</v>
      </c>
      <c r="D1970" s="42">
        <v>1025.77</v>
      </c>
      <c r="E1970" s="42">
        <v>1034.06</v>
      </c>
      <c r="F1970" s="2">
        <v>5170000000</v>
      </c>
    </row>
    <row r="1971" spans="1:6">
      <c r="A1971" s="32">
        <v>40892</v>
      </c>
      <c r="B1971" s="42">
        <v>1012.23</v>
      </c>
      <c r="C1971" s="42">
        <v>1024.1600000000001</v>
      </c>
      <c r="D1971" s="42">
        <v>1006.16</v>
      </c>
      <c r="E1971" s="42">
        <v>1024.1600000000001</v>
      </c>
      <c r="F1971" s="2">
        <v>3910000000</v>
      </c>
    </row>
    <row r="1972" spans="1:6">
      <c r="A1972" s="32">
        <v>40891</v>
      </c>
      <c r="B1972" s="42">
        <v>1033.99</v>
      </c>
      <c r="C1972" s="42">
        <v>1037.31</v>
      </c>
      <c r="D1972" s="42">
        <v>1023.48</v>
      </c>
      <c r="E1972" s="42">
        <v>1023.48</v>
      </c>
      <c r="F1972" s="2">
        <v>3840000000</v>
      </c>
    </row>
    <row r="1973" spans="1:6">
      <c r="A1973" s="32">
        <v>40890</v>
      </c>
      <c r="B1973" s="42">
        <v>1032.31</v>
      </c>
      <c r="C1973" s="42">
        <v>1036.2</v>
      </c>
      <c r="D1973" s="42">
        <v>1026.56</v>
      </c>
      <c r="E1973" s="42">
        <v>1030.6099999999999</v>
      </c>
      <c r="F1973" s="2">
        <v>3460000000</v>
      </c>
    </row>
    <row r="1974" spans="1:6">
      <c r="A1974" s="32">
        <v>40886</v>
      </c>
      <c r="B1974" s="42">
        <v>1034.8399999999999</v>
      </c>
      <c r="C1974" s="42">
        <v>1036.81</v>
      </c>
      <c r="D1974" s="42">
        <v>1029.32</v>
      </c>
      <c r="E1974" s="42">
        <v>1034</v>
      </c>
      <c r="F1974" s="2">
        <v>3540000000</v>
      </c>
    </row>
    <row r="1975" spans="1:6">
      <c r="A1975" s="32">
        <v>40885</v>
      </c>
      <c r="B1975" s="42">
        <v>1041.67</v>
      </c>
      <c r="C1975" s="42">
        <v>1051.77</v>
      </c>
      <c r="D1975" s="42">
        <v>1039.6199999999999</v>
      </c>
      <c r="E1975" s="42">
        <v>1043.24</v>
      </c>
      <c r="F1975" s="2">
        <v>4470000000</v>
      </c>
    </row>
    <row r="1976" spans="1:6">
      <c r="A1976" s="32">
        <v>40884</v>
      </c>
      <c r="B1976" s="42">
        <v>1037.69</v>
      </c>
      <c r="C1976" s="42">
        <v>1046.73</v>
      </c>
      <c r="D1976" s="42">
        <v>1035.83</v>
      </c>
      <c r="E1976" s="42">
        <v>1046.73</v>
      </c>
      <c r="F1976" s="2">
        <v>4760000000</v>
      </c>
    </row>
    <row r="1977" spans="1:6">
      <c r="A1977" s="32">
        <v>40883</v>
      </c>
      <c r="B1977" s="42">
        <v>1034.07</v>
      </c>
      <c r="C1977" s="42">
        <v>1036.21</v>
      </c>
      <c r="D1977" s="42">
        <v>1024.48</v>
      </c>
      <c r="E1977" s="42">
        <v>1030.77</v>
      </c>
      <c r="F1977" s="2">
        <v>3680000000</v>
      </c>
    </row>
    <row r="1978" spans="1:6">
      <c r="A1978" s="32">
        <v>40879</v>
      </c>
      <c r="B1978" s="42">
        <v>1021.63</v>
      </c>
      <c r="C1978" s="42">
        <v>1030.03</v>
      </c>
      <c r="D1978" s="42">
        <v>1016.54</v>
      </c>
      <c r="E1978" s="42">
        <v>1029.3699999999999</v>
      </c>
      <c r="F1978" s="2">
        <v>3660000000</v>
      </c>
    </row>
    <row r="1979" spans="1:6">
      <c r="A1979" s="32">
        <v>40878</v>
      </c>
      <c r="B1979" s="42">
        <v>1019.71</v>
      </c>
      <c r="C1979" s="42">
        <v>1024.8800000000001</v>
      </c>
      <c r="D1979" s="42">
        <v>1014.7</v>
      </c>
      <c r="E1979" s="42">
        <v>1019.15</v>
      </c>
      <c r="F1979" s="2">
        <v>5210000000</v>
      </c>
    </row>
    <row r="1980" spans="1:6">
      <c r="A1980" s="32">
        <v>40877</v>
      </c>
      <c r="B1980">
        <v>991.75</v>
      </c>
      <c r="C1980">
        <v>997.71</v>
      </c>
      <c r="D1980">
        <v>988.99</v>
      </c>
      <c r="E1980">
        <v>995.33</v>
      </c>
      <c r="F1980" s="2">
        <v>3610000000</v>
      </c>
    </row>
    <row r="1981" spans="1:6">
      <c r="A1981" s="32">
        <v>40876</v>
      </c>
      <c r="B1981">
        <v>984.28</v>
      </c>
      <c r="C1981">
        <v>994.18</v>
      </c>
      <c r="D1981">
        <v>981.49</v>
      </c>
      <c r="E1981">
        <v>988.06</v>
      </c>
      <c r="F1981" s="2">
        <v>3540000000</v>
      </c>
    </row>
    <row r="1982" spans="1:6">
      <c r="A1982" s="32">
        <v>40875</v>
      </c>
      <c r="B1982">
        <v>974.77</v>
      </c>
      <c r="C1982">
        <v>984.49</v>
      </c>
      <c r="D1982">
        <v>974.77</v>
      </c>
      <c r="E1982">
        <v>984.18</v>
      </c>
      <c r="F1982" s="2">
        <v>2410000000</v>
      </c>
    </row>
    <row r="1983" spans="1:6">
      <c r="A1983" s="32">
        <v>40872</v>
      </c>
      <c r="B1983">
        <v>977.17</v>
      </c>
      <c r="C1983">
        <v>978.24</v>
      </c>
      <c r="D1983">
        <v>966.2</v>
      </c>
      <c r="E1983">
        <v>967.18</v>
      </c>
      <c r="F1983" s="2">
        <v>2720000000</v>
      </c>
    </row>
    <row r="1984" spans="1:6">
      <c r="A1984" s="32">
        <v>40871</v>
      </c>
      <c r="B1984">
        <v>978.95</v>
      </c>
      <c r="C1984">
        <v>982.44</v>
      </c>
      <c r="D1984">
        <v>975.72</v>
      </c>
      <c r="E1984">
        <v>980.5</v>
      </c>
      <c r="F1984" s="2">
        <v>2850000000</v>
      </c>
    </row>
    <row r="1985" spans="1:6">
      <c r="A1985" s="32">
        <v>40870</v>
      </c>
      <c r="B1985">
        <v>972.94</v>
      </c>
      <c r="C1985">
        <v>978.13</v>
      </c>
      <c r="D1985">
        <v>971.6</v>
      </c>
      <c r="E1985">
        <v>976.87</v>
      </c>
      <c r="F1985" s="2">
        <v>3130000000</v>
      </c>
    </row>
    <row r="1986" spans="1:6">
      <c r="A1986" s="32">
        <v>40869</v>
      </c>
      <c r="B1986">
        <v>970.07</v>
      </c>
      <c r="C1986">
        <v>979.2</v>
      </c>
      <c r="D1986">
        <v>965.23</v>
      </c>
      <c r="E1986">
        <v>977.36</v>
      </c>
      <c r="F1986" s="2">
        <v>2520000000</v>
      </c>
    </row>
    <row r="1987" spans="1:6">
      <c r="A1987" s="32">
        <v>40868</v>
      </c>
      <c r="B1987">
        <v>977.64</v>
      </c>
      <c r="C1987">
        <v>983.58</v>
      </c>
      <c r="D1987">
        <v>965.07</v>
      </c>
      <c r="E1987">
        <v>965.07</v>
      </c>
      <c r="F1987" s="2">
        <v>2870000000</v>
      </c>
    </row>
    <row r="1988" spans="1:6">
      <c r="A1988" s="32">
        <v>40865</v>
      </c>
      <c r="B1988">
        <v>987.68</v>
      </c>
      <c r="C1988">
        <v>990.12</v>
      </c>
      <c r="D1988">
        <v>983.16</v>
      </c>
      <c r="E1988">
        <v>984.16</v>
      </c>
      <c r="F1988" s="2">
        <v>2750000000</v>
      </c>
    </row>
    <row r="1989" spans="1:6">
      <c r="A1989" s="32">
        <v>40864</v>
      </c>
      <c r="B1989">
        <v>993.9</v>
      </c>
      <c r="C1989">
        <v>999.5</v>
      </c>
      <c r="D1989">
        <v>992.34</v>
      </c>
      <c r="E1989">
        <v>993.38</v>
      </c>
      <c r="F1989" s="2">
        <v>3790000000</v>
      </c>
    </row>
    <row r="1990" spans="1:6">
      <c r="A1990" s="32">
        <v>40863</v>
      </c>
      <c r="B1990">
        <v>983.84</v>
      </c>
      <c r="C1990">
        <v>997.11</v>
      </c>
      <c r="D1990">
        <v>983.2</v>
      </c>
      <c r="E1990">
        <v>997.11</v>
      </c>
      <c r="F1990" s="2">
        <v>3550000000</v>
      </c>
    </row>
    <row r="1991" spans="1:6">
      <c r="A1991" s="32">
        <v>40862</v>
      </c>
      <c r="B1991">
        <v>987.35</v>
      </c>
      <c r="C1991">
        <v>994.35</v>
      </c>
      <c r="D1991">
        <v>982.97</v>
      </c>
      <c r="E1991">
        <v>984.97</v>
      </c>
      <c r="F1991" s="2">
        <v>3520000000</v>
      </c>
    </row>
    <row r="1992" spans="1:6">
      <c r="A1992" s="32">
        <v>40861</v>
      </c>
      <c r="B1992">
        <v>983.03</v>
      </c>
      <c r="C1992">
        <v>991.61</v>
      </c>
      <c r="D1992">
        <v>982.29</v>
      </c>
      <c r="E1992">
        <v>984.28</v>
      </c>
      <c r="F1992" s="2">
        <v>3560000000</v>
      </c>
    </row>
    <row r="1993" spans="1:6">
      <c r="A1993" s="32">
        <v>40858</v>
      </c>
      <c r="B1993">
        <v>969.02</v>
      </c>
      <c r="C1993">
        <v>973.86</v>
      </c>
      <c r="D1993">
        <v>964.65</v>
      </c>
      <c r="E1993">
        <v>970.97</v>
      </c>
      <c r="F1993" s="2">
        <v>3540000000</v>
      </c>
    </row>
    <row r="1994" spans="1:6">
      <c r="A1994" s="32">
        <v>40857</v>
      </c>
      <c r="B1994">
        <v>951.98</v>
      </c>
      <c r="C1994">
        <v>968.3</v>
      </c>
      <c r="D1994">
        <v>951.98</v>
      </c>
      <c r="E1994">
        <v>968.3</v>
      </c>
      <c r="F1994" s="2">
        <v>3190000000</v>
      </c>
    </row>
    <row r="1995" spans="1:6">
      <c r="A1995" s="32">
        <v>40856</v>
      </c>
      <c r="B1995">
        <v>980.78</v>
      </c>
      <c r="C1995">
        <v>985.37</v>
      </c>
      <c r="D1995">
        <v>967.84</v>
      </c>
      <c r="E1995">
        <v>967.84</v>
      </c>
      <c r="F1995" s="2">
        <v>4260000000</v>
      </c>
    </row>
    <row r="1996" spans="1:6">
      <c r="A1996" s="32">
        <v>40855</v>
      </c>
      <c r="B1996">
        <v>962.77</v>
      </c>
      <c r="C1996">
        <v>983.44</v>
      </c>
      <c r="D1996">
        <v>960.91</v>
      </c>
      <c r="E1996">
        <v>983.44</v>
      </c>
      <c r="F1996" s="2">
        <v>2390000000</v>
      </c>
    </row>
    <row r="1997" spans="1:6">
      <c r="A1997" s="32">
        <v>40854</v>
      </c>
      <c r="B1997">
        <v>962.71</v>
      </c>
      <c r="C1997">
        <v>965.63</v>
      </c>
      <c r="D1997">
        <v>954.51</v>
      </c>
      <c r="E1997">
        <v>956.02</v>
      </c>
      <c r="F1997" s="2">
        <v>1880000000</v>
      </c>
    </row>
    <row r="1998" spans="1:6">
      <c r="A1998" s="32">
        <v>40851</v>
      </c>
      <c r="B1998">
        <v>967.34</v>
      </c>
      <c r="C1998">
        <v>969.84</v>
      </c>
      <c r="D1998">
        <v>957.31</v>
      </c>
      <c r="E1998">
        <v>957.31</v>
      </c>
      <c r="F1998" s="2">
        <v>3140000000</v>
      </c>
    </row>
    <row r="1999" spans="1:6">
      <c r="A1999" s="32">
        <v>40850</v>
      </c>
      <c r="B1999">
        <v>952.21</v>
      </c>
      <c r="C1999">
        <v>957.56</v>
      </c>
      <c r="D1999">
        <v>945.4</v>
      </c>
      <c r="E1999">
        <v>957.56</v>
      </c>
      <c r="F1999" s="2">
        <v>2300000000</v>
      </c>
    </row>
    <row r="2000" spans="1:6">
      <c r="A2000" s="32">
        <v>40849</v>
      </c>
      <c r="B2000">
        <v>950.69</v>
      </c>
      <c r="C2000">
        <v>968.86</v>
      </c>
      <c r="D2000">
        <v>948.24</v>
      </c>
      <c r="E2000">
        <v>965.8</v>
      </c>
      <c r="F2000" s="2">
        <v>2660000000</v>
      </c>
    </row>
    <row r="2001" spans="1:6">
      <c r="A2001" s="32">
        <v>40848</v>
      </c>
      <c r="B2001">
        <v>970.76</v>
      </c>
      <c r="C2001">
        <v>978.64</v>
      </c>
      <c r="D2001">
        <v>955.13</v>
      </c>
      <c r="E2001">
        <v>956.59</v>
      </c>
      <c r="F2001" s="2">
        <v>2580000000</v>
      </c>
    </row>
    <row r="2002" spans="1:6">
      <c r="A2002" s="32">
        <v>40847</v>
      </c>
      <c r="B2002">
        <v>976.54</v>
      </c>
      <c r="C2002">
        <v>981.83</v>
      </c>
      <c r="D2002">
        <v>969.85</v>
      </c>
      <c r="E2002">
        <v>974.75</v>
      </c>
      <c r="F2002" s="2">
        <v>2450000000</v>
      </c>
    </row>
    <row r="2003" spans="1:6">
      <c r="A2003" s="32">
        <v>40844</v>
      </c>
      <c r="B2003">
        <v>970.86</v>
      </c>
      <c r="C2003">
        <v>985.7</v>
      </c>
      <c r="D2003">
        <v>970.86</v>
      </c>
      <c r="E2003">
        <v>973.18</v>
      </c>
      <c r="F2003" s="2">
        <v>3970000000</v>
      </c>
    </row>
    <row r="2004" spans="1:6">
      <c r="A2004" s="32">
        <v>40843</v>
      </c>
      <c r="B2004">
        <v>949.92</v>
      </c>
      <c r="C2004">
        <v>963.57</v>
      </c>
      <c r="D2004">
        <v>949.92</v>
      </c>
      <c r="E2004">
        <v>960.17</v>
      </c>
      <c r="F2004" s="2">
        <v>3530000000</v>
      </c>
    </row>
    <row r="2005" spans="1:6">
      <c r="A2005" s="32">
        <v>40842</v>
      </c>
      <c r="B2005">
        <v>937.05</v>
      </c>
      <c r="C2005">
        <v>945.94</v>
      </c>
      <c r="D2005">
        <v>930.3</v>
      </c>
      <c r="E2005">
        <v>938.68</v>
      </c>
      <c r="F2005" s="2">
        <v>2400000000</v>
      </c>
    </row>
    <row r="2006" spans="1:6">
      <c r="A2006" s="32">
        <v>40841</v>
      </c>
      <c r="B2006">
        <v>928.38</v>
      </c>
      <c r="C2006">
        <v>943.89</v>
      </c>
      <c r="D2006">
        <v>923.98</v>
      </c>
      <c r="E2006">
        <v>942.55</v>
      </c>
      <c r="F2006" s="2">
        <v>2420000000</v>
      </c>
    </row>
    <row r="2007" spans="1:6">
      <c r="A2007" s="32">
        <v>40837</v>
      </c>
      <c r="B2007">
        <v>907.71</v>
      </c>
      <c r="C2007">
        <v>921.61</v>
      </c>
      <c r="D2007">
        <v>905.7</v>
      </c>
      <c r="E2007">
        <v>916.34</v>
      </c>
      <c r="F2007" s="2">
        <v>1860000000</v>
      </c>
    </row>
    <row r="2008" spans="1:6">
      <c r="A2008" s="32">
        <v>40836</v>
      </c>
      <c r="B2008">
        <v>925.7</v>
      </c>
      <c r="C2008">
        <v>925.7</v>
      </c>
      <c r="D2008">
        <v>902.63</v>
      </c>
      <c r="E2008">
        <v>909.1</v>
      </c>
      <c r="F2008" s="2">
        <v>3040000000</v>
      </c>
    </row>
    <row r="2009" spans="1:6">
      <c r="A2009" s="32">
        <v>40835</v>
      </c>
      <c r="B2009">
        <v>958.91</v>
      </c>
      <c r="C2009">
        <v>959.01</v>
      </c>
      <c r="D2009">
        <v>933.39</v>
      </c>
      <c r="E2009">
        <v>938.19</v>
      </c>
      <c r="F2009" s="2">
        <v>3090000000</v>
      </c>
    </row>
    <row r="2010" spans="1:6">
      <c r="A2010" s="32">
        <v>40834</v>
      </c>
      <c r="B2010">
        <v>951.32</v>
      </c>
      <c r="C2010">
        <v>952.75</v>
      </c>
      <c r="D2010">
        <v>938.44</v>
      </c>
      <c r="E2010">
        <v>952.75</v>
      </c>
      <c r="F2010" s="2">
        <v>3150000000</v>
      </c>
    </row>
    <row r="2011" spans="1:6">
      <c r="A2011" s="32">
        <v>40833</v>
      </c>
      <c r="B2011">
        <v>963.72</v>
      </c>
      <c r="C2011">
        <v>973.4</v>
      </c>
      <c r="D2011">
        <v>960.91</v>
      </c>
      <c r="E2011">
        <v>971.63</v>
      </c>
      <c r="F2011" s="2">
        <v>3720000000</v>
      </c>
    </row>
    <row r="2012" spans="1:6">
      <c r="A2012" s="32">
        <v>40830</v>
      </c>
      <c r="B2012">
        <v>935.8</v>
      </c>
      <c r="C2012">
        <v>955.81</v>
      </c>
      <c r="D2012">
        <v>933.81</v>
      </c>
      <c r="E2012">
        <v>955.81</v>
      </c>
      <c r="F2012" s="2">
        <v>3630000000</v>
      </c>
    </row>
    <row r="2013" spans="1:6">
      <c r="A2013" s="32">
        <v>40829</v>
      </c>
      <c r="B2013">
        <v>959.11</v>
      </c>
      <c r="C2013">
        <v>959.36</v>
      </c>
      <c r="D2013">
        <v>936.82</v>
      </c>
      <c r="E2013">
        <v>936.82</v>
      </c>
      <c r="F2013" s="2">
        <v>5490000000</v>
      </c>
    </row>
    <row r="2014" spans="1:6">
      <c r="A2014" s="32">
        <v>40828</v>
      </c>
      <c r="B2014">
        <v>944.06</v>
      </c>
      <c r="C2014">
        <v>954.98</v>
      </c>
      <c r="D2014">
        <v>935.65</v>
      </c>
      <c r="E2014">
        <v>952.77</v>
      </c>
      <c r="F2014" s="2">
        <v>4630000000</v>
      </c>
    </row>
    <row r="2015" spans="1:6">
      <c r="A2015" s="32">
        <v>40827</v>
      </c>
      <c r="B2015">
        <v>937.53</v>
      </c>
      <c r="C2015">
        <v>950.9</v>
      </c>
      <c r="D2015">
        <v>937.53</v>
      </c>
      <c r="E2015">
        <v>944.8</v>
      </c>
      <c r="F2015" s="2">
        <v>6380000000</v>
      </c>
    </row>
    <row r="2016" spans="1:6">
      <c r="A2016" s="32">
        <v>40826</v>
      </c>
      <c r="B2016">
        <v>901.95</v>
      </c>
      <c r="C2016">
        <v>923.17</v>
      </c>
      <c r="D2016">
        <v>896.57</v>
      </c>
      <c r="E2016">
        <v>923.17</v>
      </c>
      <c r="F2016" s="2">
        <v>2940000000</v>
      </c>
    </row>
    <row r="2017" spans="1:6">
      <c r="A2017" s="32">
        <v>40823</v>
      </c>
      <c r="B2017">
        <v>932.85</v>
      </c>
      <c r="C2017">
        <v>934.67</v>
      </c>
      <c r="D2017">
        <v>909.17</v>
      </c>
      <c r="E2017">
        <v>909.17</v>
      </c>
      <c r="F2017" s="2">
        <v>4090000000</v>
      </c>
    </row>
    <row r="2018" spans="1:6">
      <c r="A2018" s="32">
        <v>40822</v>
      </c>
      <c r="B2018">
        <v>887.54</v>
      </c>
      <c r="C2018">
        <v>914.19</v>
      </c>
      <c r="D2018">
        <v>884.75</v>
      </c>
      <c r="E2018">
        <v>913.72</v>
      </c>
      <c r="F2018" s="2">
        <v>4170000000</v>
      </c>
    </row>
    <row r="2019" spans="1:6">
      <c r="A2019" s="32">
        <v>40821</v>
      </c>
      <c r="B2019">
        <v>862.43</v>
      </c>
      <c r="C2019">
        <v>873.85</v>
      </c>
      <c r="D2019">
        <v>857.11</v>
      </c>
      <c r="E2019">
        <v>862.65</v>
      </c>
      <c r="F2019" s="2">
        <v>2920000000</v>
      </c>
    </row>
    <row r="2020" spans="1:6">
      <c r="A2020" s="32">
        <v>40820</v>
      </c>
      <c r="B2020">
        <v>872.23</v>
      </c>
      <c r="C2020">
        <v>877.97</v>
      </c>
      <c r="D2020">
        <v>843.69</v>
      </c>
      <c r="E2020">
        <v>855.45</v>
      </c>
      <c r="F2020" s="2">
        <v>4540000000</v>
      </c>
    </row>
    <row r="2021" spans="1:6">
      <c r="A2021" s="32">
        <v>40819</v>
      </c>
      <c r="B2021">
        <v>883.87</v>
      </c>
      <c r="C2021">
        <v>885.37</v>
      </c>
      <c r="D2021">
        <v>865.95</v>
      </c>
      <c r="E2021">
        <v>869.31</v>
      </c>
      <c r="F2021" s="2">
        <v>5770000000</v>
      </c>
    </row>
    <row r="2022" spans="1:6">
      <c r="A2022" s="32">
        <v>40816</v>
      </c>
      <c r="B2022">
        <v>930.12</v>
      </c>
      <c r="C2022">
        <v>933.48</v>
      </c>
      <c r="D2022">
        <v>914.82</v>
      </c>
      <c r="E2022">
        <v>916.21</v>
      </c>
      <c r="F2022" s="2">
        <v>2970000000</v>
      </c>
    </row>
    <row r="2023" spans="1:6">
      <c r="A2023" s="32">
        <v>40815</v>
      </c>
      <c r="B2023">
        <v>919.18</v>
      </c>
      <c r="C2023">
        <v>938.22</v>
      </c>
      <c r="D2023">
        <v>918.13</v>
      </c>
      <c r="E2023">
        <v>926.21</v>
      </c>
      <c r="F2023" s="2">
        <v>3090000000</v>
      </c>
    </row>
    <row r="2024" spans="1:6">
      <c r="A2024" s="32">
        <v>40814</v>
      </c>
      <c r="B2024">
        <v>939.24</v>
      </c>
      <c r="C2024">
        <v>949.34</v>
      </c>
      <c r="D2024">
        <v>930.64</v>
      </c>
      <c r="E2024">
        <v>931.6</v>
      </c>
      <c r="F2024" s="2">
        <v>3660000000</v>
      </c>
    </row>
    <row r="2025" spans="1:6">
      <c r="A2025" s="32">
        <v>40813</v>
      </c>
      <c r="B2025">
        <v>928.05</v>
      </c>
      <c r="C2025">
        <v>946.62</v>
      </c>
      <c r="D2025">
        <v>907.51</v>
      </c>
      <c r="E2025">
        <v>946.62</v>
      </c>
      <c r="F2025" s="2">
        <v>4400000000</v>
      </c>
    </row>
    <row r="2026" spans="1:6">
      <c r="A2026" s="32">
        <v>40812</v>
      </c>
      <c r="B2026">
        <v>947.53</v>
      </c>
      <c r="C2026">
        <v>947.53</v>
      </c>
      <c r="D2026">
        <v>867.86</v>
      </c>
      <c r="E2026">
        <v>904.06</v>
      </c>
      <c r="F2026" s="2">
        <v>7390000000</v>
      </c>
    </row>
    <row r="2027" spans="1:6">
      <c r="A2027" s="32">
        <v>40809</v>
      </c>
      <c r="B2027">
        <v>971.66</v>
      </c>
      <c r="C2027">
        <v>972.53</v>
      </c>
      <c r="D2027">
        <v>940.42</v>
      </c>
      <c r="E2027">
        <v>958.16</v>
      </c>
      <c r="F2027" s="2">
        <v>5380000000</v>
      </c>
    </row>
    <row r="2028" spans="1:6">
      <c r="A2028" s="32">
        <v>40808</v>
      </c>
      <c r="B2028" s="42">
        <v>1014.58</v>
      </c>
      <c r="C2028" s="42">
        <v>1014.75</v>
      </c>
      <c r="D2028">
        <v>990.59</v>
      </c>
      <c r="E2028">
        <v>990.59</v>
      </c>
      <c r="F2028" s="2">
        <v>4540000000</v>
      </c>
    </row>
    <row r="2029" spans="1:6">
      <c r="A2029" s="32">
        <v>40807</v>
      </c>
      <c r="B2029" s="42">
        <v>1023.03</v>
      </c>
      <c r="C2029" s="42">
        <v>1031.73</v>
      </c>
      <c r="D2029" s="42">
        <v>1021.26</v>
      </c>
      <c r="E2029" s="42">
        <v>1029.5899999999999</v>
      </c>
      <c r="F2029" s="2">
        <v>2020000000</v>
      </c>
    </row>
    <row r="2030" spans="1:6">
      <c r="A2030" s="32">
        <v>40806</v>
      </c>
      <c r="B2030" s="42">
        <v>1016.15</v>
      </c>
      <c r="C2030" s="42">
        <v>1026.28</v>
      </c>
      <c r="D2030" s="42">
        <v>1009.5</v>
      </c>
      <c r="E2030" s="42">
        <v>1026.28</v>
      </c>
      <c r="F2030" s="2">
        <v>2290000000</v>
      </c>
    </row>
    <row r="2031" spans="1:6">
      <c r="A2031" s="32">
        <v>40805</v>
      </c>
      <c r="B2031" s="42">
        <v>1026.1300000000001</v>
      </c>
      <c r="C2031" s="42">
        <v>1028.42</v>
      </c>
      <c r="D2031" s="42">
        <v>1017.19</v>
      </c>
      <c r="E2031" s="42">
        <v>1017.19</v>
      </c>
      <c r="F2031" s="2">
        <v>2210000000</v>
      </c>
    </row>
    <row r="2032" spans="1:6">
      <c r="A2032" s="32">
        <v>40802</v>
      </c>
      <c r="B2032" s="42">
        <v>1043.08</v>
      </c>
      <c r="C2032" s="42">
        <v>1044.94</v>
      </c>
      <c r="D2032" s="42">
        <v>1030.6099999999999</v>
      </c>
      <c r="E2032" s="42">
        <v>1033.3399999999999</v>
      </c>
      <c r="F2032" s="2">
        <v>3110000000</v>
      </c>
    </row>
    <row r="2033" spans="1:6">
      <c r="A2033" s="32">
        <v>40801</v>
      </c>
      <c r="B2033" s="42">
        <v>1027.92</v>
      </c>
      <c r="C2033" s="42">
        <v>1036.21</v>
      </c>
      <c r="D2033" s="42">
        <v>1020.15</v>
      </c>
      <c r="E2033" s="42">
        <v>1036.21</v>
      </c>
      <c r="F2033" s="2">
        <v>2880000000</v>
      </c>
    </row>
    <row r="2034" spans="1:6">
      <c r="A2034" s="32">
        <v>40800</v>
      </c>
      <c r="B2034" s="42">
        <v>1035.92</v>
      </c>
      <c r="C2034" s="42">
        <v>1036.56</v>
      </c>
      <c r="D2034" s="42">
        <v>1011.58</v>
      </c>
      <c r="E2034" s="42">
        <v>1022.96</v>
      </c>
      <c r="F2034" s="2">
        <v>3620000000</v>
      </c>
    </row>
    <row r="2035" spans="1:6">
      <c r="A2035" s="32">
        <v>40799</v>
      </c>
      <c r="B2035" s="42">
        <v>1045.0899999999999</v>
      </c>
      <c r="C2035" s="42">
        <v>1047.33</v>
      </c>
      <c r="D2035" s="42">
        <v>1027.7</v>
      </c>
      <c r="E2035" s="42">
        <v>1031.67</v>
      </c>
      <c r="F2035" s="2">
        <v>3240000000</v>
      </c>
    </row>
    <row r="2036" spans="1:6">
      <c r="A2036" s="32">
        <v>40798</v>
      </c>
      <c r="B2036" s="42">
        <v>1048.79</v>
      </c>
      <c r="C2036" s="42">
        <v>1051.21</v>
      </c>
      <c r="D2036" s="42">
        <v>1036.81</v>
      </c>
      <c r="E2036" s="42">
        <v>1040.83</v>
      </c>
      <c r="F2036" s="2">
        <v>3540000000</v>
      </c>
    </row>
    <row r="2037" spans="1:6">
      <c r="A2037" s="32">
        <v>40795</v>
      </c>
      <c r="B2037" s="42">
        <v>1073.01</v>
      </c>
      <c r="C2037" s="42">
        <v>1073.92</v>
      </c>
      <c r="D2037" s="42">
        <v>1061.58</v>
      </c>
      <c r="E2037" s="42">
        <v>1062.3699999999999</v>
      </c>
      <c r="F2037" s="2">
        <v>6630000000</v>
      </c>
    </row>
    <row r="2038" spans="1:6">
      <c r="A2038" s="32">
        <v>40794</v>
      </c>
      <c r="B2038" s="42">
        <v>1064.9100000000001</v>
      </c>
      <c r="C2038" s="42">
        <v>1072.21</v>
      </c>
      <c r="D2038" s="42">
        <v>1061.92</v>
      </c>
      <c r="E2038" s="42">
        <v>1072.21</v>
      </c>
      <c r="F2038" s="2">
        <v>4030000000</v>
      </c>
    </row>
    <row r="2039" spans="1:6">
      <c r="A2039" s="32">
        <v>40793</v>
      </c>
      <c r="B2039" s="42">
        <v>1058.75</v>
      </c>
      <c r="C2039" s="42">
        <v>1068.72</v>
      </c>
      <c r="D2039" s="42">
        <v>1057.72</v>
      </c>
      <c r="E2039" s="42">
        <v>1068.72</v>
      </c>
      <c r="F2039" s="2">
        <v>4040000000</v>
      </c>
    </row>
    <row r="2040" spans="1:6">
      <c r="A2040" s="32">
        <v>40792</v>
      </c>
      <c r="B2040" s="42">
        <v>1043.3900000000001</v>
      </c>
      <c r="C2040" s="42">
        <v>1055.5999999999999</v>
      </c>
      <c r="D2040" s="42">
        <v>1040.58</v>
      </c>
      <c r="E2040" s="42">
        <v>1055.5999999999999</v>
      </c>
      <c r="F2040" s="2">
        <v>3200000000</v>
      </c>
    </row>
    <row r="2041" spans="1:6">
      <c r="A2041" s="32">
        <v>40791</v>
      </c>
      <c r="B2041" s="42">
        <v>1055.73</v>
      </c>
      <c r="C2041" s="42">
        <v>1059.55</v>
      </c>
      <c r="D2041" s="42">
        <v>1046.6400000000001</v>
      </c>
      <c r="E2041" s="42">
        <v>1049.23</v>
      </c>
      <c r="F2041" s="2">
        <v>3150000000</v>
      </c>
    </row>
    <row r="2042" spans="1:6">
      <c r="A2042" s="32">
        <v>40788</v>
      </c>
      <c r="B2042" s="42">
        <v>1072.6199999999999</v>
      </c>
      <c r="C2042" s="42">
        <v>1073.42</v>
      </c>
      <c r="D2042" s="42">
        <v>1058.95</v>
      </c>
      <c r="E2042" s="42">
        <v>1065.18</v>
      </c>
      <c r="F2042" s="2">
        <v>2890000000</v>
      </c>
    </row>
    <row r="2043" spans="1:6">
      <c r="A2043" s="32">
        <v>40787</v>
      </c>
      <c r="B2043" s="42">
        <v>1081.6300000000001</v>
      </c>
      <c r="C2043" s="42">
        <v>1081.6300000000001</v>
      </c>
      <c r="D2043" s="42">
        <v>1067.8699999999999</v>
      </c>
      <c r="E2043" s="42">
        <v>1069.1300000000001</v>
      </c>
      <c r="F2043" s="2">
        <v>3510000000</v>
      </c>
    </row>
    <row r="2044" spans="1:6">
      <c r="A2044" s="32">
        <v>40786</v>
      </c>
      <c r="B2044" s="42">
        <v>1055.5</v>
      </c>
      <c r="C2044" s="42">
        <v>1070.05</v>
      </c>
      <c r="D2044" s="42">
        <v>1055.03</v>
      </c>
      <c r="E2044" s="42">
        <v>1070.05</v>
      </c>
      <c r="F2044" s="2">
        <v>3510000000</v>
      </c>
    </row>
    <row r="2045" spans="1:6">
      <c r="A2045" s="32">
        <v>40785</v>
      </c>
      <c r="B2045" s="42">
        <v>1065.73</v>
      </c>
      <c r="C2045" s="42">
        <v>1068.71</v>
      </c>
      <c r="D2045" s="42">
        <v>1044.97</v>
      </c>
      <c r="E2045" s="42">
        <v>1044.97</v>
      </c>
      <c r="F2045" s="2">
        <v>3770000000</v>
      </c>
    </row>
    <row r="2046" spans="1:6">
      <c r="A2046" s="32">
        <v>40784</v>
      </c>
      <c r="B2046" s="42">
        <v>1043.01</v>
      </c>
      <c r="C2046" s="42">
        <v>1057.55</v>
      </c>
      <c r="D2046" s="42">
        <v>1037.22</v>
      </c>
      <c r="E2046" s="42">
        <v>1055.6300000000001</v>
      </c>
      <c r="F2046" s="2">
        <v>3300000000</v>
      </c>
    </row>
    <row r="2047" spans="1:6">
      <c r="A2047" s="32">
        <v>40781</v>
      </c>
      <c r="B2047" s="42">
        <v>1015.66</v>
      </c>
      <c r="C2047" s="42">
        <v>1037.24</v>
      </c>
      <c r="D2047" s="42">
        <v>1012.15</v>
      </c>
      <c r="E2047" s="42">
        <v>1037.22</v>
      </c>
      <c r="F2047" s="2">
        <v>4560000000</v>
      </c>
    </row>
    <row r="2048" spans="1:6">
      <c r="A2048" s="32">
        <v>40780</v>
      </c>
      <c r="B2048" s="42">
        <v>1056.73</v>
      </c>
      <c r="C2048" s="42">
        <v>1057.19</v>
      </c>
      <c r="D2048" s="42">
        <v>1025</v>
      </c>
      <c r="E2048" s="42">
        <v>1025</v>
      </c>
      <c r="F2048" s="2">
        <v>5560000000</v>
      </c>
    </row>
    <row r="2049" spans="1:6">
      <c r="A2049" s="32">
        <v>40779</v>
      </c>
      <c r="B2049" s="42">
        <v>1055.31</v>
      </c>
      <c r="C2049" s="42">
        <v>1061.74</v>
      </c>
      <c r="D2049" s="42">
        <v>1040.94</v>
      </c>
      <c r="E2049" s="42">
        <v>1046.43</v>
      </c>
      <c r="F2049" s="2">
        <v>4630000000</v>
      </c>
    </row>
    <row r="2050" spans="1:6">
      <c r="A2050" s="32">
        <v>40778</v>
      </c>
      <c r="B2050" s="42">
        <v>1068.33</v>
      </c>
      <c r="C2050" s="42">
        <v>1069.76</v>
      </c>
      <c r="D2050" s="42">
        <v>1055.98</v>
      </c>
      <c r="E2050" s="42">
        <v>1057.28</v>
      </c>
      <c r="F2050" s="2">
        <v>4920000000</v>
      </c>
    </row>
    <row r="2051" spans="1:6">
      <c r="A2051" s="32">
        <v>40777</v>
      </c>
      <c r="B2051" s="42">
        <v>1068.46</v>
      </c>
      <c r="C2051" s="42">
        <v>1069.01</v>
      </c>
      <c r="D2051" s="42">
        <v>1051.72</v>
      </c>
      <c r="E2051" s="42">
        <v>1067.8399999999999</v>
      </c>
      <c r="F2051" s="2">
        <v>4510000000</v>
      </c>
    </row>
    <row r="2052" spans="1:6">
      <c r="A2052" s="32">
        <v>40774</v>
      </c>
      <c r="B2052" s="42">
        <v>1073.45</v>
      </c>
      <c r="C2052" s="42">
        <v>1079.73</v>
      </c>
      <c r="D2052" s="42">
        <v>1066.08</v>
      </c>
      <c r="E2052" s="42">
        <v>1069.2</v>
      </c>
      <c r="F2052" s="2">
        <v>5380000000</v>
      </c>
    </row>
    <row r="2053" spans="1:6">
      <c r="A2053" s="32">
        <v>40773</v>
      </c>
      <c r="B2053" s="42">
        <v>1098.56</v>
      </c>
      <c r="C2053" s="42">
        <v>1102.77</v>
      </c>
      <c r="D2053" s="42">
        <v>1088.1300000000001</v>
      </c>
      <c r="E2053" s="42">
        <v>1089.0899999999999</v>
      </c>
      <c r="F2053" s="2">
        <v>5450000000</v>
      </c>
    </row>
    <row r="2054" spans="1:6">
      <c r="A2054" s="32">
        <v>40772</v>
      </c>
      <c r="B2054" s="42">
        <v>1085.4100000000001</v>
      </c>
      <c r="C2054" s="42">
        <v>1095.28</v>
      </c>
      <c r="D2054" s="42">
        <v>1084.75</v>
      </c>
      <c r="E2054" s="42">
        <v>1093.51</v>
      </c>
      <c r="F2054" s="2">
        <v>5600000000</v>
      </c>
    </row>
    <row r="2055" spans="1:6">
      <c r="A2055" s="32">
        <v>40771</v>
      </c>
      <c r="B2055" s="42">
        <v>1091.04</v>
      </c>
      <c r="C2055" s="42">
        <v>1091.3499999999999</v>
      </c>
      <c r="D2055" s="42">
        <v>1077.02</v>
      </c>
      <c r="E2055" s="42">
        <v>1077.02</v>
      </c>
      <c r="F2055" s="2">
        <v>4260000000</v>
      </c>
    </row>
    <row r="2056" spans="1:6">
      <c r="A2056" s="32">
        <v>40770</v>
      </c>
      <c r="B2056" s="42">
        <v>1075.29</v>
      </c>
      <c r="C2056" s="42">
        <v>1086.94</v>
      </c>
      <c r="D2056" s="42">
        <v>1074.17</v>
      </c>
      <c r="E2056" s="42">
        <v>1086.32</v>
      </c>
      <c r="F2056" s="2">
        <v>4220000000</v>
      </c>
    </row>
    <row r="2057" spans="1:6">
      <c r="A2057" s="32">
        <v>40766</v>
      </c>
      <c r="B2057" s="42">
        <v>1056.3800000000001</v>
      </c>
      <c r="C2057" s="42">
        <v>1063.4100000000001</v>
      </c>
      <c r="D2057" s="42">
        <v>1054.03</v>
      </c>
      <c r="E2057" s="42">
        <v>1062.07</v>
      </c>
      <c r="F2057" s="2">
        <v>3900000000</v>
      </c>
    </row>
    <row r="2058" spans="1:6">
      <c r="A2058" s="32">
        <v>40765</v>
      </c>
      <c r="B2058" s="42">
        <v>1062.3900000000001</v>
      </c>
      <c r="C2058" s="42">
        <v>1066.83</v>
      </c>
      <c r="D2058" s="42">
        <v>1047.44</v>
      </c>
      <c r="E2058" s="42">
        <v>1060.21</v>
      </c>
      <c r="F2058" s="2">
        <v>4810000000</v>
      </c>
    </row>
    <row r="2059" spans="1:6">
      <c r="A2059" s="32">
        <v>40764</v>
      </c>
      <c r="B2059" s="42">
        <v>1038.93</v>
      </c>
      <c r="C2059" s="42">
        <v>1071.95</v>
      </c>
      <c r="D2059" s="42">
        <v>1033.3800000000001</v>
      </c>
      <c r="E2059" s="42">
        <v>1042.54</v>
      </c>
      <c r="F2059" s="2">
        <v>6700000000</v>
      </c>
    </row>
    <row r="2060" spans="1:6">
      <c r="A2060" s="32">
        <v>40763</v>
      </c>
      <c r="B2060" s="42">
        <v>1071.83</v>
      </c>
      <c r="C2060" s="42">
        <v>1087.1600000000001</v>
      </c>
      <c r="D2060" s="42">
        <v>1061.69</v>
      </c>
      <c r="E2060" s="42">
        <v>1078.19</v>
      </c>
      <c r="F2060" s="2">
        <v>4980000000</v>
      </c>
    </row>
    <row r="2061" spans="1:6">
      <c r="A2061" s="32">
        <v>40760</v>
      </c>
      <c r="B2061" s="42">
        <v>1093.21</v>
      </c>
      <c r="C2061" s="42">
        <v>1094.27</v>
      </c>
      <c r="D2061" s="42">
        <v>1077.1199999999999</v>
      </c>
      <c r="E2061" s="42">
        <v>1093.3800000000001</v>
      </c>
      <c r="F2061" s="2">
        <v>7940000000</v>
      </c>
    </row>
    <row r="2062" spans="1:6">
      <c r="A2062" s="32">
        <v>40759</v>
      </c>
      <c r="B2062" s="42">
        <v>1134.76</v>
      </c>
      <c r="C2062" s="42">
        <v>1137.1199999999999</v>
      </c>
      <c r="D2062" s="42">
        <v>1122.3699999999999</v>
      </c>
      <c r="E2062" s="42">
        <v>1124.01</v>
      </c>
      <c r="F2062" s="2">
        <v>5220000000</v>
      </c>
    </row>
    <row r="2063" spans="1:6">
      <c r="A2063" s="32">
        <v>40758</v>
      </c>
      <c r="B2063" s="42">
        <v>1126.93</v>
      </c>
      <c r="C2063" s="42">
        <v>1134.3499999999999</v>
      </c>
      <c r="D2063" s="42">
        <v>1125.6300000000001</v>
      </c>
      <c r="E2063" s="42">
        <v>1133.46</v>
      </c>
      <c r="F2063" s="2">
        <v>5950000000</v>
      </c>
    </row>
    <row r="2064" spans="1:6">
      <c r="A2064" s="32">
        <v>40757</v>
      </c>
      <c r="B2064" s="42">
        <v>1143.18</v>
      </c>
      <c r="C2064" s="42">
        <v>1145.3699999999999</v>
      </c>
      <c r="D2064" s="42">
        <v>1133.54</v>
      </c>
      <c r="E2064" s="42">
        <v>1139.6099999999999</v>
      </c>
      <c r="F2064" s="2">
        <v>6310000000</v>
      </c>
    </row>
    <row r="2065" spans="1:6">
      <c r="A2065" s="32">
        <v>40756</v>
      </c>
      <c r="B2065" s="42">
        <v>1143.47</v>
      </c>
      <c r="C2065" s="42">
        <v>1148.28</v>
      </c>
      <c r="D2065" s="42">
        <v>1141.17</v>
      </c>
      <c r="E2065" s="42">
        <v>1144.1400000000001</v>
      </c>
      <c r="F2065" s="2">
        <v>5200000000</v>
      </c>
    </row>
    <row r="2066" spans="1:6">
      <c r="A2066" s="32">
        <v>40753</v>
      </c>
      <c r="B2066" s="42">
        <v>1133.97</v>
      </c>
      <c r="C2066" s="42">
        <v>1136.26</v>
      </c>
      <c r="D2066" s="42">
        <v>1126.5999999999999</v>
      </c>
      <c r="E2066" s="42">
        <v>1133.53</v>
      </c>
      <c r="F2066" s="2">
        <v>5290000000</v>
      </c>
    </row>
    <row r="2067" spans="1:6">
      <c r="A2067" s="32">
        <v>40752</v>
      </c>
      <c r="B2067" s="42">
        <v>1126.26</v>
      </c>
      <c r="C2067" s="42">
        <v>1135.25</v>
      </c>
      <c r="D2067" s="42">
        <v>1125.46</v>
      </c>
      <c r="E2067" s="42">
        <v>1134.3800000000001</v>
      </c>
      <c r="F2067" s="2">
        <v>5080000000</v>
      </c>
    </row>
    <row r="2068" spans="1:6">
      <c r="A2068" s="32">
        <v>40751</v>
      </c>
      <c r="B2068" s="42">
        <v>1124.48</v>
      </c>
      <c r="C2068" s="42">
        <v>1131.4000000000001</v>
      </c>
      <c r="D2068" s="42">
        <v>1124.48</v>
      </c>
      <c r="E2068" s="42">
        <v>1130.71</v>
      </c>
      <c r="F2068" s="2">
        <v>7060000000</v>
      </c>
    </row>
    <row r="2069" spans="1:6">
      <c r="A2069" s="32">
        <v>40750</v>
      </c>
      <c r="B2069" s="42">
        <v>1128.1500000000001</v>
      </c>
      <c r="C2069" s="42">
        <v>1130.56</v>
      </c>
      <c r="D2069" s="42">
        <v>1119.1600000000001</v>
      </c>
      <c r="E2069" s="42">
        <v>1121.6300000000001</v>
      </c>
      <c r="F2069" s="2">
        <v>6710000000</v>
      </c>
    </row>
    <row r="2070" spans="1:6">
      <c r="A2070" s="32">
        <v>40749</v>
      </c>
      <c r="B2070" s="42">
        <v>1115.75</v>
      </c>
      <c r="C2070" s="42">
        <v>1127.58</v>
      </c>
      <c r="D2070" s="42">
        <v>1115.1099999999999</v>
      </c>
      <c r="E2070" s="42">
        <v>1127.58</v>
      </c>
      <c r="F2070" s="2">
        <v>4870000000</v>
      </c>
    </row>
    <row r="2071" spans="1:6">
      <c r="A2071" s="32">
        <v>40746</v>
      </c>
      <c r="B2071" s="42">
        <v>1113.49</v>
      </c>
      <c r="C2071" s="42">
        <v>1121.99</v>
      </c>
      <c r="D2071" s="42">
        <v>1113.49</v>
      </c>
      <c r="E2071" s="42">
        <v>1121.04</v>
      </c>
      <c r="F2071" s="2">
        <v>6030000000</v>
      </c>
    </row>
    <row r="2072" spans="1:6">
      <c r="A2072" s="32">
        <v>40745</v>
      </c>
      <c r="B2072" s="42">
        <v>1103.74</v>
      </c>
      <c r="C2072" s="42">
        <v>1110.5899999999999</v>
      </c>
      <c r="D2072" s="42">
        <v>1102.93</v>
      </c>
      <c r="E2072" s="42">
        <v>1104.1500000000001</v>
      </c>
      <c r="F2072" s="2">
        <v>5580000000</v>
      </c>
    </row>
    <row r="2073" spans="1:6">
      <c r="A2073" s="32">
        <v>40744</v>
      </c>
      <c r="B2073" s="42">
        <v>1106.81</v>
      </c>
      <c r="C2073" s="42">
        <v>1107.55</v>
      </c>
      <c r="D2073" s="42">
        <v>1097.67</v>
      </c>
      <c r="E2073" s="42">
        <v>1101.3699999999999</v>
      </c>
      <c r="F2073" s="2">
        <v>4500000000</v>
      </c>
    </row>
    <row r="2074" spans="1:6">
      <c r="A2074" s="32">
        <v>40743</v>
      </c>
      <c r="B2074" s="42">
        <v>1084.5999999999999</v>
      </c>
      <c r="C2074" s="42">
        <v>1099.25</v>
      </c>
      <c r="D2074" s="42">
        <v>1084.3399999999999</v>
      </c>
      <c r="E2074" s="42">
        <v>1096.77</v>
      </c>
      <c r="F2074" s="2">
        <v>4390000000</v>
      </c>
    </row>
    <row r="2075" spans="1:6">
      <c r="A2075" s="32">
        <v>40742</v>
      </c>
      <c r="B2075" s="42">
        <v>1085.6400000000001</v>
      </c>
      <c r="C2075" s="42">
        <v>1086.73</v>
      </c>
      <c r="D2075" s="42">
        <v>1079.8599999999999</v>
      </c>
      <c r="E2075" s="42">
        <v>1083.94</v>
      </c>
      <c r="F2075" s="2">
        <v>3840000000</v>
      </c>
    </row>
    <row r="2076" spans="1:6">
      <c r="A2076" s="32">
        <v>40738</v>
      </c>
      <c r="B2076" s="42">
        <v>1077.83</v>
      </c>
      <c r="C2076" s="42">
        <v>1080.5</v>
      </c>
      <c r="D2076" s="42">
        <v>1071.81</v>
      </c>
      <c r="E2076" s="42">
        <v>1079.9100000000001</v>
      </c>
      <c r="F2076" s="2">
        <v>3880000000</v>
      </c>
    </row>
    <row r="2077" spans="1:6">
      <c r="A2077" s="32">
        <v>40737</v>
      </c>
      <c r="B2077" s="42">
        <v>1069.82</v>
      </c>
      <c r="C2077" s="42">
        <v>1079.44</v>
      </c>
      <c r="D2077" s="42">
        <v>1069.73</v>
      </c>
      <c r="E2077" s="42">
        <v>1077.4000000000001</v>
      </c>
      <c r="F2077" s="2">
        <v>3790000000</v>
      </c>
    </row>
    <row r="2078" spans="1:6">
      <c r="A2078" s="32">
        <v>40736</v>
      </c>
      <c r="B2078" s="42">
        <v>1064.3499999999999</v>
      </c>
      <c r="C2078" s="42">
        <v>1071.21</v>
      </c>
      <c r="D2078" s="42">
        <v>1059.78</v>
      </c>
      <c r="E2078" s="42">
        <v>1062.3900000000001</v>
      </c>
      <c r="F2078" s="2">
        <v>4640000000</v>
      </c>
    </row>
    <row r="2079" spans="1:6">
      <c r="A2079" s="32">
        <v>40735</v>
      </c>
      <c r="B2079" s="42">
        <v>1081.18</v>
      </c>
      <c r="C2079" s="42">
        <v>1084.74</v>
      </c>
      <c r="D2079" s="42">
        <v>1074.2</v>
      </c>
      <c r="E2079" s="42">
        <v>1077.24</v>
      </c>
      <c r="F2079" s="2">
        <v>4190000000</v>
      </c>
    </row>
    <row r="2080" spans="1:6">
      <c r="A2080" s="32">
        <v>40732</v>
      </c>
      <c r="B2080" s="42">
        <v>1087.72</v>
      </c>
      <c r="C2080" s="42">
        <v>1089.74</v>
      </c>
      <c r="D2080" s="42">
        <v>1085.55</v>
      </c>
      <c r="E2080" s="42">
        <v>1088.46</v>
      </c>
      <c r="F2080" s="2">
        <v>6300000000</v>
      </c>
    </row>
    <row r="2081" spans="1:6">
      <c r="A2081" s="32">
        <v>40731</v>
      </c>
      <c r="B2081" s="42">
        <v>1078.0899999999999</v>
      </c>
      <c r="C2081" s="42">
        <v>1083.26</v>
      </c>
      <c r="D2081" s="42">
        <v>1076.6099999999999</v>
      </c>
      <c r="E2081" s="42">
        <v>1083.08</v>
      </c>
      <c r="F2081" s="2">
        <v>5820000000</v>
      </c>
    </row>
    <row r="2082" spans="1:6">
      <c r="A2082" s="32">
        <v>40730</v>
      </c>
      <c r="B2082" s="42">
        <v>1084.68</v>
      </c>
      <c r="C2082" s="42">
        <v>1087.9100000000001</v>
      </c>
      <c r="D2082" s="42">
        <v>1070.83</v>
      </c>
      <c r="E2082" s="42">
        <v>1072.68</v>
      </c>
      <c r="F2082" s="2">
        <v>5050000000</v>
      </c>
    </row>
    <row r="2083" spans="1:6">
      <c r="A2083" s="32">
        <v>40729</v>
      </c>
      <c r="B2083" s="42">
        <v>1095.21</v>
      </c>
      <c r="C2083" s="42">
        <v>1097.07</v>
      </c>
      <c r="D2083" s="42">
        <v>1080.98</v>
      </c>
      <c r="E2083" s="42">
        <v>1084.5899999999999</v>
      </c>
      <c r="F2083" s="2">
        <v>9220000000</v>
      </c>
    </row>
    <row r="2084" spans="1:6">
      <c r="A2084" s="32">
        <v>40728</v>
      </c>
      <c r="B2084" s="42">
        <v>1077.72</v>
      </c>
      <c r="C2084" s="42">
        <v>1094.26</v>
      </c>
      <c r="D2084" s="42">
        <v>1069.8800000000001</v>
      </c>
      <c r="E2084" s="42">
        <v>1090.28</v>
      </c>
      <c r="F2084" s="2">
        <v>8570000000</v>
      </c>
    </row>
    <row r="2085" spans="1:6">
      <c r="A2085" s="32">
        <v>40724</v>
      </c>
      <c r="B2085" s="42">
        <v>1041.1300000000001</v>
      </c>
      <c r="C2085" s="42">
        <v>1041.92</v>
      </c>
      <c r="D2085" s="42">
        <v>1036.48</v>
      </c>
      <c r="E2085" s="42">
        <v>1041.48</v>
      </c>
      <c r="F2085" s="2">
        <v>4520000000</v>
      </c>
    </row>
    <row r="2086" spans="1:6">
      <c r="A2086" s="32">
        <v>40723</v>
      </c>
      <c r="B2086" s="42">
        <v>1019.85</v>
      </c>
      <c r="C2086" s="42">
        <v>1035.0999999999999</v>
      </c>
      <c r="D2086" s="42">
        <v>1019.85</v>
      </c>
      <c r="E2086" s="42">
        <v>1033.26</v>
      </c>
      <c r="F2086" s="2">
        <v>4300000000</v>
      </c>
    </row>
    <row r="2087" spans="1:6">
      <c r="A2087" s="32">
        <v>40722</v>
      </c>
      <c r="B2087" s="42">
        <v>1014.02</v>
      </c>
      <c r="C2087" s="42">
        <v>1016.84</v>
      </c>
      <c r="D2087" s="42">
        <v>1011.63</v>
      </c>
      <c r="E2087" s="42">
        <v>1013.5</v>
      </c>
      <c r="F2087" s="2">
        <v>2900000000</v>
      </c>
    </row>
    <row r="2088" spans="1:6">
      <c r="A2088" s="32">
        <v>40721</v>
      </c>
      <c r="B2088" s="42">
        <v>1015.36</v>
      </c>
      <c r="C2088" s="42">
        <v>1016.11</v>
      </c>
      <c r="D2088" s="42">
        <v>1008.1</v>
      </c>
      <c r="E2088" s="42">
        <v>1010.32</v>
      </c>
      <c r="F2088" s="2">
        <v>2570000000</v>
      </c>
    </row>
    <row r="2089" spans="1:6">
      <c r="A2089" s="32">
        <v>40718</v>
      </c>
      <c r="B2089" s="42">
        <v>1016.92</v>
      </c>
      <c r="C2089" s="42">
        <v>1022.94</v>
      </c>
      <c r="D2089" s="42">
        <v>1012.61</v>
      </c>
      <c r="E2089" s="42">
        <v>1022.94</v>
      </c>
      <c r="F2089" s="2">
        <v>2790000000</v>
      </c>
    </row>
    <row r="2090" spans="1:6">
      <c r="A2090" s="32">
        <v>40717</v>
      </c>
      <c r="B2090" s="42">
        <v>1020.05</v>
      </c>
      <c r="C2090" s="42">
        <v>1020.09</v>
      </c>
      <c r="D2090" s="42">
        <v>1013.38</v>
      </c>
      <c r="E2090" s="42">
        <v>1014.13</v>
      </c>
      <c r="F2090" s="2">
        <v>3340000000</v>
      </c>
    </row>
    <row r="2091" spans="1:6">
      <c r="A2091" s="32">
        <v>40716</v>
      </c>
      <c r="B2091" s="42">
        <v>1033.42</v>
      </c>
      <c r="C2091" s="42">
        <v>1033.8</v>
      </c>
      <c r="D2091" s="42">
        <v>1023.86</v>
      </c>
      <c r="E2091" s="42">
        <v>1023.86</v>
      </c>
      <c r="F2091" s="2">
        <v>3060000000</v>
      </c>
    </row>
    <row r="2092" spans="1:6">
      <c r="A2092" s="32">
        <v>40715</v>
      </c>
      <c r="B2092" s="42">
        <v>1018.52</v>
      </c>
      <c r="C2092" s="42">
        <v>1029.18</v>
      </c>
      <c r="D2092" s="42">
        <v>1015.53</v>
      </c>
      <c r="E2092" s="42">
        <v>1027.72</v>
      </c>
      <c r="F2092" s="2">
        <v>2730000000</v>
      </c>
    </row>
    <row r="2093" spans="1:6">
      <c r="A2093" s="32">
        <v>40714</v>
      </c>
      <c r="B2093" s="42">
        <v>1022.63</v>
      </c>
      <c r="C2093" s="42">
        <v>1024.5999999999999</v>
      </c>
      <c r="D2093" s="42">
        <v>1013.09</v>
      </c>
      <c r="E2093" s="42">
        <v>1013.09</v>
      </c>
      <c r="F2093" s="2">
        <v>2490000000</v>
      </c>
    </row>
    <row r="2094" spans="1:6">
      <c r="A2094" s="32">
        <v>40711</v>
      </c>
      <c r="B2094" s="42">
        <v>1023.69</v>
      </c>
      <c r="C2094" s="42">
        <v>1026.5</v>
      </c>
      <c r="D2094" s="42">
        <v>1015.5</v>
      </c>
      <c r="E2094" s="42">
        <v>1018.96</v>
      </c>
      <c r="F2094" s="2">
        <v>3610000000</v>
      </c>
    </row>
    <row r="2095" spans="1:6">
      <c r="A2095" s="32">
        <v>40710</v>
      </c>
      <c r="B2095" s="42">
        <v>1022.19</v>
      </c>
      <c r="C2095" s="42">
        <v>1024.5999999999999</v>
      </c>
      <c r="D2095" s="42">
        <v>1017.36</v>
      </c>
      <c r="E2095" s="42">
        <v>1019.55</v>
      </c>
      <c r="F2095" s="2">
        <v>2940000000</v>
      </c>
    </row>
    <row r="2096" spans="1:6">
      <c r="A2096" s="32">
        <v>40709</v>
      </c>
      <c r="B2096" s="42">
        <v>1035.43</v>
      </c>
      <c r="C2096" s="42">
        <v>1035.99</v>
      </c>
      <c r="D2096" s="42">
        <v>1029.24</v>
      </c>
      <c r="E2096" s="42">
        <v>1030.31</v>
      </c>
      <c r="F2096" s="2">
        <v>3990000000</v>
      </c>
    </row>
    <row r="2097" spans="1:6">
      <c r="A2097" s="32">
        <v>40708</v>
      </c>
      <c r="B2097" s="42">
        <v>1020.61</v>
      </c>
      <c r="C2097" s="42">
        <v>1034.92</v>
      </c>
      <c r="D2097" s="42">
        <v>1017.84</v>
      </c>
      <c r="E2097" s="42">
        <v>1034.92</v>
      </c>
      <c r="F2097" s="2">
        <v>2730000000</v>
      </c>
    </row>
    <row r="2098" spans="1:6">
      <c r="A2098" s="32">
        <v>40707</v>
      </c>
      <c r="B2098" s="42">
        <v>1013.66</v>
      </c>
      <c r="C2098" s="42">
        <v>1017.26</v>
      </c>
      <c r="D2098" s="42">
        <v>1007.04</v>
      </c>
      <c r="E2098" s="42">
        <v>1015.53</v>
      </c>
      <c r="F2098" s="2">
        <v>2660000000</v>
      </c>
    </row>
    <row r="2099" spans="1:6">
      <c r="A2099" s="32">
        <v>40704</v>
      </c>
      <c r="B2099" s="42">
        <v>1019.87</v>
      </c>
      <c r="C2099" s="42">
        <v>1025.56</v>
      </c>
      <c r="D2099" s="42">
        <v>1017.44</v>
      </c>
      <c r="E2099" s="42">
        <v>1020.37</v>
      </c>
      <c r="F2099" s="2">
        <v>2530000000</v>
      </c>
    </row>
    <row r="2100" spans="1:6">
      <c r="A2100" s="32">
        <v>40703</v>
      </c>
      <c r="B2100" s="42">
        <v>1009.21</v>
      </c>
      <c r="C2100" s="42">
        <v>1016.85</v>
      </c>
      <c r="D2100">
        <v>998.39</v>
      </c>
      <c r="E2100" s="42">
        <v>1016.85</v>
      </c>
      <c r="F2100" s="2">
        <v>3990000000</v>
      </c>
    </row>
    <row r="2101" spans="1:6">
      <c r="A2101" s="32">
        <v>40702</v>
      </c>
      <c r="B2101" s="42">
        <v>1029.8800000000001</v>
      </c>
      <c r="C2101" s="42">
        <v>1030.71</v>
      </c>
      <c r="D2101" s="42">
        <v>1009.03</v>
      </c>
      <c r="E2101" s="42">
        <v>1014.58</v>
      </c>
      <c r="F2101" s="2">
        <v>4200000000</v>
      </c>
    </row>
    <row r="2102" spans="1:6">
      <c r="A2102" s="32">
        <v>40701</v>
      </c>
      <c r="B2102" s="42">
        <v>1045.9100000000001</v>
      </c>
      <c r="C2102" s="42">
        <v>1048.28</v>
      </c>
      <c r="D2102" s="42">
        <v>1033.8900000000001</v>
      </c>
      <c r="E2102" s="42">
        <v>1034.75</v>
      </c>
      <c r="F2102" s="2">
        <v>3550000000</v>
      </c>
    </row>
    <row r="2103" spans="1:6">
      <c r="A2103" s="32">
        <v>40700</v>
      </c>
      <c r="B2103" s="42">
        <v>1054.69</v>
      </c>
      <c r="C2103" s="42">
        <v>1055.58</v>
      </c>
      <c r="D2103" s="42">
        <v>1043.82</v>
      </c>
      <c r="E2103" s="42">
        <v>1046.1600000000001</v>
      </c>
      <c r="F2103" s="2">
        <v>3270000000</v>
      </c>
    </row>
    <row r="2104" spans="1:6">
      <c r="A2104" s="32">
        <v>40697</v>
      </c>
      <c r="B2104" s="42">
        <v>1059.94</v>
      </c>
      <c r="C2104" s="42">
        <v>1064.45</v>
      </c>
      <c r="D2104" s="42">
        <v>1056.8699999999999</v>
      </c>
      <c r="E2104" s="42">
        <v>1057.8599999999999</v>
      </c>
      <c r="F2104" s="2">
        <v>2860000000</v>
      </c>
    </row>
    <row r="2105" spans="1:6">
      <c r="A2105" s="32">
        <v>40696</v>
      </c>
      <c r="B2105" s="42">
        <v>1056.3399999999999</v>
      </c>
      <c r="C2105" s="42">
        <v>1061.56</v>
      </c>
      <c r="D2105" s="42">
        <v>1056.3399999999999</v>
      </c>
      <c r="E2105" s="42">
        <v>1059.81</v>
      </c>
      <c r="F2105" s="2">
        <v>3040000000</v>
      </c>
    </row>
    <row r="2106" spans="1:6">
      <c r="A2106" s="32">
        <v>40695</v>
      </c>
      <c r="B2106" s="42">
        <v>1076.4000000000001</v>
      </c>
      <c r="C2106" s="42">
        <v>1077.19</v>
      </c>
      <c r="D2106" s="42">
        <v>1062.93</v>
      </c>
      <c r="E2106" s="42">
        <v>1065.6300000000001</v>
      </c>
      <c r="F2106" s="2">
        <v>3680000000</v>
      </c>
    </row>
    <row r="2107" spans="1:6">
      <c r="A2107" s="32">
        <v>40694</v>
      </c>
      <c r="B2107" s="42">
        <v>1080.23</v>
      </c>
      <c r="C2107" s="42">
        <v>1082.1300000000001</v>
      </c>
      <c r="D2107" s="42">
        <v>1070.51</v>
      </c>
      <c r="E2107" s="42">
        <v>1073.83</v>
      </c>
      <c r="F2107" s="2">
        <v>3590000000</v>
      </c>
    </row>
    <row r="2108" spans="1:6">
      <c r="A2108" s="32">
        <v>40693</v>
      </c>
      <c r="B2108" s="42">
        <v>1071.03</v>
      </c>
      <c r="C2108" s="42">
        <v>1076.5</v>
      </c>
      <c r="D2108" s="42">
        <v>1070.27</v>
      </c>
      <c r="E2108" s="42">
        <v>1076.5</v>
      </c>
      <c r="F2108" s="2">
        <v>3560000000</v>
      </c>
    </row>
    <row r="2109" spans="1:6">
      <c r="A2109" s="32">
        <v>40690</v>
      </c>
      <c r="B2109" s="42">
        <v>1067.8699999999999</v>
      </c>
      <c r="C2109" s="42">
        <v>1069.94</v>
      </c>
      <c r="D2109" s="42">
        <v>1064.4000000000001</v>
      </c>
      <c r="E2109" s="42">
        <v>1067</v>
      </c>
      <c r="F2109" s="2">
        <v>3470000000</v>
      </c>
    </row>
    <row r="2110" spans="1:6">
      <c r="A2110" s="32">
        <v>40689</v>
      </c>
      <c r="B2110" s="42">
        <v>1064.95</v>
      </c>
      <c r="C2110" s="42">
        <v>1070.49</v>
      </c>
      <c r="D2110" s="42">
        <v>1064.03</v>
      </c>
      <c r="E2110" s="42">
        <v>1065.45</v>
      </c>
      <c r="F2110" s="2">
        <v>3800000000</v>
      </c>
    </row>
    <row r="2111" spans="1:6">
      <c r="A2111" s="32">
        <v>40688</v>
      </c>
      <c r="B2111" s="42">
        <v>1061.19</v>
      </c>
      <c r="C2111" s="42">
        <v>1066.1500000000001</v>
      </c>
      <c r="D2111" s="42">
        <v>1055.54</v>
      </c>
      <c r="E2111" s="42">
        <v>1055.54</v>
      </c>
      <c r="F2111" s="2">
        <v>2770000000</v>
      </c>
    </row>
    <row r="2112" spans="1:6">
      <c r="A2112" s="32">
        <v>40687</v>
      </c>
      <c r="B2112" s="42">
        <v>1053.79</v>
      </c>
      <c r="C2112" s="42">
        <v>1064.24</v>
      </c>
      <c r="D2112" s="42">
        <v>1052.18</v>
      </c>
      <c r="E2112" s="42">
        <v>1064.24</v>
      </c>
      <c r="F2112" s="2">
        <v>4320000000</v>
      </c>
    </row>
    <row r="2113" spans="1:6">
      <c r="A2113" s="32">
        <v>40686</v>
      </c>
      <c r="B2113" s="42">
        <v>1062.74</v>
      </c>
      <c r="C2113" s="42">
        <v>1065.32</v>
      </c>
      <c r="D2113" s="42">
        <v>1053.02</v>
      </c>
      <c r="E2113" s="42">
        <v>1053.97</v>
      </c>
      <c r="F2113" s="2">
        <v>5280000000</v>
      </c>
    </row>
    <row r="2114" spans="1:6">
      <c r="A2114" s="32">
        <v>40683</v>
      </c>
      <c r="B2114" s="42">
        <v>1078.51</v>
      </c>
      <c r="C2114" s="42">
        <v>1080.27</v>
      </c>
      <c r="D2114" s="42">
        <v>1069.19</v>
      </c>
      <c r="E2114" s="42">
        <v>1072.94</v>
      </c>
      <c r="F2114" s="2">
        <v>4820000000</v>
      </c>
    </row>
    <row r="2115" spans="1:6">
      <c r="A2115" s="32">
        <v>40682</v>
      </c>
      <c r="B2115" s="42">
        <v>1080.74</v>
      </c>
      <c r="C2115" s="42">
        <v>1082.48</v>
      </c>
      <c r="D2115" s="42">
        <v>1072.53</v>
      </c>
      <c r="E2115" s="42">
        <v>1077.5</v>
      </c>
      <c r="F2115" s="2">
        <v>3990000000</v>
      </c>
    </row>
    <row r="2116" spans="1:6">
      <c r="A2116" s="32">
        <v>40681</v>
      </c>
      <c r="B2116" s="42">
        <v>1080.44</v>
      </c>
      <c r="C2116" s="42">
        <v>1081.3</v>
      </c>
      <c r="D2116" s="42">
        <v>1069.1199999999999</v>
      </c>
      <c r="E2116" s="42">
        <v>1075.9100000000001</v>
      </c>
      <c r="F2116" s="2">
        <v>4000000000</v>
      </c>
    </row>
    <row r="2117" spans="1:6">
      <c r="A2117" s="32">
        <v>40676</v>
      </c>
      <c r="B2117" s="42">
        <v>1091.3900000000001</v>
      </c>
      <c r="C2117" s="42">
        <v>1092.8399999999999</v>
      </c>
      <c r="D2117" s="42">
        <v>1078.52</v>
      </c>
      <c r="E2117" s="42">
        <v>1084.96</v>
      </c>
      <c r="F2117" s="2">
        <v>4070000000</v>
      </c>
    </row>
    <row r="2118" spans="1:6">
      <c r="A2118" s="32">
        <v>40675</v>
      </c>
      <c r="B2118" s="42">
        <v>1094.24</v>
      </c>
      <c r="C2118" s="42">
        <v>1099.0999999999999</v>
      </c>
      <c r="D2118" s="42">
        <v>1086.27</v>
      </c>
      <c r="E2118" s="42">
        <v>1086.27</v>
      </c>
      <c r="F2118" s="2">
        <v>5250000000</v>
      </c>
    </row>
    <row r="2119" spans="1:6">
      <c r="A2119" s="32">
        <v>40674</v>
      </c>
      <c r="B2119" s="42">
        <v>1092.4000000000001</v>
      </c>
      <c r="C2119" s="42">
        <v>1102.44</v>
      </c>
      <c r="D2119" s="42">
        <v>1091.19</v>
      </c>
      <c r="E2119" s="42">
        <v>1100.48</v>
      </c>
      <c r="F2119" s="2">
        <v>6010000000</v>
      </c>
    </row>
    <row r="2120" spans="1:6">
      <c r="A2120" s="32">
        <v>40673</v>
      </c>
      <c r="B2120" s="42">
        <v>1076.47</v>
      </c>
      <c r="C2120" s="42">
        <v>1085.56</v>
      </c>
      <c r="D2120" s="42">
        <v>1070.8800000000001</v>
      </c>
      <c r="E2120" s="42">
        <v>1085.56</v>
      </c>
      <c r="F2120" s="2">
        <v>7820000000</v>
      </c>
    </row>
    <row r="2121" spans="1:6">
      <c r="A2121" s="32">
        <v>40672</v>
      </c>
      <c r="B2121" s="42">
        <v>1054.67</v>
      </c>
      <c r="C2121" s="42">
        <v>1074.2</v>
      </c>
      <c r="D2121" s="42">
        <v>1054.67</v>
      </c>
      <c r="E2121" s="42">
        <v>1072.47</v>
      </c>
      <c r="F2121" s="2">
        <v>4840000000</v>
      </c>
    </row>
    <row r="2122" spans="1:6">
      <c r="A2122" s="32">
        <v>40669</v>
      </c>
      <c r="B2122" s="42">
        <v>1057.5</v>
      </c>
      <c r="C2122" s="42">
        <v>1064.0999999999999</v>
      </c>
      <c r="D2122" s="42">
        <v>1048.6300000000001</v>
      </c>
      <c r="E2122" s="42">
        <v>1050.8499999999999</v>
      </c>
      <c r="F2122" s="2">
        <v>7600000000</v>
      </c>
    </row>
    <row r="2123" spans="1:6">
      <c r="A2123" s="32">
        <v>40667</v>
      </c>
      <c r="B2123" s="42">
        <v>1070.05</v>
      </c>
      <c r="C2123" s="42">
        <v>1074.9000000000001</v>
      </c>
      <c r="D2123" s="42">
        <v>1063.0899999999999</v>
      </c>
      <c r="E2123" s="42">
        <v>1073.8699999999999</v>
      </c>
      <c r="F2123" s="2">
        <v>5130000000</v>
      </c>
    </row>
    <row r="2124" spans="1:6">
      <c r="A2124" s="32">
        <v>40666</v>
      </c>
      <c r="B2124" s="42">
        <v>1092.53</v>
      </c>
      <c r="C2124" s="42">
        <v>1094.81</v>
      </c>
      <c r="D2124" s="42">
        <v>1065.94</v>
      </c>
      <c r="E2124" s="42">
        <v>1070.43</v>
      </c>
      <c r="F2124" s="2">
        <v>5810000000</v>
      </c>
    </row>
    <row r="2125" spans="1:6">
      <c r="A2125" s="32">
        <v>40662</v>
      </c>
      <c r="B2125" s="42">
        <v>1090.93</v>
      </c>
      <c r="C2125" s="42">
        <v>1094.48</v>
      </c>
      <c r="D2125" s="42">
        <v>1082.2</v>
      </c>
      <c r="E2125" s="42">
        <v>1093.56</v>
      </c>
      <c r="F2125" s="2">
        <v>5180000000</v>
      </c>
    </row>
    <row r="2126" spans="1:6">
      <c r="A2126" s="32">
        <v>40661</v>
      </c>
      <c r="B2126" s="42">
        <v>1104.6199999999999</v>
      </c>
      <c r="C2126" s="42">
        <v>1106.07</v>
      </c>
      <c r="D2126" s="42">
        <v>1092.31</v>
      </c>
      <c r="E2126" s="42">
        <v>1092.31</v>
      </c>
      <c r="F2126" s="2">
        <v>6130000000</v>
      </c>
    </row>
    <row r="2127" spans="1:6">
      <c r="A2127" s="32">
        <v>40660</v>
      </c>
      <c r="B2127" s="42">
        <v>1102.8</v>
      </c>
      <c r="C2127" s="42">
        <v>1107.9000000000001</v>
      </c>
      <c r="D2127" s="42">
        <v>1097.52</v>
      </c>
      <c r="E2127" s="42">
        <v>1101.3499999999999</v>
      </c>
      <c r="F2127" s="2">
        <v>4590000000</v>
      </c>
    </row>
    <row r="2128" spans="1:6">
      <c r="A2128" s="32">
        <v>40659</v>
      </c>
      <c r="B2128" s="42">
        <v>1099.74</v>
      </c>
      <c r="C2128" s="42">
        <v>1101.04</v>
      </c>
      <c r="D2128" s="42">
        <v>1091.29</v>
      </c>
      <c r="E2128" s="42">
        <v>1096.95</v>
      </c>
      <c r="F2128" s="2">
        <v>3990000000</v>
      </c>
    </row>
    <row r="2129" spans="1:6">
      <c r="A2129" s="32">
        <v>40658</v>
      </c>
      <c r="B2129" s="42">
        <v>1106.6199999999999</v>
      </c>
      <c r="C2129" s="42">
        <v>1108.53</v>
      </c>
      <c r="D2129" s="42">
        <v>1101.07</v>
      </c>
      <c r="E2129" s="42">
        <v>1105.43</v>
      </c>
      <c r="F2129" s="2">
        <v>3290000000</v>
      </c>
    </row>
    <row r="2130" spans="1:6">
      <c r="A2130" s="32">
        <v>40655</v>
      </c>
      <c r="B2130" s="42">
        <v>1107.93</v>
      </c>
      <c r="C2130" s="42">
        <v>1109.08</v>
      </c>
      <c r="D2130" s="42">
        <v>1100.81</v>
      </c>
      <c r="E2130" s="42">
        <v>1105.29</v>
      </c>
      <c r="F2130" s="2">
        <v>4520000000</v>
      </c>
    </row>
    <row r="2131" spans="1:6">
      <c r="A2131" s="32">
        <v>40654</v>
      </c>
      <c r="B2131" s="42">
        <v>1113.42</v>
      </c>
      <c r="C2131" s="42">
        <v>1113.6300000000001</v>
      </c>
      <c r="D2131" s="42">
        <v>1103.79</v>
      </c>
      <c r="E2131" s="42">
        <v>1109.92</v>
      </c>
      <c r="F2131" s="2">
        <v>5360000000</v>
      </c>
    </row>
    <row r="2132" spans="1:6">
      <c r="A2132" s="32">
        <v>40653</v>
      </c>
      <c r="B2132" s="42">
        <v>1104.1400000000001</v>
      </c>
      <c r="C2132" s="42">
        <v>1107.3599999999999</v>
      </c>
      <c r="D2132" s="42">
        <v>1100.8699999999999</v>
      </c>
      <c r="E2132" s="42">
        <v>1107.3599999999999</v>
      </c>
      <c r="F2132" s="2">
        <v>5410000000</v>
      </c>
    </row>
    <row r="2133" spans="1:6">
      <c r="A2133" s="32">
        <v>40652</v>
      </c>
      <c r="B2133" s="42">
        <v>1084.43</v>
      </c>
      <c r="C2133" s="42">
        <v>1096.73</v>
      </c>
      <c r="D2133" s="42">
        <v>1083.73</v>
      </c>
      <c r="E2133" s="42">
        <v>1095.8800000000001</v>
      </c>
      <c r="F2133" s="2">
        <v>4310000000</v>
      </c>
    </row>
    <row r="2134" spans="1:6">
      <c r="A2134" s="32">
        <v>40651</v>
      </c>
      <c r="B2134" s="42">
        <v>1087.92</v>
      </c>
      <c r="C2134" s="42">
        <v>1092.1400000000001</v>
      </c>
      <c r="D2134" s="42">
        <v>1084.78</v>
      </c>
      <c r="E2134" s="42">
        <v>1090.67</v>
      </c>
      <c r="F2134" s="2">
        <v>3600000000</v>
      </c>
    </row>
    <row r="2135" spans="1:6">
      <c r="A2135" s="32">
        <v>40645</v>
      </c>
      <c r="B2135" s="42">
        <v>1068.23</v>
      </c>
      <c r="C2135" s="42">
        <v>1084.9100000000001</v>
      </c>
      <c r="D2135" s="42">
        <v>1064.6099999999999</v>
      </c>
      <c r="E2135" s="42">
        <v>1084.9100000000001</v>
      </c>
      <c r="F2135" s="2">
        <v>2740000000</v>
      </c>
    </row>
    <row r="2136" spans="1:6">
      <c r="A2136" s="32">
        <v>40644</v>
      </c>
      <c r="B2136" s="42">
        <v>1086.72</v>
      </c>
      <c r="C2136" s="42">
        <v>1090.3800000000001</v>
      </c>
      <c r="D2136" s="42">
        <v>1075.29</v>
      </c>
      <c r="E2136" s="42">
        <v>1076.33</v>
      </c>
      <c r="F2136" s="2">
        <v>3800000000</v>
      </c>
    </row>
    <row r="2137" spans="1:6">
      <c r="A2137" s="32">
        <v>40641</v>
      </c>
      <c r="B2137" s="42">
        <v>1092.3399999999999</v>
      </c>
      <c r="C2137" s="42">
        <v>1092.3399999999999</v>
      </c>
      <c r="D2137" s="42">
        <v>1080.6300000000001</v>
      </c>
      <c r="E2137" s="42">
        <v>1082.69</v>
      </c>
      <c r="F2137" s="2">
        <v>4770000000</v>
      </c>
    </row>
    <row r="2138" spans="1:6">
      <c r="A2138" s="32">
        <v>40640</v>
      </c>
      <c r="B2138" s="42">
        <v>1083.5899999999999</v>
      </c>
      <c r="C2138" s="42">
        <v>1089.21</v>
      </c>
      <c r="D2138" s="42">
        <v>1081.95</v>
      </c>
      <c r="E2138" s="42">
        <v>1089.21</v>
      </c>
      <c r="F2138" s="2">
        <v>5410000000</v>
      </c>
    </row>
    <row r="2139" spans="1:6">
      <c r="A2139" s="32">
        <v>40638</v>
      </c>
      <c r="B2139" s="42">
        <v>1076.92</v>
      </c>
      <c r="C2139" s="42">
        <v>1080.1099999999999</v>
      </c>
      <c r="D2139" s="42">
        <v>1074.5899999999999</v>
      </c>
      <c r="E2139" s="42">
        <v>1076.1300000000001</v>
      </c>
      <c r="F2139" s="2">
        <v>4860000000</v>
      </c>
    </row>
    <row r="2140" spans="1:6">
      <c r="A2140" s="32">
        <v>40637</v>
      </c>
      <c r="B2140" s="42">
        <v>1074.3900000000001</v>
      </c>
      <c r="C2140" s="42">
        <v>1080.49</v>
      </c>
      <c r="D2140" s="42">
        <v>1073.92</v>
      </c>
      <c r="E2140" s="42">
        <v>1078.6600000000001</v>
      </c>
      <c r="F2140" s="2">
        <v>6190000000</v>
      </c>
    </row>
    <row r="2141" spans="1:6">
      <c r="A2141" s="32">
        <v>40634</v>
      </c>
      <c r="B2141" s="42">
        <v>1052.49</v>
      </c>
      <c r="C2141" s="42">
        <v>1068.33</v>
      </c>
      <c r="D2141" s="42">
        <v>1052.49</v>
      </c>
      <c r="E2141" s="42">
        <v>1064.3499999999999</v>
      </c>
      <c r="F2141" s="2">
        <v>8310000000</v>
      </c>
    </row>
    <row r="2142" spans="1:6">
      <c r="A2142" s="32">
        <v>40633</v>
      </c>
      <c r="B2142" s="42">
        <v>1054.8800000000001</v>
      </c>
      <c r="C2142" s="42">
        <v>1056.52</v>
      </c>
      <c r="D2142" s="42">
        <v>1046.47</v>
      </c>
      <c r="E2142" s="42">
        <v>1047.48</v>
      </c>
      <c r="F2142" s="2">
        <v>5130000000</v>
      </c>
    </row>
    <row r="2143" spans="1:6">
      <c r="A2143" s="32">
        <v>40632</v>
      </c>
      <c r="B2143" s="42">
        <v>1041.7</v>
      </c>
      <c r="C2143" s="42">
        <v>1050.67</v>
      </c>
      <c r="D2143" s="42">
        <v>1041.49</v>
      </c>
      <c r="E2143" s="42">
        <v>1050.67</v>
      </c>
      <c r="F2143" s="2">
        <v>4500000000</v>
      </c>
    </row>
    <row r="2144" spans="1:6">
      <c r="A2144" s="32">
        <v>40631</v>
      </c>
      <c r="B2144" s="42">
        <v>1032.92</v>
      </c>
      <c r="C2144" s="42">
        <v>1039.1600000000001</v>
      </c>
      <c r="D2144" s="42">
        <v>1032.23</v>
      </c>
      <c r="E2144" s="42">
        <v>1036.3599999999999</v>
      </c>
      <c r="F2144" s="2">
        <v>4010000000</v>
      </c>
    </row>
    <row r="2145" spans="1:6">
      <c r="A2145" s="32">
        <v>40630</v>
      </c>
      <c r="B2145" s="42">
        <v>1038.3399999999999</v>
      </c>
      <c r="C2145" s="42">
        <v>1038.98</v>
      </c>
      <c r="D2145" s="42">
        <v>1032.5899999999999</v>
      </c>
      <c r="E2145" s="42">
        <v>1032.94</v>
      </c>
      <c r="F2145" s="2">
        <v>4030000000</v>
      </c>
    </row>
    <row r="2146" spans="1:6">
      <c r="A2146" s="32">
        <v>40627</v>
      </c>
      <c r="B2146" s="42">
        <v>1038.4000000000001</v>
      </c>
      <c r="C2146" s="42">
        <v>1039.28</v>
      </c>
      <c r="D2146" s="42">
        <v>1033.3900000000001</v>
      </c>
      <c r="E2146" s="42">
        <v>1037.73</v>
      </c>
      <c r="F2146" s="2">
        <v>8420000000</v>
      </c>
    </row>
    <row r="2147" spans="1:6">
      <c r="A2147" s="32">
        <v>40626</v>
      </c>
      <c r="B2147" s="42">
        <v>1033.03</v>
      </c>
      <c r="C2147" s="42">
        <v>1035.2</v>
      </c>
      <c r="D2147" s="42">
        <v>1029.8599999999999</v>
      </c>
      <c r="E2147" s="42">
        <v>1034.3900000000001</v>
      </c>
      <c r="F2147" s="2">
        <v>5810000000</v>
      </c>
    </row>
    <row r="2148" spans="1:6">
      <c r="A2148" s="32">
        <v>40625</v>
      </c>
      <c r="B2148" s="42">
        <v>1020.65</v>
      </c>
      <c r="C2148" s="42">
        <v>1028</v>
      </c>
      <c r="D2148" s="42">
        <v>1020.65</v>
      </c>
      <c r="E2148" s="42">
        <v>1027.54</v>
      </c>
      <c r="F2148" s="2">
        <v>3030000000</v>
      </c>
    </row>
    <row r="2149" spans="1:6">
      <c r="A2149" s="32">
        <v>40624</v>
      </c>
      <c r="B2149" s="42">
        <v>1022.47</v>
      </c>
      <c r="C2149" s="42">
        <v>1025.48</v>
      </c>
      <c r="D2149" s="42">
        <v>1019.14</v>
      </c>
      <c r="E2149" s="42">
        <v>1019.14</v>
      </c>
      <c r="F2149" s="2">
        <v>3290000000</v>
      </c>
    </row>
    <row r="2150" spans="1:6">
      <c r="A2150" s="32">
        <v>40623</v>
      </c>
      <c r="B2150" s="42">
        <v>1009.94</v>
      </c>
      <c r="C2150" s="42">
        <v>1020.01</v>
      </c>
      <c r="D2150" s="42">
        <v>1009.83</v>
      </c>
      <c r="E2150" s="42">
        <v>1019.93</v>
      </c>
      <c r="F2150" s="2">
        <v>2880000000</v>
      </c>
    </row>
    <row r="2151" spans="1:6">
      <c r="A2151" s="32">
        <v>40620</v>
      </c>
      <c r="B2151" s="42">
        <v>1007.96</v>
      </c>
      <c r="C2151" s="42">
        <v>1010.65</v>
      </c>
      <c r="D2151" s="42">
        <v>1003.29</v>
      </c>
      <c r="E2151" s="42">
        <v>1003.29</v>
      </c>
      <c r="F2151" s="2">
        <v>2720000000</v>
      </c>
    </row>
    <row r="2152" spans="1:6">
      <c r="A2152" s="32">
        <v>40619</v>
      </c>
      <c r="B2152" s="42">
        <v>1002.23</v>
      </c>
      <c r="C2152" s="42">
        <v>1004.04</v>
      </c>
      <c r="D2152">
        <v>998.66</v>
      </c>
      <c r="E2152" s="42">
        <v>1002.35</v>
      </c>
      <c r="F2152" s="2">
        <v>2920000000</v>
      </c>
    </row>
    <row r="2153" spans="1:6">
      <c r="A2153" s="32">
        <v>40618</v>
      </c>
      <c r="B2153" s="42">
        <v>1007.49</v>
      </c>
      <c r="C2153" s="42">
        <v>1011.3</v>
      </c>
      <c r="D2153" s="42">
        <v>1004.55</v>
      </c>
      <c r="E2153" s="42">
        <v>1008.13</v>
      </c>
      <c r="F2153" s="2">
        <v>2610000000</v>
      </c>
    </row>
    <row r="2154" spans="1:6">
      <c r="A2154" s="32">
        <v>40617</v>
      </c>
      <c r="B2154" s="42">
        <v>1007.54</v>
      </c>
      <c r="C2154" s="42">
        <v>1010.55</v>
      </c>
      <c r="D2154">
        <v>996.44</v>
      </c>
      <c r="E2154" s="42">
        <v>1003.1</v>
      </c>
      <c r="F2154" s="2">
        <v>3400000000</v>
      </c>
    </row>
    <row r="2155" spans="1:6">
      <c r="A2155" s="32">
        <v>40616</v>
      </c>
      <c r="B2155" s="42">
        <v>1007.74</v>
      </c>
      <c r="C2155" s="42">
        <v>1022.89</v>
      </c>
      <c r="D2155" s="42">
        <v>1007.19</v>
      </c>
      <c r="E2155" s="42">
        <v>1022.89</v>
      </c>
      <c r="F2155" s="2">
        <v>2600000000</v>
      </c>
    </row>
    <row r="2156" spans="1:6">
      <c r="A2156" s="32">
        <v>40613</v>
      </c>
      <c r="B2156" s="42">
        <v>1010.99</v>
      </c>
      <c r="C2156" s="42">
        <v>1014.78</v>
      </c>
      <c r="D2156" s="42">
        <v>1004.44</v>
      </c>
      <c r="E2156" s="42">
        <v>1007.06</v>
      </c>
      <c r="F2156" s="2">
        <v>2750000000</v>
      </c>
    </row>
    <row r="2157" spans="1:6">
      <c r="A2157" s="32">
        <v>40612</v>
      </c>
      <c r="B2157" s="42">
        <v>1014.24</v>
      </c>
      <c r="C2157" s="42">
        <v>1020.14</v>
      </c>
      <c r="D2157" s="42">
        <v>1013.66</v>
      </c>
      <c r="E2157" s="42">
        <v>1019.22</v>
      </c>
      <c r="F2157" s="2">
        <v>3300000000</v>
      </c>
    </row>
    <row r="2158" spans="1:6">
      <c r="A2158" s="32">
        <v>40611</v>
      </c>
      <c r="B2158" s="42">
        <v>1025.32</v>
      </c>
      <c r="C2158" s="42">
        <v>1025.71</v>
      </c>
      <c r="D2158" s="42">
        <v>1016.27</v>
      </c>
      <c r="E2158" s="42">
        <v>1017.01</v>
      </c>
      <c r="F2158" s="2">
        <v>4690000000</v>
      </c>
    </row>
    <row r="2159" spans="1:6">
      <c r="A2159" s="32">
        <v>40610</v>
      </c>
      <c r="B2159" s="42">
        <v>1007.92</v>
      </c>
      <c r="C2159" s="42">
        <v>1018.57</v>
      </c>
      <c r="D2159" s="42">
        <v>1006.92</v>
      </c>
      <c r="E2159" s="42">
        <v>1018.57</v>
      </c>
      <c r="F2159" s="2">
        <v>5870000000</v>
      </c>
    </row>
    <row r="2160" spans="1:6">
      <c r="A2160" s="32">
        <v>40609</v>
      </c>
      <c r="B2160">
        <v>998.16</v>
      </c>
      <c r="C2160" s="42">
        <v>1004.39</v>
      </c>
      <c r="D2160">
        <v>996.19</v>
      </c>
      <c r="E2160" s="42">
        <v>1002.94</v>
      </c>
      <c r="F2160" s="2">
        <v>3410000000</v>
      </c>
    </row>
    <row r="2161" spans="1:6">
      <c r="A2161" s="32">
        <v>40606</v>
      </c>
      <c r="B2161">
        <v>996.29</v>
      </c>
      <c r="C2161" s="42">
        <v>1000.53</v>
      </c>
      <c r="D2161">
        <v>994.94</v>
      </c>
      <c r="E2161">
        <v>995.91</v>
      </c>
      <c r="F2161" s="2">
        <v>2840000000</v>
      </c>
    </row>
    <row r="2162" spans="1:6">
      <c r="A2162" s="32">
        <v>40605</v>
      </c>
      <c r="B2162">
        <v>992.07</v>
      </c>
      <c r="C2162">
        <v>993.27</v>
      </c>
      <c r="D2162">
        <v>985.6</v>
      </c>
      <c r="E2162">
        <v>990.08</v>
      </c>
      <c r="F2162" s="2">
        <v>2680000000</v>
      </c>
    </row>
    <row r="2163" spans="1:6">
      <c r="A2163" s="32">
        <v>40604</v>
      </c>
      <c r="B2163">
        <v>988.59</v>
      </c>
      <c r="C2163">
        <v>992.82</v>
      </c>
      <c r="D2163">
        <v>984.55</v>
      </c>
      <c r="E2163">
        <v>987.59</v>
      </c>
      <c r="F2163" s="2">
        <v>2260000000</v>
      </c>
    </row>
    <row r="2164" spans="1:6">
      <c r="A2164" s="32">
        <v>40603</v>
      </c>
      <c r="B2164">
        <v>991.2</v>
      </c>
      <c r="C2164">
        <v>994.48</v>
      </c>
      <c r="D2164">
        <v>985.98</v>
      </c>
      <c r="E2164">
        <v>994.48</v>
      </c>
      <c r="F2164" s="2">
        <v>3860000000</v>
      </c>
    </row>
    <row r="2165" spans="1:6">
      <c r="A2165" s="32">
        <v>40602</v>
      </c>
      <c r="B2165">
        <v>980.61</v>
      </c>
      <c r="C2165">
        <v>987.91</v>
      </c>
      <c r="D2165">
        <v>980.61</v>
      </c>
      <c r="E2165">
        <v>987.91</v>
      </c>
      <c r="F2165" s="2">
        <v>2860000000</v>
      </c>
    </row>
    <row r="2166" spans="1:6">
      <c r="A2166" s="32">
        <v>40599</v>
      </c>
      <c r="B2166">
        <v>981.54</v>
      </c>
      <c r="C2166">
        <v>987.74</v>
      </c>
      <c r="D2166">
        <v>978.54</v>
      </c>
      <c r="E2166">
        <v>985.91</v>
      </c>
      <c r="F2166" s="2">
        <v>2710000000</v>
      </c>
    </row>
    <row r="2167" spans="1:6">
      <c r="A2167" s="32">
        <v>40598</v>
      </c>
      <c r="B2167">
        <v>996.25</v>
      </c>
      <c r="C2167">
        <v>997.28</v>
      </c>
      <c r="D2167">
        <v>977.08</v>
      </c>
      <c r="E2167">
        <v>977.22</v>
      </c>
      <c r="F2167" s="2">
        <v>3790000000</v>
      </c>
    </row>
    <row r="2168" spans="1:6">
      <c r="A2168" s="32">
        <v>40597</v>
      </c>
      <c r="B2168">
        <v>990.72</v>
      </c>
      <c r="C2168">
        <v>996.36</v>
      </c>
      <c r="D2168">
        <v>985.72</v>
      </c>
      <c r="E2168">
        <v>990.91</v>
      </c>
      <c r="F2168" s="2">
        <v>3920000000</v>
      </c>
    </row>
    <row r="2169" spans="1:6">
      <c r="A2169" s="32">
        <v>40596</v>
      </c>
      <c r="B2169">
        <v>984.58</v>
      </c>
      <c r="C2169">
        <v>989.82</v>
      </c>
      <c r="D2169">
        <v>982.42</v>
      </c>
      <c r="E2169">
        <v>987.21</v>
      </c>
      <c r="F2169" s="2">
        <v>2830000000</v>
      </c>
    </row>
    <row r="2170" spans="1:6">
      <c r="A2170" s="32">
        <v>40595</v>
      </c>
      <c r="B2170" s="42">
        <v>1000.34</v>
      </c>
      <c r="C2170" s="42">
        <v>1000.9</v>
      </c>
      <c r="D2170">
        <v>988.31</v>
      </c>
      <c r="E2170">
        <v>995.67</v>
      </c>
      <c r="F2170" s="2">
        <v>2570000000</v>
      </c>
    </row>
    <row r="2171" spans="1:6">
      <c r="A2171" s="32">
        <v>40591</v>
      </c>
      <c r="B2171">
        <v>987.88</v>
      </c>
      <c r="C2171">
        <v>995.93</v>
      </c>
      <c r="D2171">
        <v>987.3</v>
      </c>
      <c r="E2171">
        <v>995.57</v>
      </c>
      <c r="F2171" s="2">
        <v>2840000000</v>
      </c>
    </row>
    <row r="2172" spans="1:6">
      <c r="A2172" s="32">
        <v>40590</v>
      </c>
      <c r="B2172">
        <v>970.92</v>
      </c>
      <c r="C2172">
        <v>982.72</v>
      </c>
      <c r="D2172">
        <v>970.92</v>
      </c>
      <c r="E2172">
        <v>982.07</v>
      </c>
      <c r="F2172" s="2">
        <v>3060000000</v>
      </c>
    </row>
    <row r="2173" spans="1:6">
      <c r="A2173" s="32">
        <v>40589</v>
      </c>
      <c r="B2173">
        <v>970.12</v>
      </c>
      <c r="C2173">
        <v>975.7</v>
      </c>
      <c r="D2173">
        <v>964.77</v>
      </c>
      <c r="E2173">
        <v>968.49</v>
      </c>
      <c r="F2173" s="2">
        <v>3200000000</v>
      </c>
    </row>
    <row r="2174" spans="1:6">
      <c r="A2174" s="32">
        <v>40588</v>
      </c>
      <c r="B2174">
        <v>958.34</v>
      </c>
      <c r="C2174">
        <v>969.23</v>
      </c>
      <c r="D2174">
        <v>957.8</v>
      </c>
      <c r="E2174">
        <v>967.07</v>
      </c>
      <c r="F2174" s="2">
        <v>2520000000</v>
      </c>
    </row>
    <row r="2175" spans="1:6">
      <c r="A2175" s="32">
        <v>40585</v>
      </c>
      <c r="B2175">
        <v>948.95</v>
      </c>
      <c r="C2175">
        <v>951.74</v>
      </c>
      <c r="D2175">
        <v>937.06</v>
      </c>
      <c r="E2175">
        <v>949.57</v>
      </c>
      <c r="F2175" s="2">
        <v>3090000000</v>
      </c>
    </row>
    <row r="2176" spans="1:6">
      <c r="A2176" s="32">
        <v>40584</v>
      </c>
      <c r="B2176">
        <v>962.75</v>
      </c>
      <c r="C2176">
        <v>963.28</v>
      </c>
      <c r="D2176">
        <v>949.09</v>
      </c>
      <c r="E2176">
        <v>949.09</v>
      </c>
      <c r="F2176" s="2">
        <v>3570000000</v>
      </c>
    </row>
    <row r="2177" spans="1:6">
      <c r="A2177" s="32">
        <v>40583</v>
      </c>
      <c r="B2177">
        <v>981.91</v>
      </c>
      <c r="C2177">
        <v>985.69</v>
      </c>
      <c r="D2177">
        <v>968.93</v>
      </c>
      <c r="E2177">
        <v>969.89</v>
      </c>
      <c r="F2177" s="2">
        <v>3270000000</v>
      </c>
    </row>
    <row r="2178" spans="1:6">
      <c r="A2178" s="32">
        <v>40582</v>
      </c>
      <c r="B2178">
        <v>982.41</v>
      </c>
      <c r="C2178">
        <v>987.42</v>
      </c>
      <c r="D2178">
        <v>981.35</v>
      </c>
      <c r="E2178">
        <v>983.53</v>
      </c>
      <c r="F2178" s="2">
        <v>2790000000</v>
      </c>
    </row>
    <row r="2179" spans="1:6">
      <c r="A2179" s="32">
        <v>40581</v>
      </c>
      <c r="B2179">
        <v>978.15</v>
      </c>
      <c r="C2179">
        <v>985.63</v>
      </c>
      <c r="D2179">
        <v>974.78</v>
      </c>
      <c r="E2179">
        <v>985.63</v>
      </c>
      <c r="F2179" s="2">
        <v>2730000000</v>
      </c>
    </row>
    <row r="2180" spans="1:6">
      <c r="A2180" s="32">
        <v>40578</v>
      </c>
      <c r="B2180">
        <v>992.12</v>
      </c>
      <c r="C2180">
        <v>995.28</v>
      </c>
      <c r="D2180">
        <v>983.37</v>
      </c>
      <c r="E2180">
        <v>984.78</v>
      </c>
      <c r="F2180" s="2">
        <v>3100000000</v>
      </c>
    </row>
    <row r="2181" spans="1:6">
      <c r="A2181" s="32">
        <v>40577</v>
      </c>
      <c r="B2181">
        <v>977.4</v>
      </c>
      <c r="C2181">
        <v>983.2</v>
      </c>
      <c r="D2181">
        <v>977.22</v>
      </c>
      <c r="E2181">
        <v>980.6</v>
      </c>
      <c r="F2181" s="2">
        <v>2250000000</v>
      </c>
    </row>
    <row r="2182" spans="1:6">
      <c r="A2182" s="32">
        <v>40576</v>
      </c>
      <c r="B2182">
        <v>969.38</v>
      </c>
      <c r="C2182">
        <v>977.84</v>
      </c>
      <c r="D2182">
        <v>964.97</v>
      </c>
      <c r="E2182">
        <v>977.84</v>
      </c>
      <c r="F2182" s="2">
        <v>1970000000</v>
      </c>
    </row>
    <row r="2183" spans="1:6">
      <c r="A2183" s="32">
        <v>40575</v>
      </c>
      <c r="B2183">
        <v>971.23</v>
      </c>
      <c r="C2183">
        <v>973.88</v>
      </c>
      <c r="D2183">
        <v>959.69</v>
      </c>
      <c r="E2183">
        <v>959.69</v>
      </c>
      <c r="F2183" s="2">
        <v>3590000000</v>
      </c>
    </row>
    <row r="2184" spans="1:6">
      <c r="A2184" s="32">
        <v>40574</v>
      </c>
      <c r="B2184">
        <v>966.56</v>
      </c>
      <c r="C2184">
        <v>970.61</v>
      </c>
      <c r="D2184">
        <v>962.95</v>
      </c>
      <c r="E2184">
        <v>964.1</v>
      </c>
      <c r="F2184" s="2">
        <v>2510000000</v>
      </c>
    </row>
    <row r="2185" spans="1:6">
      <c r="A2185" s="32">
        <v>40571</v>
      </c>
      <c r="B2185">
        <v>982.22</v>
      </c>
      <c r="C2185">
        <v>982.6</v>
      </c>
      <c r="D2185">
        <v>973.27</v>
      </c>
      <c r="E2185">
        <v>981.83</v>
      </c>
      <c r="F2185" s="2">
        <v>4340000000</v>
      </c>
    </row>
    <row r="2186" spans="1:6">
      <c r="A2186" s="32">
        <v>40570</v>
      </c>
      <c r="B2186">
        <v>982.32</v>
      </c>
      <c r="C2186">
        <v>987.85</v>
      </c>
      <c r="D2186">
        <v>980.67</v>
      </c>
      <c r="E2186">
        <v>986.71</v>
      </c>
      <c r="F2186" s="2">
        <v>2980000000</v>
      </c>
    </row>
    <row r="2187" spans="1:6">
      <c r="A2187" s="32">
        <v>40569</v>
      </c>
      <c r="B2187">
        <v>965.91</v>
      </c>
      <c r="C2187">
        <v>978.39</v>
      </c>
      <c r="D2187">
        <v>963.65</v>
      </c>
      <c r="E2187">
        <v>978.07</v>
      </c>
      <c r="F2187" s="2">
        <v>4380000000</v>
      </c>
    </row>
    <row r="2188" spans="1:6">
      <c r="A2188" s="32">
        <v>40568</v>
      </c>
      <c r="B2188">
        <v>968.15</v>
      </c>
      <c r="C2188">
        <v>972.72</v>
      </c>
      <c r="D2188">
        <v>950.61</v>
      </c>
      <c r="E2188">
        <v>959.17</v>
      </c>
      <c r="F2188" s="2">
        <v>4630000000</v>
      </c>
    </row>
    <row r="2189" spans="1:6">
      <c r="A2189" s="32">
        <v>40567</v>
      </c>
      <c r="B2189">
        <v>999.42</v>
      </c>
      <c r="C2189">
        <v>999.59</v>
      </c>
      <c r="D2189">
        <v>963.68</v>
      </c>
      <c r="E2189">
        <v>963.68</v>
      </c>
      <c r="F2189" s="2">
        <v>5380000000</v>
      </c>
    </row>
    <row r="2190" spans="1:6">
      <c r="A2190" s="32">
        <v>40564</v>
      </c>
      <c r="B2190" s="42">
        <v>1014.9</v>
      </c>
      <c r="C2190" s="42">
        <v>1018.31</v>
      </c>
      <c r="D2190" s="42">
        <v>1000.96</v>
      </c>
      <c r="E2190" s="42">
        <v>1006.57</v>
      </c>
      <c r="F2190" s="2">
        <v>3440000000</v>
      </c>
    </row>
    <row r="2191" spans="1:6">
      <c r="A2191" s="32">
        <v>40563</v>
      </c>
      <c r="B2191" s="42">
        <v>1029.19</v>
      </c>
      <c r="C2191" s="42">
        <v>1031.99</v>
      </c>
      <c r="D2191" s="42">
        <v>1017.94</v>
      </c>
      <c r="E2191" s="42">
        <v>1022.16</v>
      </c>
      <c r="F2191" s="2">
        <v>3350000000</v>
      </c>
    </row>
    <row r="2192" spans="1:6">
      <c r="A2192" s="32">
        <v>40562</v>
      </c>
      <c r="B2192" s="42">
        <v>1029.6500000000001</v>
      </c>
      <c r="C2192" s="42">
        <v>1034.8</v>
      </c>
      <c r="D2192" s="42">
        <v>1027.25</v>
      </c>
      <c r="E2192" s="42">
        <v>1034.8</v>
      </c>
      <c r="F2192" s="2">
        <v>3350000000</v>
      </c>
    </row>
    <row r="2193" spans="1:6">
      <c r="A2193" s="32">
        <v>40561</v>
      </c>
      <c r="B2193" s="42">
        <v>1025.8399999999999</v>
      </c>
      <c r="C2193" s="42">
        <v>1029.77</v>
      </c>
      <c r="D2193" s="42">
        <v>1023.12</v>
      </c>
      <c r="E2193" s="42">
        <v>1024.54</v>
      </c>
      <c r="F2193" s="2">
        <v>4090000000</v>
      </c>
    </row>
    <row r="2194" spans="1:6">
      <c r="A2194" s="32">
        <v>40560</v>
      </c>
      <c r="B2194" s="42">
        <v>1033.6600000000001</v>
      </c>
      <c r="C2194" s="42">
        <v>1034.21</v>
      </c>
      <c r="D2194" s="42">
        <v>1022.75</v>
      </c>
      <c r="E2194" s="42">
        <v>1023.19</v>
      </c>
      <c r="F2194" s="2">
        <v>4040000000</v>
      </c>
    </row>
    <row r="2195" spans="1:6">
      <c r="A2195" s="32">
        <v>40557</v>
      </c>
      <c r="B2195" s="42">
        <v>1033.68</v>
      </c>
      <c r="C2195" s="42">
        <v>1035.44</v>
      </c>
      <c r="D2195" s="42">
        <v>1027.31</v>
      </c>
      <c r="E2195" s="42">
        <v>1032.26</v>
      </c>
      <c r="F2195" s="2">
        <v>3470000000</v>
      </c>
    </row>
    <row r="2196" spans="1:6">
      <c r="A2196" s="32">
        <v>40556</v>
      </c>
      <c r="B2196" s="42">
        <v>1028.6300000000001</v>
      </c>
      <c r="C2196" s="42">
        <v>1035.08</v>
      </c>
      <c r="D2196" s="42">
        <v>1025.97</v>
      </c>
      <c r="E2196" s="42">
        <v>1035.08</v>
      </c>
      <c r="F2196" s="2">
        <v>2930000000</v>
      </c>
    </row>
    <row r="2197" spans="1:6">
      <c r="A2197" s="32">
        <v>40555</v>
      </c>
      <c r="B2197" s="42">
        <v>1022.33</v>
      </c>
      <c r="C2197" s="42">
        <v>1027.92</v>
      </c>
      <c r="D2197" s="42">
        <v>1014.9</v>
      </c>
      <c r="E2197" s="42">
        <v>1019.51</v>
      </c>
      <c r="F2197" s="2">
        <v>3750000000</v>
      </c>
    </row>
    <row r="2198" spans="1:6">
      <c r="A2198" s="32">
        <v>40554</v>
      </c>
      <c r="B2198" s="42">
        <v>1015.85</v>
      </c>
      <c r="C2198" s="42">
        <v>1018.75</v>
      </c>
      <c r="D2198" s="42">
        <v>1008.24</v>
      </c>
      <c r="E2198" s="42">
        <v>1013.39</v>
      </c>
      <c r="F2198" s="2">
        <v>2990000000</v>
      </c>
    </row>
    <row r="2199" spans="1:6">
      <c r="A2199" s="32">
        <v>40553</v>
      </c>
      <c r="B2199" s="42">
        <v>1033.95</v>
      </c>
      <c r="C2199" s="42">
        <v>1035.6500000000001</v>
      </c>
      <c r="D2199" s="42">
        <v>1007.78</v>
      </c>
      <c r="E2199" s="42">
        <v>1018.03</v>
      </c>
      <c r="F2199" s="2">
        <v>4370000000</v>
      </c>
    </row>
    <row r="2200" spans="1:6">
      <c r="A2200" s="32">
        <v>40550</v>
      </c>
      <c r="B2200" s="42">
        <v>1050.54</v>
      </c>
      <c r="C2200" s="42">
        <v>1051.49</v>
      </c>
      <c r="D2200" s="42">
        <v>1036.27</v>
      </c>
      <c r="E2200" s="42">
        <v>1036.45</v>
      </c>
      <c r="F2200" s="2">
        <v>4970000000</v>
      </c>
    </row>
    <row r="2201" spans="1:6">
      <c r="A2201" s="32">
        <v>40549</v>
      </c>
      <c r="B2201" s="42">
        <v>1055.3599999999999</v>
      </c>
      <c r="C2201" s="42">
        <v>1056.44</v>
      </c>
      <c r="D2201" s="42">
        <v>1045.18</v>
      </c>
      <c r="E2201" s="42">
        <v>1050.98</v>
      </c>
      <c r="F2201" s="2">
        <v>5520000000</v>
      </c>
    </row>
    <row r="2202" spans="1:6">
      <c r="A2202" s="32">
        <v>40548</v>
      </c>
      <c r="B2202" s="42">
        <v>1044.6199999999999</v>
      </c>
      <c r="C2202" s="42">
        <v>1052.3599999999999</v>
      </c>
      <c r="D2202" s="42">
        <v>1044.18</v>
      </c>
      <c r="E2202" s="42">
        <v>1050.78</v>
      </c>
      <c r="F2202" s="2">
        <v>5770000000</v>
      </c>
    </row>
    <row r="2203" spans="1:6">
      <c r="A2203" s="32">
        <v>40547</v>
      </c>
      <c r="B2203" s="42">
        <v>1042.73</v>
      </c>
      <c r="C2203" s="42">
        <v>1048.8</v>
      </c>
      <c r="D2203" s="42">
        <v>1040.06</v>
      </c>
      <c r="E2203" s="42">
        <v>1042.4100000000001</v>
      </c>
      <c r="F2203" s="2">
        <v>6090000000</v>
      </c>
    </row>
    <row r="2204" spans="1:6">
      <c r="A2204" s="32">
        <v>40542</v>
      </c>
      <c r="B2204" s="42">
        <v>1035.1600000000001</v>
      </c>
      <c r="C2204" s="42">
        <v>1036.72</v>
      </c>
      <c r="D2204" s="42">
        <v>1029.96</v>
      </c>
      <c r="E2204" s="42">
        <v>1032.76</v>
      </c>
      <c r="F2204" s="2">
        <v>3020000000</v>
      </c>
    </row>
    <row r="2205" spans="1:6">
      <c r="A2205" s="32">
        <v>40541</v>
      </c>
      <c r="B2205" s="42">
        <v>1031.99</v>
      </c>
      <c r="C2205" s="42">
        <v>1036.46</v>
      </c>
      <c r="D2205" s="42">
        <v>1030.8399999999999</v>
      </c>
      <c r="E2205" s="42">
        <v>1034.5899999999999</v>
      </c>
      <c r="F2205" s="2">
        <v>2940000000</v>
      </c>
    </row>
    <row r="2206" spans="1:6">
      <c r="A2206" s="32">
        <v>40540</v>
      </c>
      <c r="B2206" s="42">
        <v>1020.36</v>
      </c>
      <c r="C2206" s="42">
        <v>1028.6099999999999</v>
      </c>
      <c r="D2206" s="42">
        <v>1018.05</v>
      </c>
      <c r="E2206" s="42">
        <v>1028.33</v>
      </c>
      <c r="F2206" s="2">
        <v>2880000000</v>
      </c>
    </row>
    <row r="2207" spans="1:6">
      <c r="A2207" s="32">
        <v>40539</v>
      </c>
      <c r="B2207" s="42">
        <v>1023.19</v>
      </c>
      <c r="C2207" s="42">
        <v>1024.97</v>
      </c>
      <c r="D2207" s="42">
        <v>1018.1</v>
      </c>
      <c r="E2207" s="42">
        <v>1019.46</v>
      </c>
      <c r="F2207" s="2">
        <v>2010000000</v>
      </c>
    </row>
    <row r="2208" spans="1:6">
      <c r="A2208" s="32">
        <v>40536</v>
      </c>
      <c r="B2208" s="42">
        <v>1023.07</v>
      </c>
      <c r="C2208" s="42">
        <v>1024.54</v>
      </c>
      <c r="D2208" s="42">
        <v>1017.93</v>
      </c>
      <c r="E2208" s="42">
        <v>1021.99</v>
      </c>
      <c r="F2208" s="2">
        <v>2130000000</v>
      </c>
    </row>
    <row r="2209" spans="1:6">
      <c r="A2209" s="32">
        <v>40535</v>
      </c>
      <c r="B2209" s="42">
        <v>1022.34</v>
      </c>
      <c r="C2209" s="42">
        <v>1024.77</v>
      </c>
      <c r="D2209" s="42">
        <v>1020.58</v>
      </c>
      <c r="E2209" s="42">
        <v>1021.27</v>
      </c>
      <c r="F2209" s="2">
        <v>2920000000</v>
      </c>
    </row>
    <row r="2210" spans="1:6">
      <c r="A2210" s="32">
        <v>40534</v>
      </c>
      <c r="B2210" s="42">
        <v>1016.77</v>
      </c>
      <c r="C2210" s="42">
        <v>1020.52</v>
      </c>
      <c r="D2210" s="42">
        <v>1013.27</v>
      </c>
      <c r="E2210" s="42">
        <v>1019.14</v>
      </c>
      <c r="F2210" s="2">
        <v>2710000000</v>
      </c>
    </row>
    <row r="2211" spans="1:6">
      <c r="A2211" s="32">
        <v>40533</v>
      </c>
      <c r="B2211" s="42">
        <v>1011.41</v>
      </c>
      <c r="C2211" s="42">
        <v>1014.67</v>
      </c>
      <c r="D2211" s="42">
        <v>1002.07</v>
      </c>
      <c r="E2211" s="42">
        <v>1013.19</v>
      </c>
      <c r="F2211" s="2">
        <v>3500000000</v>
      </c>
    </row>
    <row r="2212" spans="1:6">
      <c r="A2212" s="32">
        <v>40532</v>
      </c>
      <c r="B2212" s="42">
        <v>1023.46</v>
      </c>
      <c r="C2212" s="42">
        <v>1025.1099999999999</v>
      </c>
      <c r="D2212" s="42">
        <v>1006.51</v>
      </c>
      <c r="E2212" s="42">
        <v>1006.51</v>
      </c>
      <c r="F2212" s="2">
        <v>2560000000</v>
      </c>
    </row>
    <row r="2213" spans="1:6">
      <c r="A2213" s="32">
        <v>40529</v>
      </c>
      <c r="B2213" s="42">
        <v>1031.6300000000001</v>
      </c>
      <c r="C2213" s="42">
        <v>1032.42</v>
      </c>
      <c r="D2213" s="42">
        <v>1020.91</v>
      </c>
      <c r="E2213" s="42">
        <v>1022.46</v>
      </c>
      <c r="F2213" s="2">
        <v>3080000000</v>
      </c>
    </row>
    <row r="2214" spans="1:6">
      <c r="A2214" s="32">
        <v>40528</v>
      </c>
      <c r="B2214" s="42">
        <v>1031.53</v>
      </c>
      <c r="C2214" s="42">
        <v>1033.69</v>
      </c>
      <c r="D2214" s="42">
        <v>1024.3900000000001</v>
      </c>
      <c r="E2214" s="42">
        <v>1029.5999999999999</v>
      </c>
      <c r="F2214" s="2">
        <v>4090000000</v>
      </c>
    </row>
    <row r="2215" spans="1:6">
      <c r="A2215" s="32">
        <v>40527</v>
      </c>
      <c r="B2215" s="42">
        <v>1035.74</v>
      </c>
      <c r="C2215" s="42">
        <v>1039.46</v>
      </c>
      <c r="D2215" s="42">
        <v>1031.8599999999999</v>
      </c>
      <c r="E2215" s="42">
        <v>1035.47</v>
      </c>
      <c r="F2215" s="2">
        <v>5340000000</v>
      </c>
    </row>
    <row r="2216" spans="1:6">
      <c r="A2216" s="32">
        <v>40526</v>
      </c>
      <c r="B2216" s="42">
        <v>1036.3699999999999</v>
      </c>
      <c r="C2216" s="42">
        <v>1038.67</v>
      </c>
      <c r="D2216" s="42">
        <v>1033.48</v>
      </c>
      <c r="E2216" s="42">
        <v>1037.4100000000001</v>
      </c>
      <c r="F2216" s="2">
        <v>4370000000</v>
      </c>
    </row>
    <row r="2217" spans="1:6">
      <c r="A2217" s="32">
        <v>40525</v>
      </c>
      <c r="B2217" s="42">
        <v>1042.98</v>
      </c>
      <c r="C2217" s="42">
        <v>1044.29</v>
      </c>
      <c r="D2217" s="42">
        <v>1031.24</v>
      </c>
      <c r="E2217" s="42">
        <v>1033.32</v>
      </c>
      <c r="F2217" s="2">
        <v>2990000000</v>
      </c>
    </row>
    <row r="2218" spans="1:6">
      <c r="A2218" s="32">
        <v>40521</v>
      </c>
      <c r="B2218" s="42">
        <v>1032.68</v>
      </c>
      <c r="C2218" s="42">
        <v>1037.42</v>
      </c>
      <c r="D2218" s="42">
        <v>1027</v>
      </c>
      <c r="E2218" s="42">
        <v>1035.8499999999999</v>
      </c>
      <c r="F2218" s="2">
        <v>3630000000</v>
      </c>
    </row>
    <row r="2219" spans="1:6">
      <c r="A2219" s="32">
        <v>40520</v>
      </c>
      <c r="B2219" s="42">
        <v>1038.5999999999999</v>
      </c>
      <c r="C2219" s="42">
        <v>1039.98</v>
      </c>
      <c r="D2219" s="42">
        <v>1023.71</v>
      </c>
      <c r="E2219" s="42">
        <v>1025.08</v>
      </c>
      <c r="F2219" s="2">
        <v>4090000000</v>
      </c>
    </row>
    <row r="2220" spans="1:6">
      <c r="A2220" s="32">
        <v>40519</v>
      </c>
      <c r="B2220" s="42">
        <v>1038.95</v>
      </c>
      <c r="C2220" s="42">
        <v>1044.44</v>
      </c>
      <c r="D2220" s="42">
        <v>1037.97</v>
      </c>
      <c r="E2220" s="42">
        <v>1040.72</v>
      </c>
      <c r="F2220" s="2">
        <v>4240000000</v>
      </c>
    </row>
    <row r="2221" spans="1:6">
      <c r="A2221" s="32">
        <v>40515</v>
      </c>
      <c r="B2221" s="42">
        <v>1037.75</v>
      </c>
      <c r="C2221" s="42">
        <v>1040.44</v>
      </c>
      <c r="D2221" s="42">
        <v>1032.18</v>
      </c>
      <c r="E2221" s="42">
        <v>1034.06</v>
      </c>
      <c r="F2221" s="2">
        <v>4480000000</v>
      </c>
    </row>
    <row r="2222" spans="1:6">
      <c r="A2222" s="32">
        <v>40514</v>
      </c>
      <c r="B2222" s="42">
        <v>1026.68</v>
      </c>
      <c r="C2222" s="42">
        <v>1034.47</v>
      </c>
      <c r="D2222" s="42">
        <v>1025.73</v>
      </c>
      <c r="E2222" s="42">
        <v>1031.97</v>
      </c>
      <c r="F2222" s="2">
        <v>5820000000</v>
      </c>
    </row>
    <row r="2223" spans="1:6">
      <c r="A2223" s="32">
        <v>40513</v>
      </c>
      <c r="B2223" s="42">
        <v>1006.72</v>
      </c>
      <c r="C2223" s="42">
        <v>1018.57</v>
      </c>
      <c r="D2223">
        <v>999.34</v>
      </c>
      <c r="E2223" s="42">
        <v>1017.64</v>
      </c>
      <c r="F2223" s="2">
        <v>6140000000</v>
      </c>
    </row>
    <row r="2224" spans="1:6">
      <c r="A2224" s="32">
        <v>40512</v>
      </c>
      <c r="B2224" s="42">
        <v>1006.64</v>
      </c>
      <c r="C2224" s="42">
        <v>1010.65</v>
      </c>
      <c r="D2224" s="42">
        <v>1002.43</v>
      </c>
      <c r="E2224" s="42">
        <v>1005.12</v>
      </c>
      <c r="F2224" s="2">
        <v>4250000000</v>
      </c>
    </row>
    <row r="2225" spans="1:6">
      <c r="A2225" s="32">
        <v>40511</v>
      </c>
      <c r="B2225">
        <v>985.7</v>
      </c>
      <c r="C2225" s="42">
        <v>1009</v>
      </c>
      <c r="D2225">
        <v>983.72</v>
      </c>
      <c r="E2225" s="42">
        <v>1009</v>
      </c>
      <c r="F2225" s="2">
        <v>3670000000</v>
      </c>
    </row>
    <row r="2226" spans="1:6">
      <c r="A2226" s="32">
        <v>40508</v>
      </c>
      <c r="B2226">
        <v>998.46</v>
      </c>
      <c r="C2226">
        <v>999.1</v>
      </c>
      <c r="D2226">
        <v>983.08</v>
      </c>
      <c r="E2226">
        <v>991.71</v>
      </c>
      <c r="F2226" s="2">
        <v>4480000000</v>
      </c>
    </row>
    <row r="2227" spans="1:6">
      <c r="A2227" s="32">
        <v>40507</v>
      </c>
      <c r="B2227" s="42">
        <v>1011.5</v>
      </c>
      <c r="C2227" s="42">
        <v>1013.28</v>
      </c>
      <c r="D2227">
        <v>996.09</v>
      </c>
      <c r="E2227">
        <v>996.42</v>
      </c>
      <c r="F2227" s="2">
        <v>7150000000</v>
      </c>
    </row>
    <row r="2228" spans="1:6">
      <c r="A2228" s="32">
        <v>40506</v>
      </c>
      <c r="B2228" s="42">
        <v>1009.92</v>
      </c>
      <c r="C2228" s="42">
        <v>1010.18</v>
      </c>
      <c r="D2228" s="42">
        <v>1001.77</v>
      </c>
      <c r="E2228" s="42">
        <v>1005.97</v>
      </c>
      <c r="F2228" s="2">
        <v>4450000000</v>
      </c>
    </row>
    <row r="2229" spans="1:6">
      <c r="A2229" s="32">
        <v>40505</v>
      </c>
      <c r="B2229" s="42">
        <v>1010.8</v>
      </c>
      <c r="C2229" s="42">
        <v>1014.95</v>
      </c>
      <c r="D2229">
        <v>999.34</v>
      </c>
      <c r="E2229" s="42">
        <v>1009.47</v>
      </c>
      <c r="F2229" s="2">
        <v>5190000000</v>
      </c>
    </row>
    <row r="2230" spans="1:6">
      <c r="A2230" s="32">
        <v>40504</v>
      </c>
      <c r="B2230" s="42">
        <v>1012.96</v>
      </c>
      <c r="C2230" s="42">
        <v>1020.34</v>
      </c>
      <c r="D2230" s="42">
        <v>1011.83</v>
      </c>
      <c r="E2230" s="42">
        <v>1019.19</v>
      </c>
      <c r="F2230" s="2">
        <v>4770000000</v>
      </c>
    </row>
    <row r="2231" spans="1:6">
      <c r="A2231" s="32">
        <v>40501</v>
      </c>
      <c r="B2231" s="42">
        <v>1012.2</v>
      </c>
      <c r="C2231" s="42">
        <v>1012.2</v>
      </c>
      <c r="D2231" s="42">
        <v>1002.5</v>
      </c>
      <c r="E2231" s="42">
        <v>1008.77</v>
      </c>
      <c r="F2231" s="2">
        <v>3910000000</v>
      </c>
    </row>
    <row r="2232" spans="1:6">
      <c r="A2232" s="32">
        <v>40500</v>
      </c>
      <c r="B2232">
        <v>991.19</v>
      </c>
      <c r="C2232" s="42">
        <v>1004.72</v>
      </c>
      <c r="D2232">
        <v>986.85</v>
      </c>
      <c r="E2232" s="42">
        <v>1004.72</v>
      </c>
      <c r="F2232" s="2">
        <v>4860000000</v>
      </c>
    </row>
    <row r="2233" spans="1:6">
      <c r="A2233" s="32">
        <v>40499</v>
      </c>
      <c r="B2233">
        <v>994.94</v>
      </c>
      <c r="C2233">
        <v>997.94</v>
      </c>
      <c r="D2233">
        <v>978.52</v>
      </c>
      <c r="E2233">
        <v>990.13</v>
      </c>
      <c r="F2233" s="2">
        <v>4560000000</v>
      </c>
    </row>
    <row r="2234" spans="1:6">
      <c r="A2234" s="32">
        <v>40498</v>
      </c>
      <c r="B2234" s="42">
        <v>1024.8900000000001</v>
      </c>
      <c r="C2234" s="42">
        <v>1031.1600000000001</v>
      </c>
      <c r="D2234" s="42">
        <v>1000.73</v>
      </c>
      <c r="E2234" s="42">
        <v>1000.73</v>
      </c>
      <c r="F2234" s="2">
        <v>5360000000</v>
      </c>
    </row>
    <row r="2235" spans="1:6">
      <c r="A2235" s="32">
        <v>40497</v>
      </c>
      <c r="B2235" s="42">
        <v>1013.6</v>
      </c>
      <c r="C2235" s="42">
        <v>1029.1400000000001</v>
      </c>
      <c r="D2235" s="42">
        <v>1009.12</v>
      </c>
      <c r="E2235" s="42">
        <v>1029.1400000000001</v>
      </c>
      <c r="F2235" s="2">
        <v>4510000000</v>
      </c>
    </row>
    <row r="2236" spans="1:6">
      <c r="A2236" s="32">
        <v>40494</v>
      </c>
      <c r="B2236" s="42">
        <v>1025.51</v>
      </c>
      <c r="C2236" s="42">
        <v>1026.4000000000001</v>
      </c>
      <c r="D2236">
        <v>999.48</v>
      </c>
      <c r="E2236" s="42">
        <v>1018.86</v>
      </c>
      <c r="F2236" s="2">
        <v>5400000000</v>
      </c>
    </row>
    <row r="2237" spans="1:6">
      <c r="A2237" s="32">
        <v>40493</v>
      </c>
      <c r="B2237" s="42">
        <v>1047.94</v>
      </c>
      <c r="C2237" s="42">
        <v>1049.18</v>
      </c>
      <c r="D2237" s="42">
        <v>1029.8599999999999</v>
      </c>
      <c r="E2237" s="42">
        <v>1029.8599999999999</v>
      </c>
      <c r="F2237" s="2">
        <v>4810000000</v>
      </c>
    </row>
    <row r="2238" spans="1:6">
      <c r="A2238" s="32">
        <v>40492</v>
      </c>
      <c r="B2238" s="42">
        <v>1047.49</v>
      </c>
      <c r="C2238" s="42">
        <v>1055.25</v>
      </c>
      <c r="D2238" s="42">
        <v>1040.02</v>
      </c>
      <c r="E2238" s="42">
        <v>1042.28</v>
      </c>
      <c r="F2238" s="2">
        <v>5780000000</v>
      </c>
    </row>
    <row r="2239" spans="1:6">
      <c r="A2239" s="32">
        <v>40491</v>
      </c>
      <c r="B2239" s="42">
        <v>1043.26</v>
      </c>
      <c r="C2239" s="42">
        <v>1050.73</v>
      </c>
      <c r="D2239" s="42">
        <v>1042.23</v>
      </c>
      <c r="E2239" s="42">
        <v>1047.55</v>
      </c>
      <c r="F2239" s="2">
        <v>4650000000</v>
      </c>
    </row>
    <row r="2240" spans="1:6">
      <c r="A2240" s="32">
        <v>40490</v>
      </c>
      <c r="B2240" s="42">
        <v>1043.58</v>
      </c>
      <c r="C2240" s="42">
        <v>1049.79</v>
      </c>
      <c r="D2240" s="42">
        <v>1036.49</v>
      </c>
      <c r="E2240" s="42">
        <v>1049.79</v>
      </c>
      <c r="F2240" s="2">
        <v>3860000000</v>
      </c>
    </row>
    <row r="2241" spans="1:6">
      <c r="A2241" s="32">
        <v>40487</v>
      </c>
      <c r="B2241" s="42">
        <v>1046.3900000000001</v>
      </c>
      <c r="C2241" s="42">
        <v>1049.54</v>
      </c>
      <c r="D2241" s="42">
        <v>1040.45</v>
      </c>
      <c r="E2241" s="42">
        <v>1040.45</v>
      </c>
      <c r="F2241" s="2">
        <v>6890000000</v>
      </c>
    </row>
    <row r="2242" spans="1:6">
      <c r="A2242" s="32">
        <v>40486</v>
      </c>
      <c r="B2242" s="42">
        <v>1025.01</v>
      </c>
      <c r="C2242" s="42">
        <v>1031.6099999999999</v>
      </c>
      <c r="D2242" s="42">
        <v>1022.8</v>
      </c>
      <c r="E2242" s="42">
        <v>1031.6099999999999</v>
      </c>
      <c r="F2242" s="2">
        <v>6870000000</v>
      </c>
    </row>
    <row r="2243" spans="1:6">
      <c r="A2243" s="32">
        <v>40485</v>
      </c>
      <c r="B2243" s="42">
        <v>1013.33</v>
      </c>
      <c r="C2243" s="42">
        <v>1019.02</v>
      </c>
      <c r="D2243" s="42">
        <v>1012.21</v>
      </c>
      <c r="E2243" s="42">
        <v>1014.2</v>
      </c>
      <c r="F2243" s="2">
        <v>5010000000</v>
      </c>
    </row>
    <row r="2244" spans="1:6">
      <c r="A2244" s="32">
        <v>40484</v>
      </c>
      <c r="B2244" s="42">
        <v>1003.25</v>
      </c>
      <c r="C2244" s="42">
        <v>1008.86</v>
      </c>
      <c r="D2244" s="42">
        <v>1001.12</v>
      </c>
      <c r="E2244" s="42">
        <v>1005.58</v>
      </c>
      <c r="F2244" s="2">
        <v>4000000000</v>
      </c>
    </row>
    <row r="2245" spans="1:6">
      <c r="A2245" s="32">
        <v>40483</v>
      </c>
      <c r="B2245">
        <v>992.39</v>
      </c>
      <c r="C2245" s="42">
        <v>1003.24</v>
      </c>
      <c r="D2245">
        <v>991.9</v>
      </c>
      <c r="E2245" s="42">
        <v>1003.24</v>
      </c>
      <c r="F2245" s="2">
        <v>4010000000</v>
      </c>
    </row>
    <row r="2246" spans="1:6">
      <c r="A2246" s="32">
        <v>40480</v>
      </c>
      <c r="B2246">
        <v>984.94</v>
      </c>
      <c r="C2246">
        <v>986.9</v>
      </c>
      <c r="D2246">
        <v>979.34</v>
      </c>
      <c r="E2246">
        <v>984.46</v>
      </c>
      <c r="F2246" s="2">
        <v>4140000000</v>
      </c>
    </row>
    <row r="2247" spans="1:6">
      <c r="A2247" s="32">
        <v>40479</v>
      </c>
      <c r="B2247">
        <v>985.03</v>
      </c>
      <c r="C2247">
        <v>990.06</v>
      </c>
      <c r="D2247">
        <v>981.7</v>
      </c>
      <c r="E2247">
        <v>987.23</v>
      </c>
      <c r="F2247" s="2">
        <v>4190000000</v>
      </c>
    </row>
    <row r="2248" spans="1:6">
      <c r="A2248" s="32">
        <v>40478</v>
      </c>
      <c r="B2248" s="42">
        <v>1000.13</v>
      </c>
      <c r="C2248" s="42">
        <v>1000.31</v>
      </c>
      <c r="D2248">
        <v>982.57</v>
      </c>
      <c r="E2248">
        <v>983.96</v>
      </c>
      <c r="F2248" s="2">
        <v>4830000000</v>
      </c>
    </row>
    <row r="2249" spans="1:6">
      <c r="A2249" s="32">
        <v>40477</v>
      </c>
      <c r="B2249">
        <v>995.3</v>
      </c>
      <c r="C2249" s="42">
        <v>1001.06</v>
      </c>
      <c r="D2249">
        <v>993.83</v>
      </c>
      <c r="E2249">
        <v>996.04</v>
      </c>
      <c r="F2249" s="2">
        <v>4260000000</v>
      </c>
    </row>
    <row r="2250" spans="1:6">
      <c r="A2250" s="32">
        <v>40473</v>
      </c>
      <c r="B2250">
        <v>988.64</v>
      </c>
      <c r="C2250">
        <v>992.81</v>
      </c>
      <c r="D2250">
        <v>985.81</v>
      </c>
      <c r="E2250">
        <v>992.24</v>
      </c>
      <c r="F2250" s="2">
        <v>3150000000</v>
      </c>
    </row>
    <row r="2251" spans="1:6">
      <c r="A2251" s="32">
        <v>40472</v>
      </c>
      <c r="B2251">
        <v>992.81</v>
      </c>
      <c r="C2251">
        <v>993.64</v>
      </c>
      <c r="D2251">
        <v>988.6</v>
      </c>
      <c r="E2251">
        <v>988.8</v>
      </c>
      <c r="F2251" s="2">
        <v>3220000000</v>
      </c>
    </row>
    <row r="2252" spans="1:6">
      <c r="A2252" s="32">
        <v>40471</v>
      </c>
      <c r="B2252">
        <v>980.09</v>
      </c>
      <c r="C2252">
        <v>989.05</v>
      </c>
      <c r="D2252">
        <v>979.12</v>
      </c>
      <c r="E2252">
        <v>988.11</v>
      </c>
      <c r="F2252" s="2">
        <v>2690000000</v>
      </c>
    </row>
    <row r="2253" spans="1:6">
      <c r="A2253" s="32">
        <v>40470</v>
      </c>
      <c r="B2253">
        <v>988.84</v>
      </c>
      <c r="C2253">
        <v>991.5</v>
      </c>
      <c r="D2253">
        <v>981.98</v>
      </c>
      <c r="E2253">
        <v>989.27</v>
      </c>
      <c r="F2253" s="2">
        <v>3220000000</v>
      </c>
    </row>
    <row r="2254" spans="1:6">
      <c r="A2254" s="32">
        <v>40469</v>
      </c>
      <c r="B2254">
        <v>993.55</v>
      </c>
      <c r="C2254">
        <v>994.98</v>
      </c>
      <c r="D2254">
        <v>980.58</v>
      </c>
      <c r="E2254">
        <v>984.03</v>
      </c>
      <c r="F2254" s="2">
        <v>5560000000</v>
      </c>
    </row>
    <row r="2255" spans="1:6">
      <c r="A2255" s="32">
        <v>40466</v>
      </c>
      <c r="B2255">
        <v>994.72</v>
      </c>
      <c r="C2255">
        <v>999.43</v>
      </c>
      <c r="D2255">
        <v>991.38</v>
      </c>
      <c r="E2255">
        <v>997.15</v>
      </c>
      <c r="F2255" s="2">
        <v>4180000000</v>
      </c>
    </row>
    <row r="2256" spans="1:6">
      <c r="A2256" s="32">
        <v>40465</v>
      </c>
      <c r="B2256">
        <v>998.03</v>
      </c>
      <c r="C2256">
        <v>999.51</v>
      </c>
      <c r="D2256">
        <v>991.3</v>
      </c>
      <c r="E2256">
        <v>993.72</v>
      </c>
      <c r="F2256" s="2">
        <v>4880000000</v>
      </c>
    </row>
    <row r="2257" spans="1:6">
      <c r="A2257" s="32">
        <v>40464</v>
      </c>
      <c r="B2257">
        <v>983.74</v>
      </c>
      <c r="C2257">
        <v>992.6</v>
      </c>
      <c r="D2257">
        <v>983.47</v>
      </c>
      <c r="E2257">
        <v>992.6</v>
      </c>
      <c r="F2257" s="2">
        <v>5140000000</v>
      </c>
    </row>
    <row r="2258" spans="1:6">
      <c r="A2258" s="32">
        <v>40463</v>
      </c>
      <c r="B2258">
        <v>977.87</v>
      </c>
      <c r="C2258">
        <v>980.42</v>
      </c>
      <c r="D2258">
        <v>971.99</v>
      </c>
      <c r="E2258">
        <v>977.08</v>
      </c>
      <c r="F2258" s="2">
        <v>5020000000</v>
      </c>
    </row>
    <row r="2259" spans="1:6">
      <c r="A2259" s="32">
        <v>40462</v>
      </c>
      <c r="B2259">
        <v>967.91</v>
      </c>
      <c r="C2259">
        <v>977.85</v>
      </c>
      <c r="D2259">
        <v>967.4</v>
      </c>
      <c r="E2259">
        <v>977.85</v>
      </c>
      <c r="F2259" s="2">
        <v>4030000000</v>
      </c>
    </row>
    <row r="2260" spans="1:6">
      <c r="A2260" s="32">
        <v>40459</v>
      </c>
      <c r="B2260">
        <v>972.93</v>
      </c>
      <c r="C2260">
        <v>976.12</v>
      </c>
      <c r="D2260">
        <v>962.3</v>
      </c>
      <c r="E2260">
        <v>963.19</v>
      </c>
      <c r="F2260" s="2">
        <v>4120000000</v>
      </c>
    </row>
    <row r="2261" spans="1:6">
      <c r="A2261" s="32">
        <v>40458</v>
      </c>
      <c r="B2261">
        <v>978.75</v>
      </c>
      <c r="C2261">
        <v>983.37</v>
      </c>
      <c r="D2261">
        <v>970.9</v>
      </c>
      <c r="E2261">
        <v>970.9</v>
      </c>
      <c r="F2261" s="2">
        <v>3590000000</v>
      </c>
    </row>
    <row r="2262" spans="1:6">
      <c r="A2262" s="32">
        <v>40457</v>
      </c>
      <c r="B2262">
        <v>974.44</v>
      </c>
      <c r="C2262">
        <v>979</v>
      </c>
      <c r="D2262">
        <v>968.67</v>
      </c>
      <c r="E2262">
        <v>979</v>
      </c>
      <c r="F2262" s="2">
        <v>4380000000</v>
      </c>
    </row>
    <row r="2263" spans="1:6">
      <c r="A2263" s="32">
        <v>40456</v>
      </c>
      <c r="B2263">
        <v>966.7</v>
      </c>
      <c r="C2263">
        <v>969.28</v>
      </c>
      <c r="D2263">
        <v>952.99</v>
      </c>
      <c r="E2263">
        <v>969.28</v>
      </c>
      <c r="F2263" s="2">
        <v>4130000000</v>
      </c>
    </row>
    <row r="2264" spans="1:6">
      <c r="A2264" s="32">
        <v>40455</v>
      </c>
      <c r="B2264">
        <v>985.6</v>
      </c>
      <c r="C2264">
        <v>986.75</v>
      </c>
      <c r="D2264">
        <v>963.27</v>
      </c>
      <c r="E2264">
        <v>964.22</v>
      </c>
      <c r="F2264" s="2">
        <v>5570000000</v>
      </c>
    </row>
    <row r="2265" spans="1:6">
      <c r="A2265" s="32">
        <v>40452</v>
      </c>
      <c r="B2265">
        <v>979.43</v>
      </c>
      <c r="C2265">
        <v>980.89</v>
      </c>
      <c r="D2265">
        <v>972.56</v>
      </c>
      <c r="E2265">
        <v>978.58</v>
      </c>
      <c r="F2265" s="2">
        <v>6160000000</v>
      </c>
    </row>
    <row r="2266" spans="1:6">
      <c r="A2266" s="32">
        <v>40451</v>
      </c>
      <c r="B2266">
        <v>972.47</v>
      </c>
      <c r="C2266">
        <v>976.08</v>
      </c>
      <c r="D2266">
        <v>968.3</v>
      </c>
      <c r="E2266">
        <v>975.3</v>
      </c>
      <c r="F2266" s="2">
        <v>4340000000</v>
      </c>
    </row>
    <row r="2267" spans="1:6">
      <c r="A2267" s="32">
        <v>40450</v>
      </c>
      <c r="B2267">
        <v>966.3</v>
      </c>
      <c r="C2267">
        <v>973.03</v>
      </c>
      <c r="D2267">
        <v>965.92</v>
      </c>
      <c r="E2267">
        <v>969.65</v>
      </c>
      <c r="F2267" s="2">
        <v>5920000000</v>
      </c>
    </row>
    <row r="2268" spans="1:6">
      <c r="A2268" s="32">
        <v>40449</v>
      </c>
      <c r="B2268">
        <v>963.82</v>
      </c>
      <c r="C2268">
        <v>965.88</v>
      </c>
      <c r="D2268">
        <v>954.16</v>
      </c>
      <c r="E2268">
        <v>959.27</v>
      </c>
      <c r="F2268" s="2">
        <v>6570000000</v>
      </c>
    </row>
    <row r="2269" spans="1:6">
      <c r="A2269" s="32">
        <v>40448</v>
      </c>
      <c r="B2269">
        <v>960.68</v>
      </c>
      <c r="C2269">
        <v>964.41</v>
      </c>
      <c r="D2269">
        <v>956.66</v>
      </c>
      <c r="E2269">
        <v>962.47</v>
      </c>
      <c r="F2269" s="2">
        <v>4810000000</v>
      </c>
    </row>
    <row r="2270" spans="1:6">
      <c r="A2270" s="32">
        <v>40445</v>
      </c>
      <c r="B2270">
        <v>949.88</v>
      </c>
      <c r="C2270">
        <v>953.25</v>
      </c>
      <c r="D2270">
        <v>946.35</v>
      </c>
      <c r="E2270">
        <v>951.9</v>
      </c>
      <c r="F2270" s="2">
        <v>4050000000</v>
      </c>
    </row>
    <row r="2271" spans="1:6">
      <c r="A2271" s="32">
        <v>40444</v>
      </c>
      <c r="B2271">
        <v>949.36</v>
      </c>
      <c r="C2271">
        <v>957.22</v>
      </c>
      <c r="D2271">
        <v>945.27</v>
      </c>
      <c r="E2271">
        <v>947.1</v>
      </c>
      <c r="F2271" s="2">
        <v>5650000000</v>
      </c>
    </row>
    <row r="2272" spans="1:6">
      <c r="A2272" s="32">
        <v>40443</v>
      </c>
      <c r="B2272">
        <v>943.24</v>
      </c>
      <c r="C2272">
        <v>948.02</v>
      </c>
      <c r="D2272">
        <v>941.86</v>
      </c>
      <c r="E2272">
        <v>945</v>
      </c>
      <c r="F2272" s="2">
        <v>5550000000</v>
      </c>
    </row>
    <row r="2273" spans="1:6">
      <c r="A2273" s="32">
        <v>40442</v>
      </c>
      <c r="B2273">
        <v>929.07</v>
      </c>
      <c r="C2273">
        <v>937.21</v>
      </c>
      <c r="D2273">
        <v>925.76</v>
      </c>
      <c r="E2273">
        <v>937.21</v>
      </c>
      <c r="F2273" s="2">
        <v>4100000000</v>
      </c>
    </row>
    <row r="2274" spans="1:6">
      <c r="A2274" s="32">
        <v>40441</v>
      </c>
      <c r="B2274">
        <v>926.59</v>
      </c>
      <c r="C2274">
        <v>928.65</v>
      </c>
      <c r="D2274">
        <v>918.7</v>
      </c>
      <c r="E2274">
        <v>923.06</v>
      </c>
      <c r="F2274" s="2">
        <v>4240000000</v>
      </c>
    </row>
    <row r="2275" spans="1:6">
      <c r="A2275" s="32">
        <v>40438</v>
      </c>
      <c r="B2275">
        <v>918.21</v>
      </c>
      <c r="C2275">
        <v>927.34</v>
      </c>
      <c r="D2275">
        <v>917.01</v>
      </c>
      <c r="E2275">
        <v>923.57</v>
      </c>
      <c r="F2275" s="2">
        <v>6000000000</v>
      </c>
    </row>
    <row r="2276" spans="1:6">
      <c r="A2276" s="32">
        <v>40437</v>
      </c>
      <c r="B2276">
        <v>922.94</v>
      </c>
      <c r="C2276">
        <v>927.54</v>
      </c>
      <c r="D2276">
        <v>920.02</v>
      </c>
      <c r="E2276">
        <v>924.81</v>
      </c>
      <c r="F2276" s="2">
        <v>5050000000</v>
      </c>
    </row>
    <row r="2277" spans="1:6">
      <c r="A2277" s="32">
        <v>40436</v>
      </c>
      <c r="B2277">
        <v>917.79</v>
      </c>
      <c r="C2277">
        <v>921.1</v>
      </c>
      <c r="D2277">
        <v>902.46</v>
      </c>
      <c r="E2277">
        <v>921.1</v>
      </c>
      <c r="F2277" s="2">
        <v>5100000000</v>
      </c>
    </row>
    <row r="2278" spans="1:6">
      <c r="A2278" s="32">
        <v>40435</v>
      </c>
      <c r="B2278">
        <v>938.47</v>
      </c>
      <c r="C2278">
        <v>939.95</v>
      </c>
      <c r="D2278">
        <v>921.39</v>
      </c>
      <c r="E2278">
        <v>921.39</v>
      </c>
      <c r="F2278" s="2">
        <v>5090000000</v>
      </c>
    </row>
    <row r="2279" spans="1:6">
      <c r="A2279" s="32">
        <v>40434</v>
      </c>
      <c r="B2279">
        <v>931.72</v>
      </c>
      <c r="C2279">
        <v>938.93</v>
      </c>
      <c r="D2279">
        <v>929.83</v>
      </c>
      <c r="E2279">
        <v>937.04</v>
      </c>
      <c r="F2279" s="2">
        <v>4360000000</v>
      </c>
    </row>
    <row r="2280" spans="1:6">
      <c r="A2280" s="32">
        <v>40431</v>
      </c>
      <c r="B2280">
        <v>924.97</v>
      </c>
      <c r="C2280">
        <v>929.71</v>
      </c>
      <c r="D2280">
        <v>919.64</v>
      </c>
      <c r="E2280">
        <v>924.57</v>
      </c>
      <c r="F2280" s="2">
        <v>5320000000</v>
      </c>
    </row>
    <row r="2281" spans="1:6">
      <c r="A2281" s="32">
        <v>40430</v>
      </c>
      <c r="B2281">
        <v>930.13</v>
      </c>
      <c r="C2281">
        <v>931.97</v>
      </c>
      <c r="D2281">
        <v>919.33</v>
      </c>
      <c r="E2281">
        <v>921.49</v>
      </c>
      <c r="F2281" s="2">
        <v>6310000000</v>
      </c>
    </row>
    <row r="2282" spans="1:6">
      <c r="A2282" s="32">
        <v>40429</v>
      </c>
      <c r="B2282">
        <v>917.32</v>
      </c>
      <c r="C2282">
        <v>924.54</v>
      </c>
      <c r="D2282">
        <v>915.79</v>
      </c>
      <c r="E2282">
        <v>923.88</v>
      </c>
      <c r="F2282" s="2">
        <v>5180000000</v>
      </c>
    </row>
    <row r="2283" spans="1:6">
      <c r="A2283" s="32">
        <v>40428</v>
      </c>
      <c r="B2283">
        <v>933.81</v>
      </c>
      <c r="C2283">
        <v>935.59</v>
      </c>
      <c r="D2283">
        <v>920.65</v>
      </c>
      <c r="E2283">
        <v>923.89</v>
      </c>
      <c r="F2283" s="2">
        <v>7720000000</v>
      </c>
    </row>
    <row r="2284" spans="1:6">
      <c r="A2284" s="32">
        <v>40427</v>
      </c>
      <c r="B2284">
        <v>940.2</v>
      </c>
      <c r="C2284">
        <v>944.64</v>
      </c>
      <c r="D2284">
        <v>931.52</v>
      </c>
      <c r="E2284">
        <v>931.52</v>
      </c>
      <c r="F2284" s="2">
        <v>8040000000</v>
      </c>
    </row>
    <row r="2285" spans="1:6">
      <c r="A2285" s="32">
        <v>40424</v>
      </c>
      <c r="B2285">
        <v>928.77</v>
      </c>
      <c r="C2285">
        <v>934.46</v>
      </c>
      <c r="D2285">
        <v>926.52</v>
      </c>
      <c r="E2285">
        <v>929.9</v>
      </c>
      <c r="F2285" s="2">
        <v>8460000000</v>
      </c>
    </row>
    <row r="2286" spans="1:6">
      <c r="A2286" s="32">
        <v>40423</v>
      </c>
      <c r="B2286">
        <v>928.07</v>
      </c>
      <c r="C2286">
        <v>928.51</v>
      </c>
      <c r="D2286">
        <v>912.45</v>
      </c>
      <c r="E2286">
        <v>920.54</v>
      </c>
      <c r="F2286" s="2">
        <v>9700000000</v>
      </c>
    </row>
    <row r="2287" spans="1:6">
      <c r="A2287" s="32">
        <v>40422</v>
      </c>
      <c r="B2287">
        <v>922.34</v>
      </c>
      <c r="C2287">
        <v>924.88</v>
      </c>
      <c r="D2287">
        <v>914.36</v>
      </c>
      <c r="E2287">
        <v>919.34</v>
      </c>
      <c r="F2287" s="2">
        <v>9890000000</v>
      </c>
    </row>
    <row r="2288" spans="1:6">
      <c r="A2288" s="32">
        <v>40421</v>
      </c>
      <c r="B2288">
        <v>908.54</v>
      </c>
      <c r="C2288">
        <v>913.19</v>
      </c>
      <c r="D2288">
        <v>900.75</v>
      </c>
      <c r="E2288">
        <v>913.19</v>
      </c>
      <c r="F2288" s="2">
        <v>11640000000</v>
      </c>
    </row>
    <row r="2289" spans="1:6">
      <c r="A2289" s="32">
        <v>40420</v>
      </c>
      <c r="B2289">
        <v>910.83</v>
      </c>
      <c r="C2289">
        <v>913.81</v>
      </c>
      <c r="D2289">
        <v>907.47</v>
      </c>
      <c r="E2289">
        <v>909.65</v>
      </c>
      <c r="F2289" s="2">
        <v>10700000000</v>
      </c>
    </row>
    <row r="2290" spans="1:6">
      <c r="A2290" s="32">
        <v>40417</v>
      </c>
      <c r="B2290">
        <v>888.2</v>
      </c>
      <c r="C2290">
        <v>900.37</v>
      </c>
      <c r="D2290">
        <v>887.86</v>
      </c>
      <c r="E2290">
        <v>900.37</v>
      </c>
      <c r="F2290" s="2">
        <v>14860000000</v>
      </c>
    </row>
    <row r="2291" spans="1:6">
      <c r="A2291" s="32">
        <v>40416</v>
      </c>
      <c r="B2291">
        <v>887.08</v>
      </c>
      <c r="C2291">
        <v>889.71</v>
      </c>
      <c r="D2291">
        <v>882.69</v>
      </c>
      <c r="E2291">
        <v>886.1</v>
      </c>
      <c r="F2291" s="2">
        <v>12620000000</v>
      </c>
    </row>
    <row r="2292" spans="1:6">
      <c r="A2292" s="32">
        <v>40415</v>
      </c>
      <c r="B2292">
        <v>890.63</v>
      </c>
      <c r="C2292">
        <v>896.72</v>
      </c>
      <c r="D2292">
        <v>881.87</v>
      </c>
      <c r="E2292">
        <v>884.51</v>
      </c>
      <c r="F2292" s="2">
        <v>22630000000</v>
      </c>
    </row>
    <row r="2293" spans="1:6">
      <c r="A2293" s="32">
        <v>40414</v>
      </c>
      <c r="B2293">
        <v>896.19</v>
      </c>
      <c r="C2293">
        <v>898.2</v>
      </c>
      <c r="D2293">
        <v>885.97</v>
      </c>
      <c r="E2293">
        <v>890.45</v>
      </c>
      <c r="F2293" s="2">
        <v>13140000000</v>
      </c>
    </row>
    <row r="2294" spans="1:6">
      <c r="A2294" s="32">
        <v>40413</v>
      </c>
      <c r="B2294">
        <v>899.33</v>
      </c>
      <c r="C2294">
        <v>900.78</v>
      </c>
      <c r="D2294">
        <v>891.85</v>
      </c>
      <c r="E2294">
        <v>894.78</v>
      </c>
      <c r="F2294" s="2">
        <v>10760000000</v>
      </c>
    </row>
    <row r="2295" spans="1:6">
      <c r="A2295" s="32">
        <v>40410</v>
      </c>
      <c r="B2295">
        <v>890.74</v>
      </c>
      <c r="C2295">
        <v>897.81</v>
      </c>
      <c r="D2295">
        <v>889.99</v>
      </c>
      <c r="E2295">
        <v>893.92</v>
      </c>
      <c r="F2295" s="2">
        <v>13600000000</v>
      </c>
    </row>
    <row r="2296" spans="1:6">
      <c r="A2296" s="32">
        <v>40409</v>
      </c>
      <c r="B2296">
        <v>885.55</v>
      </c>
      <c r="C2296">
        <v>892.89</v>
      </c>
      <c r="D2296">
        <v>885.55</v>
      </c>
      <c r="E2296">
        <v>891.23</v>
      </c>
      <c r="F2296" s="2">
        <v>12360000000</v>
      </c>
    </row>
    <row r="2297" spans="1:6">
      <c r="A2297" s="32">
        <v>40408</v>
      </c>
      <c r="B2297">
        <v>868.9</v>
      </c>
      <c r="C2297">
        <v>880.02</v>
      </c>
      <c r="D2297">
        <v>865.79</v>
      </c>
      <c r="E2297">
        <v>880.02</v>
      </c>
      <c r="F2297" s="2">
        <v>12340000000</v>
      </c>
    </row>
    <row r="2298" spans="1:6">
      <c r="A2298" s="32">
        <v>40407</v>
      </c>
      <c r="B2298">
        <v>862.18</v>
      </c>
      <c r="C2298">
        <v>865.78</v>
      </c>
      <c r="D2298">
        <v>858.88</v>
      </c>
      <c r="E2298">
        <v>865.78</v>
      </c>
      <c r="F2298" s="2">
        <v>8020000000</v>
      </c>
    </row>
    <row r="2299" spans="1:6">
      <c r="A2299" s="32">
        <v>40406</v>
      </c>
      <c r="B2299">
        <v>858.03</v>
      </c>
      <c r="C2299">
        <v>865.11</v>
      </c>
      <c r="D2299">
        <v>857.51</v>
      </c>
      <c r="E2299">
        <v>860.55</v>
      </c>
      <c r="F2299" s="2">
        <v>5050000000</v>
      </c>
    </row>
    <row r="2300" spans="1:6">
      <c r="A2300" s="32">
        <v>40401</v>
      </c>
      <c r="B2300">
        <v>862.69</v>
      </c>
      <c r="C2300">
        <v>864.79</v>
      </c>
      <c r="D2300">
        <v>856.12</v>
      </c>
      <c r="E2300">
        <v>862.16</v>
      </c>
      <c r="F2300" s="2">
        <v>7500000000</v>
      </c>
    </row>
    <row r="2301" spans="1:6">
      <c r="A2301" s="32">
        <v>40400</v>
      </c>
      <c r="B2301">
        <v>874.28</v>
      </c>
      <c r="C2301">
        <v>875.28</v>
      </c>
      <c r="D2301">
        <v>859.21</v>
      </c>
      <c r="E2301">
        <v>861.95</v>
      </c>
      <c r="F2301" s="2">
        <v>8780000000</v>
      </c>
    </row>
    <row r="2302" spans="1:6">
      <c r="A2302" s="32">
        <v>40399</v>
      </c>
      <c r="B2302">
        <v>876.77</v>
      </c>
      <c r="C2302">
        <v>877.76</v>
      </c>
      <c r="D2302">
        <v>873.39</v>
      </c>
      <c r="E2302">
        <v>875.18</v>
      </c>
      <c r="F2302" s="2">
        <v>11130000000</v>
      </c>
    </row>
    <row r="2303" spans="1:6">
      <c r="A2303" s="32">
        <v>40396</v>
      </c>
      <c r="B2303">
        <v>875.36</v>
      </c>
      <c r="C2303">
        <v>878.63</v>
      </c>
      <c r="D2303">
        <v>872.94</v>
      </c>
      <c r="E2303">
        <v>875.07</v>
      </c>
      <c r="F2303" s="2">
        <v>11530000000</v>
      </c>
    </row>
    <row r="2304" spans="1:6">
      <c r="A2304" s="32">
        <v>40395</v>
      </c>
      <c r="B2304">
        <v>870.69</v>
      </c>
      <c r="C2304">
        <v>875.42</v>
      </c>
      <c r="D2304">
        <v>870.08</v>
      </c>
      <c r="E2304">
        <v>874.92</v>
      </c>
      <c r="F2304" s="2">
        <v>9200000000</v>
      </c>
    </row>
    <row r="2305" spans="1:6">
      <c r="A2305" s="32">
        <v>40394</v>
      </c>
      <c r="B2305">
        <v>869</v>
      </c>
      <c r="C2305">
        <v>871.4</v>
      </c>
      <c r="D2305">
        <v>865.97</v>
      </c>
      <c r="E2305">
        <v>867.34</v>
      </c>
      <c r="F2305" s="2">
        <v>9400000000</v>
      </c>
    </row>
    <row r="2306" spans="1:6">
      <c r="A2306" s="32">
        <v>40393</v>
      </c>
      <c r="B2306">
        <v>866.94</v>
      </c>
      <c r="C2306">
        <v>870.42</v>
      </c>
      <c r="D2306">
        <v>861.87</v>
      </c>
      <c r="E2306">
        <v>864.48</v>
      </c>
      <c r="F2306" s="2">
        <v>9000000000</v>
      </c>
    </row>
    <row r="2307" spans="1:6">
      <c r="A2307" s="32">
        <v>40392</v>
      </c>
      <c r="B2307">
        <v>861.16</v>
      </c>
      <c r="C2307">
        <v>864.59</v>
      </c>
      <c r="D2307">
        <v>860.47</v>
      </c>
      <c r="E2307">
        <v>863.18</v>
      </c>
      <c r="F2307" s="2">
        <v>4700000000</v>
      </c>
    </row>
    <row r="2308" spans="1:6">
      <c r="A2308" s="32">
        <v>40389</v>
      </c>
      <c r="B2308">
        <v>855.72</v>
      </c>
      <c r="C2308">
        <v>856.23</v>
      </c>
      <c r="D2308">
        <v>851.98</v>
      </c>
      <c r="E2308">
        <v>855.83</v>
      </c>
      <c r="F2308" s="2">
        <v>4560000000</v>
      </c>
    </row>
    <row r="2309" spans="1:6">
      <c r="A2309" s="32">
        <v>40388</v>
      </c>
      <c r="B2309">
        <v>854.01</v>
      </c>
      <c r="C2309">
        <v>858.27</v>
      </c>
      <c r="D2309">
        <v>849.11</v>
      </c>
      <c r="E2309">
        <v>854.59</v>
      </c>
      <c r="F2309" s="2">
        <v>5790000000</v>
      </c>
    </row>
    <row r="2310" spans="1:6">
      <c r="A2310" s="32">
        <v>40387</v>
      </c>
      <c r="B2310">
        <v>859.15</v>
      </c>
      <c r="C2310">
        <v>860</v>
      </c>
      <c r="D2310">
        <v>850.92</v>
      </c>
      <c r="E2310">
        <v>853.78</v>
      </c>
      <c r="F2310" s="2">
        <v>5850000000</v>
      </c>
    </row>
    <row r="2311" spans="1:6">
      <c r="A2311" s="32">
        <v>40386</v>
      </c>
      <c r="B2311">
        <v>848.2</v>
      </c>
      <c r="C2311">
        <v>854.49</v>
      </c>
      <c r="D2311">
        <v>847.12</v>
      </c>
      <c r="E2311">
        <v>853.68</v>
      </c>
      <c r="F2311" s="2">
        <v>5140000000</v>
      </c>
    </row>
    <row r="2312" spans="1:6">
      <c r="A2312" s="32">
        <v>40382</v>
      </c>
      <c r="B2312">
        <v>840.68</v>
      </c>
      <c r="C2312">
        <v>842.49</v>
      </c>
      <c r="D2312">
        <v>837.69</v>
      </c>
      <c r="E2312">
        <v>840.24</v>
      </c>
      <c r="F2312" s="2">
        <v>7190000000</v>
      </c>
    </row>
    <row r="2313" spans="1:6">
      <c r="A2313" s="32">
        <v>40381</v>
      </c>
      <c r="B2313">
        <v>832.09</v>
      </c>
      <c r="C2313">
        <v>836.66</v>
      </c>
      <c r="D2313">
        <v>824.98</v>
      </c>
      <c r="E2313">
        <v>833.01</v>
      </c>
      <c r="F2313" s="2">
        <v>8120000000</v>
      </c>
    </row>
    <row r="2314" spans="1:6">
      <c r="A2314" s="32">
        <v>40380</v>
      </c>
      <c r="B2314">
        <v>828.48</v>
      </c>
      <c r="C2314">
        <v>830.93</v>
      </c>
      <c r="D2314">
        <v>821.49</v>
      </c>
      <c r="E2314">
        <v>830.93</v>
      </c>
      <c r="F2314" s="2">
        <v>7590000000</v>
      </c>
    </row>
    <row r="2315" spans="1:6">
      <c r="A2315" s="32">
        <v>40379</v>
      </c>
      <c r="B2315">
        <v>834.39</v>
      </c>
      <c r="C2315">
        <v>836.82</v>
      </c>
      <c r="D2315">
        <v>820.41</v>
      </c>
      <c r="E2315">
        <v>824.41</v>
      </c>
      <c r="F2315" s="2">
        <v>8180000000</v>
      </c>
    </row>
    <row r="2316" spans="1:6">
      <c r="A2316" s="32">
        <v>40378</v>
      </c>
      <c r="B2316">
        <v>827.04</v>
      </c>
      <c r="C2316">
        <v>834.02</v>
      </c>
      <c r="D2316">
        <v>826.09</v>
      </c>
      <c r="E2316">
        <v>830.4</v>
      </c>
      <c r="F2316" s="2">
        <v>7440000000</v>
      </c>
    </row>
    <row r="2317" spans="1:6">
      <c r="A2317" s="32">
        <v>40375</v>
      </c>
      <c r="B2317">
        <v>822.88</v>
      </c>
      <c r="C2317">
        <v>830.99</v>
      </c>
      <c r="D2317">
        <v>822.88</v>
      </c>
      <c r="E2317">
        <v>827.54</v>
      </c>
      <c r="F2317" s="2">
        <v>9740000000</v>
      </c>
    </row>
    <row r="2318" spans="1:6">
      <c r="A2318" s="32">
        <v>40374</v>
      </c>
      <c r="B2318">
        <v>821.28</v>
      </c>
      <c r="C2318">
        <v>823.26</v>
      </c>
      <c r="D2318">
        <v>817.84</v>
      </c>
      <c r="E2318">
        <v>821.02</v>
      </c>
      <c r="F2318" s="2">
        <v>7050000000</v>
      </c>
    </row>
    <row r="2319" spans="1:6">
      <c r="A2319" s="32">
        <v>40373</v>
      </c>
      <c r="B2319">
        <v>824.33</v>
      </c>
      <c r="C2319">
        <v>825.4</v>
      </c>
      <c r="D2319">
        <v>819.54</v>
      </c>
      <c r="E2319">
        <v>819.54</v>
      </c>
      <c r="F2319" s="2">
        <v>8560000000</v>
      </c>
    </row>
    <row r="2320" spans="1:6">
      <c r="A2320" s="32">
        <v>40372</v>
      </c>
      <c r="B2320">
        <v>822.45</v>
      </c>
      <c r="C2320">
        <v>823.44</v>
      </c>
      <c r="D2320">
        <v>813</v>
      </c>
      <c r="E2320">
        <v>817.35</v>
      </c>
      <c r="F2320" s="2">
        <v>5170000000</v>
      </c>
    </row>
    <row r="2321" spans="1:6">
      <c r="A2321" s="32">
        <v>40371</v>
      </c>
      <c r="B2321">
        <v>824.7</v>
      </c>
      <c r="C2321">
        <v>827.42</v>
      </c>
      <c r="D2321">
        <v>818.84</v>
      </c>
      <c r="E2321">
        <v>819.61</v>
      </c>
      <c r="F2321" s="2">
        <v>5370000000</v>
      </c>
    </row>
    <row r="2322" spans="1:6">
      <c r="A2322" s="32">
        <v>40368</v>
      </c>
      <c r="B2322">
        <v>822.61</v>
      </c>
      <c r="C2322">
        <v>824.88</v>
      </c>
      <c r="D2322">
        <v>819.64</v>
      </c>
      <c r="E2322">
        <v>820.6</v>
      </c>
      <c r="F2322" s="2">
        <v>6450000000</v>
      </c>
    </row>
    <row r="2323" spans="1:6">
      <c r="A2323" s="32">
        <v>40367</v>
      </c>
      <c r="B2323">
        <v>824.69</v>
      </c>
      <c r="C2323">
        <v>826.09</v>
      </c>
      <c r="D2323">
        <v>817.57</v>
      </c>
      <c r="E2323">
        <v>817.57</v>
      </c>
      <c r="F2323" s="2">
        <v>6630000000</v>
      </c>
    </row>
    <row r="2324" spans="1:6">
      <c r="A2324" s="32">
        <v>40366</v>
      </c>
      <c r="B2324">
        <v>815.85</v>
      </c>
      <c r="C2324">
        <v>818.33</v>
      </c>
      <c r="D2324">
        <v>813.02</v>
      </c>
      <c r="E2324">
        <v>814.68</v>
      </c>
      <c r="F2324" s="2">
        <v>9740000000</v>
      </c>
    </row>
    <row r="2325" spans="1:6">
      <c r="A2325" s="32">
        <v>40365</v>
      </c>
      <c r="B2325">
        <v>805.25</v>
      </c>
      <c r="C2325">
        <v>815.52</v>
      </c>
      <c r="D2325">
        <v>803.41</v>
      </c>
      <c r="E2325">
        <v>815.52</v>
      </c>
      <c r="F2325" s="2">
        <v>5900000000</v>
      </c>
    </row>
    <row r="2326" spans="1:6">
      <c r="A2326" s="32">
        <v>40364</v>
      </c>
      <c r="B2326">
        <v>804.7</v>
      </c>
      <c r="C2326">
        <v>808.3</v>
      </c>
      <c r="D2326">
        <v>803.64</v>
      </c>
      <c r="E2326">
        <v>804.03</v>
      </c>
      <c r="F2326" s="2">
        <v>4760000000</v>
      </c>
    </row>
    <row r="2327" spans="1:6">
      <c r="A2327" s="32">
        <v>40361</v>
      </c>
      <c r="B2327">
        <v>797.03</v>
      </c>
      <c r="C2327">
        <v>803.23</v>
      </c>
      <c r="D2327">
        <v>796.93</v>
      </c>
      <c r="E2327">
        <v>802.57</v>
      </c>
      <c r="F2327" s="2">
        <v>4640000000</v>
      </c>
    </row>
    <row r="2328" spans="1:6">
      <c r="A2328" s="32">
        <v>40359</v>
      </c>
      <c r="B2328">
        <v>794.89</v>
      </c>
      <c r="C2328">
        <v>802.76</v>
      </c>
      <c r="D2328">
        <v>794.54</v>
      </c>
      <c r="E2328">
        <v>797.31</v>
      </c>
      <c r="F2328" s="2">
        <v>3990000000</v>
      </c>
    </row>
    <row r="2329" spans="1:6">
      <c r="A2329" s="32">
        <v>40358</v>
      </c>
      <c r="B2329">
        <v>801.1</v>
      </c>
      <c r="C2329">
        <v>804.45</v>
      </c>
      <c r="D2329">
        <v>794.68</v>
      </c>
      <c r="E2329">
        <v>799.09</v>
      </c>
      <c r="F2329" s="2">
        <v>3670000000</v>
      </c>
    </row>
    <row r="2330" spans="1:6">
      <c r="A2330" s="32">
        <v>40357</v>
      </c>
      <c r="B2330">
        <v>798.12</v>
      </c>
      <c r="C2330">
        <v>804.4</v>
      </c>
      <c r="D2330">
        <v>798.12</v>
      </c>
      <c r="E2330">
        <v>804.4</v>
      </c>
      <c r="F2330" s="2">
        <v>3560000000</v>
      </c>
    </row>
    <row r="2331" spans="1:6">
      <c r="A2331" s="32">
        <v>40354</v>
      </c>
      <c r="B2331">
        <v>792.99</v>
      </c>
      <c r="C2331">
        <v>797.1</v>
      </c>
      <c r="D2331">
        <v>786.51</v>
      </c>
      <c r="E2331">
        <v>793.67</v>
      </c>
      <c r="F2331" s="2">
        <v>3420000000</v>
      </c>
    </row>
    <row r="2332" spans="1:6">
      <c r="A2332" s="32">
        <v>40353</v>
      </c>
      <c r="B2332">
        <v>808.69</v>
      </c>
      <c r="C2332">
        <v>808.97</v>
      </c>
      <c r="D2332">
        <v>793.19</v>
      </c>
      <c r="E2332">
        <v>793.19</v>
      </c>
      <c r="F2332" s="2">
        <v>5430000000</v>
      </c>
    </row>
    <row r="2333" spans="1:6">
      <c r="A2333" s="32">
        <v>40352</v>
      </c>
      <c r="B2333">
        <v>803.48</v>
      </c>
      <c r="C2333">
        <v>807.73</v>
      </c>
      <c r="D2333">
        <v>802.46</v>
      </c>
      <c r="E2333">
        <v>806.52</v>
      </c>
      <c r="F2333" s="2">
        <v>3610000000</v>
      </c>
    </row>
    <row r="2334" spans="1:6">
      <c r="A2334" s="32">
        <v>40351</v>
      </c>
      <c r="B2334">
        <v>804.27</v>
      </c>
      <c r="C2334">
        <v>808.76</v>
      </c>
      <c r="D2334">
        <v>803.91</v>
      </c>
      <c r="E2334">
        <v>804.13</v>
      </c>
      <c r="F2334" s="2">
        <v>4080000000</v>
      </c>
    </row>
    <row r="2335" spans="1:6">
      <c r="A2335" s="32">
        <v>40350</v>
      </c>
      <c r="B2335">
        <v>799.49</v>
      </c>
      <c r="C2335">
        <v>807.69</v>
      </c>
      <c r="D2335">
        <v>799.07</v>
      </c>
      <c r="E2335">
        <v>806.07</v>
      </c>
      <c r="F2335" s="2">
        <v>3790000000</v>
      </c>
    </row>
    <row r="2336" spans="1:6">
      <c r="A2336" s="32">
        <v>40347</v>
      </c>
      <c r="B2336">
        <v>790.51</v>
      </c>
      <c r="C2336">
        <v>792.36</v>
      </c>
      <c r="D2336">
        <v>786.29</v>
      </c>
      <c r="E2336">
        <v>791.85</v>
      </c>
      <c r="F2336" s="2">
        <v>4560000000</v>
      </c>
    </row>
    <row r="2337" spans="1:6">
      <c r="A2337" s="32">
        <v>40346</v>
      </c>
      <c r="B2337">
        <v>791.49</v>
      </c>
      <c r="C2337">
        <v>793.45</v>
      </c>
      <c r="D2337">
        <v>786.41</v>
      </c>
      <c r="E2337">
        <v>789.34</v>
      </c>
      <c r="F2337" s="2">
        <v>3100000000</v>
      </c>
    </row>
    <row r="2338" spans="1:6">
      <c r="A2338" s="32">
        <v>40345</v>
      </c>
      <c r="B2338">
        <v>787.16</v>
      </c>
      <c r="C2338">
        <v>790.9</v>
      </c>
      <c r="D2338">
        <v>784.28</v>
      </c>
      <c r="E2338">
        <v>786.64</v>
      </c>
      <c r="F2338" s="2">
        <v>4150000000</v>
      </c>
    </row>
    <row r="2339" spans="1:6">
      <c r="A2339" s="32">
        <v>40344</v>
      </c>
      <c r="B2339">
        <v>780.75</v>
      </c>
      <c r="C2339">
        <v>783.35</v>
      </c>
      <c r="D2339">
        <v>777.21</v>
      </c>
      <c r="E2339">
        <v>780.37</v>
      </c>
      <c r="F2339" s="2">
        <v>3930000000</v>
      </c>
    </row>
    <row r="2340" spans="1:6">
      <c r="A2340" s="32">
        <v>40343</v>
      </c>
      <c r="B2340">
        <v>774</v>
      </c>
      <c r="C2340">
        <v>782.59</v>
      </c>
      <c r="D2340">
        <v>772.21</v>
      </c>
      <c r="E2340">
        <v>781.13</v>
      </c>
      <c r="F2340" s="2">
        <v>3960000000</v>
      </c>
    </row>
    <row r="2341" spans="1:6">
      <c r="A2341" s="32">
        <v>40340</v>
      </c>
      <c r="B2341">
        <v>774.58</v>
      </c>
      <c r="C2341">
        <v>774.86</v>
      </c>
      <c r="D2341">
        <v>766.78</v>
      </c>
      <c r="E2341">
        <v>769.55</v>
      </c>
      <c r="F2341" s="2">
        <v>2550000000</v>
      </c>
    </row>
    <row r="2342" spans="1:6">
      <c r="A2342" s="32">
        <v>40339</v>
      </c>
      <c r="B2342">
        <v>765.69</v>
      </c>
      <c r="C2342">
        <v>768.25</v>
      </c>
      <c r="D2342">
        <v>763.66</v>
      </c>
      <c r="E2342">
        <v>768.16</v>
      </c>
      <c r="F2342" s="2">
        <v>2690000000</v>
      </c>
    </row>
    <row r="2343" spans="1:6">
      <c r="A2343" s="32">
        <v>40338</v>
      </c>
      <c r="B2343">
        <v>760.65</v>
      </c>
      <c r="C2343">
        <v>766.21</v>
      </c>
      <c r="D2343">
        <v>756.67</v>
      </c>
      <c r="E2343">
        <v>764.21</v>
      </c>
      <c r="F2343" s="2">
        <v>2490000000</v>
      </c>
    </row>
    <row r="2344" spans="1:6">
      <c r="A2344" s="32">
        <v>40337</v>
      </c>
      <c r="B2344">
        <v>762.17</v>
      </c>
      <c r="C2344">
        <v>766.36</v>
      </c>
      <c r="D2344">
        <v>757.41</v>
      </c>
      <c r="E2344">
        <v>757.41</v>
      </c>
      <c r="F2344" s="2">
        <v>3110000000</v>
      </c>
    </row>
    <row r="2345" spans="1:6">
      <c r="A2345" s="32">
        <v>40336</v>
      </c>
      <c r="B2345">
        <v>757.03</v>
      </c>
      <c r="C2345">
        <v>760.39</v>
      </c>
      <c r="D2345">
        <v>754.6</v>
      </c>
      <c r="E2345">
        <v>759.85</v>
      </c>
      <c r="F2345" s="2">
        <v>2450000000</v>
      </c>
    </row>
    <row r="2346" spans="1:6">
      <c r="A2346" s="32">
        <v>40333</v>
      </c>
      <c r="B2346">
        <v>767.56</v>
      </c>
      <c r="C2346">
        <v>771.53</v>
      </c>
      <c r="D2346">
        <v>763.49</v>
      </c>
      <c r="E2346">
        <v>771.48</v>
      </c>
      <c r="F2346" s="2">
        <v>2770000000</v>
      </c>
    </row>
    <row r="2347" spans="1:6">
      <c r="A2347" s="32">
        <v>40332</v>
      </c>
      <c r="B2347">
        <v>758.58</v>
      </c>
      <c r="C2347">
        <v>766.83</v>
      </c>
      <c r="D2347">
        <v>757.08</v>
      </c>
      <c r="E2347">
        <v>765.96</v>
      </c>
      <c r="F2347" s="2">
        <v>3170000000</v>
      </c>
    </row>
    <row r="2348" spans="1:6">
      <c r="A2348" s="32">
        <v>40331</v>
      </c>
      <c r="B2348">
        <v>744.94</v>
      </c>
      <c r="C2348">
        <v>749.68</v>
      </c>
      <c r="D2348">
        <v>743.49</v>
      </c>
      <c r="E2348">
        <v>749.68</v>
      </c>
      <c r="F2348" s="2">
        <v>2360000000</v>
      </c>
    </row>
    <row r="2349" spans="1:6">
      <c r="A2349" s="32">
        <v>40330</v>
      </c>
      <c r="B2349">
        <v>752.59</v>
      </c>
      <c r="C2349">
        <v>752.59</v>
      </c>
      <c r="D2349">
        <v>740.92</v>
      </c>
      <c r="E2349">
        <v>740.92</v>
      </c>
      <c r="F2349" s="2">
        <v>2620000000</v>
      </c>
    </row>
    <row r="2350" spans="1:6">
      <c r="A2350" s="32">
        <v>40329</v>
      </c>
      <c r="B2350">
        <v>742.49</v>
      </c>
      <c r="C2350">
        <v>750.43</v>
      </c>
      <c r="D2350">
        <v>742.49</v>
      </c>
      <c r="E2350">
        <v>750.43</v>
      </c>
      <c r="F2350" s="2">
        <v>2070000000</v>
      </c>
    </row>
    <row r="2351" spans="1:6">
      <c r="A2351" s="32">
        <v>40325</v>
      </c>
      <c r="B2351">
        <v>726.61</v>
      </c>
      <c r="C2351">
        <v>740.32</v>
      </c>
      <c r="D2351">
        <v>726.35</v>
      </c>
      <c r="E2351">
        <v>737.28</v>
      </c>
      <c r="F2351" s="2">
        <v>2470000000</v>
      </c>
    </row>
    <row r="2352" spans="1:6">
      <c r="A2352" s="32">
        <v>40324</v>
      </c>
      <c r="B2352">
        <v>727.93</v>
      </c>
      <c r="C2352">
        <v>733.11</v>
      </c>
      <c r="D2352">
        <v>720.86</v>
      </c>
      <c r="E2352">
        <v>728.94</v>
      </c>
      <c r="F2352" s="2">
        <v>2900000000</v>
      </c>
    </row>
    <row r="2353" spans="1:6">
      <c r="A2353" s="32">
        <v>40323</v>
      </c>
      <c r="B2353">
        <v>735.18</v>
      </c>
      <c r="C2353">
        <v>735.95</v>
      </c>
      <c r="D2353">
        <v>720.47</v>
      </c>
      <c r="E2353">
        <v>721.29</v>
      </c>
      <c r="F2353" s="2">
        <v>3360000000</v>
      </c>
    </row>
    <row r="2354" spans="1:6">
      <c r="A2354" s="32">
        <v>40322</v>
      </c>
      <c r="B2354">
        <v>759.9</v>
      </c>
      <c r="C2354">
        <v>760.39</v>
      </c>
      <c r="D2354">
        <v>742.04</v>
      </c>
      <c r="E2354">
        <v>744.31</v>
      </c>
      <c r="F2354" s="2">
        <v>2280000000</v>
      </c>
    </row>
    <row r="2355" spans="1:6">
      <c r="A2355" s="32">
        <v>40317</v>
      </c>
      <c r="B2355">
        <v>752.54</v>
      </c>
      <c r="C2355">
        <v>765.54</v>
      </c>
      <c r="D2355">
        <v>752.54</v>
      </c>
      <c r="E2355">
        <v>765.54</v>
      </c>
      <c r="F2355" s="2">
        <v>1440000000</v>
      </c>
    </row>
    <row r="2356" spans="1:6">
      <c r="A2356" s="32">
        <v>40316</v>
      </c>
      <c r="B2356">
        <v>752.25</v>
      </c>
      <c r="C2356">
        <v>761.67</v>
      </c>
      <c r="D2356">
        <v>748.3</v>
      </c>
      <c r="E2356">
        <v>760.11</v>
      </c>
      <c r="F2356" s="2">
        <v>1360000000</v>
      </c>
    </row>
    <row r="2357" spans="1:6">
      <c r="A2357" s="32">
        <v>40315</v>
      </c>
      <c r="B2357">
        <v>744.85</v>
      </c>
      <c r="C2357">
        <v>753.42</v>
      </c>
      <c r="D2357">
        <v>744.55</v>
      </c>
      <c r="E2357">
        <v>753.26</v>
      </c>
      <c r="F2357" s="2">
        <v>2380000000</v>
      </c>
    </row>
    <row r="2358" spans="1:6">
      <c r="A2358" s="32">
        <v>40312</v>
      </c>
      <c r="B2358">
        <v>755.85</v>
      </c>
      <c r="C2358">
        <v>768.79</v>
      </c>
      <c r="D2358">
        <v>755.49</v>
      </c>
      <c r="E2358">
        <v>768.79</v>
      </c>
      <c r="F2358" s="2">
        <v>1760000000</v>
      </c>
    </row>
    <row r="2359" spans="1:6">
      <c r="A2359" s="32">
        <v>40311</v>
      </c>
      <c r="B2359">
        <v>775.66</v>
      </c>
      <c r="C2359">
        <v>777.85</v>
      </c>
      <c r="D2359">
        <v>764.63</v>
      </c>
      <c r="E2359">
        <v>766.55</v>
      </c>
      <c r="F2359" s="2">
        <v>2820000000</v>
      </c>
    </row>
    <row r="2360" spans="1:6">
      <c r="A2360" s="32">
        <v>40310</v>
      </c>
      <c r="B2360">
        <v>770.99</v>
      </c>
      <c r="C2360">
        <v>780.65</v>
      </c>
      <c r="D2360">
        <v>768.64</v>
      </c>
      <c r="E2360">
        <v>773.72</v>
      </c>
      <c r="F2360" s="2">
        <v>5150000000</v>
      </c>
    </row>
    <row r="2361" spans="1:6">
      <c r="A2361" s="32">
        <v>40309</v>
      </c>
      <c r="B2361">
        <v>785.84</v>
      </c>
      <c r="C2361">
        <v>787.38</v>
      </c>
      <c r="D2361">
        <v>772.09</v>
      </c>
      <c r="E2361">
        <v>772.09</v>
      </c>
      <c r="F2361" s="2">
        <v>3290000000</v>
      </c>
    </row>
    <row r="2362" spans="1:6">
      <c r="A2362" s="32">
        <v>40308</v>
      </c>
      <c r="B2362">
        <v>772.12</v>
      </c>
      <c r="C2362">
        <v>781.24</v>
      </c>
      <c r="D2362">
        <v>769.17</v>
      </c>
      <c r="E2362">
        <v>779.06</v>
      </c>
      <c r="F2362" s="2">
        <v>2280000000</v>
      </c>
    </row>
    <row r="2363" spans="1:6">
      <c r="A2363" s="32">
        <v>40305</v>
      </c>
      <c r="B2363">
        <v>771.79</v>
      </c>
      <c r="C2363">
        <v>771.79</v>
      </c>
      <c r="D2363">
        <v>761.02</v>
      </c>
      <c r="E2363">
        <v>768.55</v>
      </c>
      <c r="F2363" s="2">
        <v>3230000000</v>
      </c>
    </row>
    <row r="2364" spans="1:6">
      <c r="A2364" s="32">
        <v>40304</v>
      </c>
      <c r="B2364">
        <v>787.74</v>
      </c>
      <c r="C2364">
        <v>789.82</v>
      </c>
      <c r="D2364">
        <v>777.79</v>
      </c>
      <c r="E2364">
        <v>785.25</v>
      </c>
      <c r="F2364" s="2">
        <v>3040000000</v>
      </c>
    </row>
    <row r="2365" spans="1:6">
      <c r="A2365" s="32">
        <v>40302</v>
      </c>
      <c r="B2365">
        <v>786.62</v>
      </c>
      <c r="C2365">
        <v>798.67</v>
      </c>
      <c r="D2365">
        <v>786.04</v>
      </c>
      <c r="E2365">
        <v>796.86</v>
      </c>
      <c r="F2365" s="2">
        <v>4110000000</v>
      </c>
    </row>
    <row r="2366" spans="1:6">
      <c r="A2366" s="32">
        <v>40298</v>
      </c>
      <c r="B2366">
        <v>758.73</v>
      </c>
      <c r="C2366">
        <v>763.51</v>
      </c>
      <c r="D2366">
        <v>757.41</v>
      </c>
      <c r="E2366">
        <v>763.51</v>
      </c>
      <c r="F2366" s="2">
        <v>2680000000</v>
      </c>
    </row>
    <row r="2367" spans="1:6">
      <c r="A2367" s="32">
        <v>40297</v>
      </c>
      <c r="B2367">
        <v>751.13</v>
      </c>
      <c r="C2367">
        <v>754.24</v>
      </c>
      <c r="D2367">
        <v>748.87</v>
      </c>
      <c r="E2367">
        <v>753.2</v>
      </c>
      <c r="F2367" s="2">
        <v>1410000000</v>
      </c>
    </row>
    <row r="2368" spans="1:6">
      <c r="A2368" s="32">
        <v>40296</v>
      </c>
      <c r="B2368">
        <v>755.74</v>
      </c>
      <c r="C2368">
        <v>759.14</v>
      </c>
      <c r="D2368">
        <v>749.36</v>
      </c>
      <c r="E2368">
        <v>749.49</v>
      </c>
      <c r="F2368" s="2">
        <v>3030000000</v>
      </c>
    </row>
    <row r="2369" spans="1:6">
      <c r="A2369" s="32">
        <v>40295</v>
      </c>
      <c r="B2369">
        <v>761.23</v>
      </c>
      <c r="C2369">
        <v>764.25</v>
      </c>
      <c r="D2369">
        <v>758.07</v>
      </c>
      <c r="E2369">
        <v>762</v>
      </c>
      <c r="F2369" s="2">
        <v>2060000000</v>
      </c>
    </row>
    <row r="2370" spans="1:6">
      <c r="A2370" s="32">
        <v>40294</v>
      </c>
      <c r="B2370">
        <v>763.49</v>
      </c>
      <c r="C2370">
        <v>770.09</v>
      </c>
      <c r="D2370">
        <v>762.87</v>
      </c>
      <c r="E2370">
        <v>764.34</v>
      </c>
      <c r="F2370" s="2">
        <v>2010000000</v>
      </c>
    </row>
    <row r="2371" spans="1:6">
      <c r="A2371" s="32">
        <v>40291</v>
      </c>
      <c r="B2371">
        <v>746.89</v>
      </c>
      <c r="C2371">
        <v>754.84</v>
      </c>
      <c r="D2371">
        <v>746.89</v>
      </c>
      <c r="E2371">
        <v>754.58</v>
      </c>
      <c r="F2371" s="2">
        <v>1810000000</v>
      </c>
    </row>
    <row r="2372" spans="1:6">
      <c r="A2372" s="32">
        <v>40290</v>
      </c>
      <c r="B2372">
        <v>756.34</v>
      </c>
      <c r="C2372">
        <v>770.55</v>
      </c>
      <c r="D2372">
        <v>755.27</v>
      </c>
      <c r="E2372">
        <v>761.18</v>
      </c>
      <c r="F2372" s="2">
        <v>2280000000</v>
      </c>
    </row>
    <row r="2373" spans="1:6">
      <c r="A2373" s="32">
        <v>40289</v>
      </c>
      <c r="B2373">
        <v>760.82</v>
      </c>
      <c r="C2373">
        <v>770.52</v>
      </c>
      <c r="D2373">
        <v>754.63</v>
      </c>
      <c r="E2373">
        <v>757.85</v>
      </c>
      <c r="F2373" s="2">
        <v>2380000000</v>
      </c>
    </row>
    <row r="2374" spans="1:6">
      <c r="A2374" s="32">
        <v>40288</v>
      </c>
      <c r="B2374">
        <v>736.61</v>
      </c>
      <c r="C2374">
        <v>765.76</v>
      </c>
      <c r="D2374">
        <v>736.56</v>
      </c>
      <c r="E2374">
        <v>765.76</v>
      </c>
      <c r="F2374" s="2">
        <v>2870000000</v>
      </c>
    </row>
    <row r="2375" spans="1:6">
      <c r="A2375" s="32">
        <v>40287</v>
      </c>
      <c r="B2375">
        <v>726.76</v>
      </c>
      <c r="C2375">
        <v>734.76</v>
      </c>
      <c r="D2375">
        <v>714.66</v>
      </c>
      <c r="E2375">
        <v>726.29</v>
      </c>
      <c r="F2375" s="2">
        <v>3190000000</v>
      </c>
    </row>
    <row r="2376" spans="1:6">
      <c r="A2376" s="32">
        <v>40284</v>
      </c>
      <c r="B2376">
        <v>748.68</v>
      </c>
      <c r="C2376">
        <v>750.61</v>
      </c>
      <c r="D2376">
        <v>736.16</v>
      </c>
      <c r="E2376">
        <v>736.16</v>
      </c>
      <c r="F2376" s="2">
        <v>2650000000</v>
      </c>
    </row>
    <row r="2377" spans="1:6">
      <c r="A2377" s="32">
        <v>40280</v>
      </c>
      <c r="B2377">
        <v>755.41</v>
      </c>
      <c r="C2377">
        <v>763.86</v>
      </c>
      <c r="D2377">
        <v>742.9</v>
      </c>
      <c r="E2377">
        <v>760.9</v>
      </c>
      <c r="F2377" s="2">
        <v>3620000000</v>
      </c>
    </row>
    <row r="2378" spans="1:6">
      <c r="A2378" s="32">
        <v>40277</v>
      </c>
      <c r="B2378">
        <v>776.12</v>
      </c>
      <c r="C2378">
        <v>789.66</v>
      </c>
      <c r="D2378">
        <v>775.21</v>
      </c>
      <c r="E2378">
        <v>789.66</v>
      </c>
      <c r="F2378" s="2">
        <v>2310000000</v>
      </c>
    </row>
    <row r="2379" spans="1:6">
      <c r="A2379" s="32">
        <v>40276</v>
      </c>
      <c r="B2379">
        <v>808.77</v>
      </c>
      <c r="C2379">
        <v>810.91</v>
      </c>
      <c r="D2379">
        <v>780.7</v>
      </c>
      <c r="E2379">
        <v>783.93</v>
      </c>
      <c r="F2379" s="2">
        <v>4240000000</v>
      </c>
    </row>
    <row r="2380" spans="1:6">
      <c r="A2380" s="32">
        <v>40275</v>
      </c>
      <c r="B2380">
        <v>813.29</v>
      </c>
      <c r="C2380">
        <v>820.09</v>
      </c>
      <c r="D2380">
        <v>812.38</v>
      </c>
      <c r="E2380">
        <v>812.63</v>
      </c>
      <c r="F2380" s="2">
        <v>3760000000</v>
      </c>
    </row>
    <row r="2381" spans="1:6">
      <c r="A2381" s="32">
        <v>40273</v>
      </c>
      <c r="B2381">
        <v>796.01</v>
      </c>
      <c r="C2381">
        <v>808.15</v>
      </c>
      <c r="D2381">
        <v>790.33</v>
      </c>
      <c r="E2381">
        <v>808.15</v>
      </c>
      <c r="F2381" s="2">
        <v>3450000000</v>
      </c>
    </row>
    <row r="2382" spans="1:6">
      <c r="A2382" s="32">
        <v>40270</v>
      </c>
      <c r="B2382">
        <v>806.37</v>
      </c>
      <c r="C2382">
        <v>807.49</v>
      </c>
      <c r="D2382">
        <v>798.96</v>
      </c>
      <c r="E2382">
        <v>801.15</v>
      </c>
      <c r="F2382" s="2">
        <v>4580000000</v>
      </c>
    </row>
    <row r="2383" spans="1:6">
      <c r="A2383" s="32">
        <v>40269</v>
      </c>
      <c r="B2383">
        <v>795.83</v>
      </c>
      <c r="C2383">
        <v>803.92</v>
      </c>
      <c r="D2383">
        <v>795.26</v>
      </c>
      <c r="E2383">
        <v>801.32</v>
      </c>
      <c r="F2383" s="2">
        <v>4840000000</v>
      </c>
    </row>
    <row r="2384" spans="1:6">
      <c r="A2384" s="32">
        <v>40268</v>
      </c>
      <c r="B2384">
        <v>791.2</v>
      </c>
      <c r="C2384">
        <v>799.06</v>
      </c>
      <c r="D2384">
        <v>787.98</v>
      </c>
      <c r="E2384">
        <v>787.98</v>
      </c>
      <c r="F2384" s="2">
        <v>2950000000</v>
      </c>
    </row>
    <row r="2385" spans="1:6">
      <c r="A2385" s="32">
        <v>40267</v>
      </c>
      <c r="B2385">
        <v>774.2</v>
      </c>
      <c r="C2385">
        <v>792.14</v>
      </c>
      <c r="D2385">
        <v>774.2</v>
      </c>
      <c r="E2385">
        <v>788.8</v>
      </c>
      <c r="F2385" s="2">
        <v>2890000000</v>
      </c>
    </row>
    <row r="2386" spans="1:6">
      <c r="A2386" s="32">
        <v>40266</v>
      </c>
      <c r="B2386">
        <v>781.82</v>
      </c>
      <c r="C2386">
        <v>782.47</v>
      </c>
      <c r="D2386">
        <v>769.14</v>
      </c>
      <c r="E2386">
        <v>771.4</v>
      </c>
      <c r="F2386" s="2">
        <v>2290000000</v>
      </c>
    </row>
    <row r="2387" spans="1:6">
      <c r="A2387" s="32">
        <v>40263</v>
      </c>
      <c r="B2387">
        <v>783.96</v>
      </c>
      <c r="C2387">
        <v>788.92</v>
      </c>
      <c r="D2387">
        <v>778.86</v>
      </c>
      <c r="E2387">
        <v>778.86</v>
      </c>
      <c r="F2387" s="2">
        <v>2730000000</v>
      </c>
    </row>
    <row r="2388" spans="1:6">
      <c r="A2388" s="32">
        <v>40262</v>
      </c>
      <c r="B2388">
        <v>787.28</v>
      </c>
      <c r="C2388">
        <v>790.66</v>
      </c>
      <c r="D2388">
        <v>778.78</v>
      </c>
      <c r="E2388">
        <v>784.38</v>
      </c>
      <c r="F2388" s="2">
        <v>2980000000</v>
      </c>
    </row>
    <row r="2389" spans="1:6">
      <c r="A2389" s="32">
        <v>40261</v>
      </c>
      <c r="B2389">
        <v>790.09</v>
      </c>
      <c r="C2389">
        <v>793.14</v>
      </c>
      <c r="D2389">
        <v>786.54</v>
      </c>
      <c r="E2389">
        <v>786.54</v>
      </c>
      <c r="F2389" s="2">
        <v>4360000000</v>
      </c>
    </row>
    <row r="2390" spans="1:6">
      <c r="A2390" s="32">
        <v>40260</v>
      </c>
      <c r="B2390">
        <v>777.99</v>
      </c>
      <c r="C2390">
        <v>782.48</v>
      </c>
      <c r="D2390">
        <v>774.75</v>
      </c>
      <c r="E2390">
        <v>782.48</v>
      </c>
      <c r="F2390" s="2">
        <v>3610000000</v>
      </c>
    </row>
    <row r="2391" spans="1:6">
      <c r="A2391" s="32">
        <v>40259</v>
      </c>
      <c r="B2391">
        <v>769.8</v>
      </c>
      <c r="C2391">
        <v>787.27</v>
      </c>
      <c r="D2391">
        <v>769</v>
      </c>
      <c r="E2391">
        <v>772.25</v>
      </c>
      <c r="F2391" s="2">
        <v>5370000000</v>
      </c>
    </row>
    <row r="2392" spans="1:6">
      <c r="A2392" s="32">
        <v>40256</v>
      </c>
      <c r="B2392">
        <v>762.79</v>
      </c>
      <c r="C2392">
        <v>776.42</v>
      </c>
      <c r="D2392">
        <v>762.79</v>
      </c>
      <c r="E2392">
        <v>774.59</v>
      </c>
      <c r="F2392" s="2">
        <v>4940000000</v>
      </c>
    </row>
    <row r="2393" spans="1:6">
      <c r="A2393" s="32">
        <v>40255</v>
      </c>
      <c r="B2393">
        <v>768.81</v>
      </c>
      <c r="C2393">
        <v>769.79</v>
      </c>
      <c r="D2393">
        <v>759.02</v>
      </c>
      <c r="E2393">
        <v>759.02</v>
      </c>
      <c r="F2393" s="2">
        <v>4130000000</v>
      </c>
    </row>
    <row r="2394" spans="1:6">
      <c r="A2394" s="32">
        <v>40254</v>
      </c>
      <c r="B2394">
        <v>758.9</v>
      </c>
      <c r="C2394">
        <v>767.81</v>
      </c>
      <c r="D2394">
        <v>757.15</v>
      </c>
      <c r="E2394">
        <v>765.54</v>
      </c>
      <c r="F2394" s="2">
        <v>6020000000</v>
      </c>
    </row>
    <row r="2395" spans="1:6">
      <c r="A2395" s="32">
        <v>40253</v>
      </c>
      <c r="B2395">
        <v>737.82</v>
      </c>
      <c r="C2395">
        <v>752.91</v>
      </c>
      <c r="D2395">
        <v>737.82</v>
      </c>
      <c r="E2395">
        <v>752.2</v>
      </c>
      <c r="F2395" s="2">
        <v>4540000000</v>
      </c>
    </row>
    <row r="2396" spans="1:6">
      <c r="A2396" s="32">
        <v>40252</v>
      </c>
      <c r="B2396">
        <v>728.65</v>
      </c>
      <c r="C2396">
        <v>736.69</v>
      </c>
      <c r="D2396">
        <v>727.81</v>
      </c>
      <c r="E2396">
        <v>734.83</v>
      </c>
      <c r="F2396" s="2">
        <v>2120000000</v>
      </c>
    </row>
    <row r="2397" spans="1:6">
      <c r="A2397" s="32">
        <v>40249</v>
      </c>
      <c r="B2397">
        <v>726.94</v>
      </c>
      <c r="C2397">
        <v>733.34</v>
      </c>
      <c r="D2397">
        <v>722.89</v>
      </c>
      <c r="E2397">
        <v>733.34</v>
      </c>
      <c r="F2397" s="2">
        <v>2470000000</v>
      </c>
    </row>
    <row r="2398" spans="1:6">
      <c r="A2398" s="32">
        <v>40248</v>
      </c>
      <c r="B2398">
        <v>721.36</v>
      </c>
      <c r="C2398">
        <v>730.63</v>
      </c>
      <c r="D2398">
        <v>720.72</v>
      </c>
      <c r="E2398">
        <v>725.95</v>
      </c>
      <c r="F2398" s="2">
        <v>2580000000</v>
      </c>
    </row>
    <row r="2399" spans="1:6">
      <c r="A2399" s="32">
        <v>40247</v>
      </c>
      <c r="B2399">
        <v>717.55</v>
      </c>
      <c r="C2399">
        <v>721.89</v>
      </c>
      <c r="D2399">
        <v>716.73</v>
      </c>
      <c r="E2399">
        <v>720.84</v>
      </c>
      <c r="F2399" s="2">
        <v>2120000000</v>
      </c>
    </row>
    <row r="2400" spans="1:6">
      <c r="A2400" s="32">
        <v>40246</v>
      </c>
      <c r="B2400">
        <v>720.93</v>
      </c>
      <c r="C2400">
        <v>722.51</v>
      </c>
      <c r="D2400">
        <v>716.6</v>
      </c>
      <c r="E2400">
        <v>718.77</v>
      </c>
      <c r="F2400" s="2">
        <v>2540000000</v>
      </c>
    </row>
    <row r="2401" spans="1:6">
      <c r="A2401" s="32">
        <v>40245</v>
      </c>
      <c r="B2401">
        <v>728.39</v>
      </c>
      <c r="C2401">
        <v>729.03</v>
      </c>
      <c r="D2401">
        <v>716.49</v>
      </c>
      <c r="E2401">
        <v>720.29</v>
      </c>
      <c r="F2401" s="2">
        <v>2470000000</v>
      </c>
    </row>
    <row r="2402" spans="1:6">
      <c r="A2402" s="32">
        <v>40242</v>
      </c>
      <c r="B2402">
        <v>734.16</v>
      </c>
      <c r="C2402">
        <v>736.63</v>
      </c>
      <c r="D2402">
        <v>723.33</v>
      </c>
      <c r="E2402">
        <v>723.96</v>
      </c>
      <c r="F2402" s="2">
        <v>3670000000</v>
      </c>
    </row>
    <row r="2403" spans="1:6">
      <c r="A2403" s="32">
        <v>40241</v>
      </c>
      <c r="B2403">
        <v>734.38</v>
      </c>
      <c r="C2403">
        <v>736.34</v>
      </c>
      <c r="D2403">
        <v>730.04</v>
      </c>
      <c r="E2403">
        <v>730.82</v>
      </c>
      <c r="F2403" s="2">
        <v>3600000000</v>
      </c>
    </row>
    <row r="2404" spans="1:6">
      <c r="A2404" s="32">
        <v>40240</v>
      </c>
      <c r="B2404">
        <v>737.57</v>
      </c>
      <c r="C2404">
        <v>737.94</v>
      </c>
      <c r="D2404">
        <v>731.23</v>
      </c>
      <c r="E2404">
        <v>735.04</v>
      </c>
      <c r="F2404" s="2">
        <v>3360000000</v>
      </c>
    </row>
    <row r="2405" spans="1:6">
      <c r="A2405" s="32">
        <v>40239</v>
      </c>
      <c r="B2405">
        <v>724.57</v>
      </c>
      <c r="C2405">
        <v>733.19</v>
      </c>
      <c r="D2405">
        <v>723.71</v>
      </c>
      <c r="E2405">
        <v>733.19</v>
      </c>
      <c r="F2405" s="2">
        <v>3190000000</v>
      </c>
    </row>
    <row r="2406" spans="1:6">
      <c r="A2406" s="32">
        <v>40235</v>
      </c>
      <c r="B2406">
        <v>718.07</v>
      </c>
      <c r="C2406">
        <v>723.63</v>
      </c>
      <c r="D2406">
        <v>714.89</v>
      </c>
      <c r="E2406">
        <v>721.37</v>
      </c>
      <c r="F2406" s="2">
        <v>2240000000</v>
      </c>
    </row>
    <row r="2407" spans="1:6">
      <c r="A2407" s="32">
        <v>40234</v>
      </c>
      <c r="B2407">
        <v>721.14</v>
      </c>
      <c r="C2407">
        <v>721.97</v>
      </c>
      <c r="D2407">
        <v>712.88</v>
      </c>
      <c r="E2407">
        <v>717.1</v>
      </c>
      <c r="F2407" s="2">
        <v>2330000000</v>
      </c>
    </row>
    <row r="2408" spans="1:6">
      <c r="A2408" s="32">
        <v>40233</v>
      </c>
      <c r="B2408">
        <v>713.52</v>
      </c>
      <c r="C2408">
        <v>717.18</v>
      </c>
      <c r="D2408">
        <v>709.85</v>
      </c>
      <c r="E2408">
        <v>715.18</v>
      </c>
      <c r="F2408" s="2">
        <v>2540000000</v>
      </c>
    </row>
    <row r="2409" spans="1:6">
      <c r="A2409" s="32">
        <v>40232</v>
      </c>
      <c r="B2409">
        <v>705.19</v>
      </c>
      <c r="C2409">
        <v>715.95</v>
      </c>
      <c r="D2409">
        <v>704.43</v>
      </c>
      <c r="E2409">
        <v>715.58</v>
      </c>
      <c r="F2409" s="2">
        <v>2870000000</v>
      </c>
    </row>
    <row r="2410" spans="1:6">
      <c r="A2410" s="32">
        <v>40231</v>
      </c>
      <c r="B2410">
        <v>706.34</v>
      </c>
      <c r="C2410">
        <v>708.63</v>
      </c>
      <c r="D2410">
        <v>703.68</v>
      </c>
      <c r="E2410">
        <v>705.8</v>
      </c>
      <c r="F2410" s="2">
        <v>1750000000</v>
      </c>
    </row>
    <row r="2411" spans="1:6">
      <c r="A2411" s="32">
        <v>40228</v>
      </c>
      <c r="B2411">
        <v>695.72</v>
      </c>
      <c r="C2411">
        <v>700.44</v>
      </c>
      <c r="D2411">
        <v>692.92</v>
      </c>
      <c r="E2411">
        <v>700.44</v>
      </c>
      <c r="F2411" s="2">
        <v>1270000000</v>
      </c>
    </row>
    <row r="2412" spans="1:6">
      <c r="A2412" s="32">
        <v>40227</v>
      </c>
      <c r="B2412">
        <v>698.4</v>
      </c>
      <c r="C2412">
        <v>701.69</v>
      </c>
      <c r="D2412">
        <v>694.79</v>
      </c>
      <c r="E2412">
        <v>695.66</v>
      </c>
      <c r="F2412" s="2">
        <v>1620000000</v>
      </c>
    </row>
    <row r="2413" spans="1:6">
      <c r="A2413" s="32">
        <v>40226</v>
      </c>
      <c r="B2413">
        <v>697.97</v>
      </c>
      <c r="C2413">
        <v>701.11</v>
      </c>
      <c r="D2413">
        <v>696.55</v>
      </c>
      <c r="E2413">
        <v>697.49</v>
      </c>
      <c r="F2413" s="2">
        <v>1640000000</v>
      </c>
    </row>
    <row r="2414" spans="1:6">
      <c r="A2414" s="32">
        <v>40225</v>
      </c>
      <c r="B2414">
        <v>688.96</v>
      </c>
      <c r="C2414">
        <v>693.25</v>
      </c>
      <c r="D2414">
        <v>688.96</v>
      </c>
      <c r="E2414">
        <v>692.73</v>
      </c>
      <c r="F2414" s="2">
        <v>1160000000</v>
      </c>
    </row>
    <row r="2415" spans="1:6">
      <c r="A2415" s="32">
        <v>40224</v>
      </c>
      <c r="B2415">
        <v>696.94</v>
      </c>
      <c r="C2415">
        <v>697.13</v>
      </c>
      <c r="D2415">
        <v>688.28</v>
      </c>
      <c r="E2415">
        <v>689.09</v>
      </c>
      <c r="F2415" s="2">
        <v>995170000</v>
      </c>
    </row>
    <row r="2416" spans="1:6">
      <c r="A2416" s="32">
        <v>40221</v>
      </c>
      <c r="B2416">
        <v>696.55</v>
      </c>
      <c r="C2416">
        <v>701.62</v>
      </c>
      <c r="D2416">
        <v>694.07</v>
      </c>
      <c r="E2416">
        <v>698.03</v>
      </c>
      <c r="F2416" s="2">
        <v>1410000000</v>
      </c>
    </row>
    <row r="2417" spans="1:6">
      <c r="A2417" s="32">
        <v>40220</v>
      </c>
      <c r="B2417">
        <v>689.63</v>
      </c>
      <c r="C2417">
        <v>696.09</v>
      </c>
      <c r="D2417">
        <v>689.63</v>
      </c>
      <c r="E2417">
        <v>695.41</v>
      </c>
      <c r="F2417" s="2">
        <v>1460000000</v>
      </c>
    </row>
    <row r="2418" spans="1:6">
      <c r="A2418" s="32">
        <v>40219</v>
      </c>
      <c r="B2418">
        <v>689.74</v>
      </c>
      <c r="C2418">
        <v>692.49</v>
      </c>
      <c r="D2418">
        <v>687.18</v>
      </c>
      <c r="E2418">
        <v>688.41</v>
      </c>
      <c r="F2418" s="2">
        <v>1800000000</v>
      </c>
    </row>
    <row r="2419" spans="1:6">
      <c r="A2419" s="32">
        <v>40218</v>
      </c>
      <c r="B2419">
        <v>685.01</v>
      </c>
      <c r="C2419">
        <v>688.14</v>
      </c>
      <c r="D2419">
        <v>679.45</v>
      </c>
      <c r="E2419">
        <v>685.89</v>
      </c>
      <c r="F2419" s="2">
        <v>1680000000</v>
      </c>
    </row>
    <row r="2420" spans="1:6">
      <c r="A2420" s="32">
        <v>40217</v>
      </c>
      <c r="B2420">
        <v>689.08</v>
      </c>
      <c r="C2420">
        <v>689.72</v>
      </c>
      <c r="D2420">
        <v>680.24</v>
      </c>
      <c r="E2420">
        <v>688.09</v>
      </c>
      <c r="F2420" s="2">
        <v>1810000000</v>
      </c>
    </row>
    <row r="2421" spans="1:6">
      <c r="A2421" s="32">
        <v>40214</v>
      </c>
      <c r="B2421">
        <v>691.17</v>
      </c>
      <c r="C2421">
        <v>693.66</v>
      </c>
      <c r="D2421">
        <v>687.11</v>
      </c>
      <c r="E2421">
        <v>691.41</v>
      </c>
      <c r="F2421" s="2">
        <v>1940000000</v>
      </c>
    </row>
    <row r="2422" spans="1:6">
      <c r="A2422" s="32">
        <v>40213</v>
      </c>
      <c r="B2422">
        <v>705.33</v>
      </c>
      <c r="C2422">
        <v>708.51</v>
      </c>
      <c r="D2422">
        <v>702.01</v>
      </c>
      <c r="E2422">
        <v>702.52</v>
      </c>
      <c r="F2422" s="2">
        <v>2320000000</v>
      </c>
    </row>
    <row r="2423" spans="1:6">
      <c r="A2423" s="32">
        <v>40212</v>
      </c>
      <c r="B2423">
        <v>698.03</v>
      </c>
      <c r="C2423">
        <v>707.78</v>
      </c>
      <c r="D2423">
        <v>697.71</v>
      </c>
      <c r="E2423">
        <v>707.65</v>
      </c>
      <c r="F2423" s="2">
        <v>2970000000</v>
      </c>
    </row>
    <row r="2424" spans="1:6">
      <c r="A2424" s="32">
        <v>40211</v>
      </c>
      <c r="B2424">
        <v>702.35</v>
      </c>
      <c r="C2424">
        <v>703.03</v>
      </c>
      <c r="D2424">
        <v>694.07</v>
      </c>
      <c r="E2424">
        <v>694.07</v>
      </c>
      <c r="F2424" s="2">
        <v>1640000000</v>
      </c>
    </row>
    <row r="2425" spans="1:6">
      <c r="A2425" s="32">
        <v>40210</v>
      </c>
      <c r="B2425">
        <v>692.66</v>
      </c>
      <c r="C2425">
        <v>697.61</v>
      </c>
      <c r="D2425">
        <v>685.69</v>
      </c>
      <c r="E2425">
        <v>697.61</v>
      </c>
      <c r="F2425" s="2">
        <v>1440000000</v>
      </c>
    </row>
    <row r="2426" spans="1:6">
      <c r="A2426" s="32">
        <v>40207</v>
      </c>
      <c r="B2426">
        <v>685.14</v>
      </c>
      <c r="C2426">
        <v>696.55</v>
      </c>
      <c r="D2426">
        <v>684.26</v>
      </c>
      <c r="E2426">
        <v>696.55</v>
      </c>
      <c r="F2426" s="2">
        <v>1930000000</v>
      </c>
    </row>
    <row r="2427" spans="1:6">
      <c r="A2427" s="32">
        <v>40206</v>
      </c>
      <c r="B2427">
        <v>696.56</v>
      </c>
      <c r="C2427">
        <v>698.35</v>
      </c>
      <c r="D2427">
        <v>682.17</v>
      </c>
      <c r="E2427">
        <v>689.72</v>
      </c>
      <c r="F2427" s="2">
        <v>2720000000</v>
      </c>
    </row>
    <row r="2428" spans="1:6">
      <c r="A2428" s="32">
        <v>40205</v>
      </c>
      <c r="B2428">
        <v>704.6</v>
      </c>
      <c r="C2428">
        <v>706.13</v>
      </c>
      <c r="D2428">
        <v>690.46</v>
      </c>
      <c r="E2428">
        <v>690.46</v>
      </c>
      <c r="F2428" s="2">
        <v>2240000000</v>
      </c>
    </row>
    <row r="2429" spans="1:6">
      <c r="A2429" s="32">
        <v>40204</v>
      </c>
      <c r="B2429">
        <v>711.98</v>
      </c>
      <c r="C2429">
        <v>713</v>
      </c>
      <c r="D2429">
        <v>700.78</v>
      </c>
      <c r="E2429">
        <v>701.66</v>
      </c>
      <c r="F2429" s="2">
        <v>2080000000</v>
      </c>
    </row>
    <row r="2430" spans="1:6">
      <c r="A2430" s="32">
        <v>40203</v>
      </c>
      <c r="B2430">
        <v>706.76</v>
      </c>
      <c r="C2430">
        <v>713.89</v>
      </c>
      <c r="D2430">
        <v>702.87</v>
      </c>
      <c r="E2430">
        <v>710.39</v>
      </c>
      <c r="F2430" s="2">
        <v>1790000000</v>
      </c>
    </row>
    <row r="2431" spans="1:6">
      <c r="A2431" s="32">
        <v>40200</v>
      </c>
      <c r="B2431">
        <v>710.75</v>
      </c>
      <c r="C2431">
        <v>715.42</v>
      </c>
      <c r="D2431">
        <v>705.69</v>
      </c>
      <c r="E2431">
        <v>714.1</v>
      </c>
      <c r="F2431" s="2">
        <v>2970000000</v>
      </c>
    </row>
    <row r="2432" spans="1:6">
      <c r="A2432" s="32">
        <v>40199</v>
      </c>
      <c r="B2432">
        <v>727.55</v>
      </c>
      <c r="C2432">
        <v>730.34</v>
      </c>
      <c r="D2432">
        <v>718.99</v>
      </c>
      <c r="E2432">
        <v>718.99</v>
      </c>
      <c r="F2432" s="2">
        <v>2380000000</v>
      </c>
    </row>
    <row r="2433" spans="1:6">
      <c r="A2433" s="32">
        <v>40198</v>
      </c>
      <c r="B2433">
        <v>738.3</v>
      </c>
      <c r="C2433">
        <v>740.05</v>
      </c>
      <c r="D2433">
        <v>723.15</v>
      </c>
      <c r="E2433">
        <v>731.8</v>
      </c>
      <c r="F2433" s="2">
        <v>3100000000</v>
      </c>
    </row>
    <row r="2434" spans="1:6">
      <c r="A2434" s="32">
        <v>40197</v>
      </c>
      <c r="B2434">
        <v>747.77</v>
      </c>
      <c r="C2434">
        <v>749.65</v>
      </c>
      <c r="D2434">
        <v>735.35</v>
      </c>
      <c r="E2434">
        <v>736.48</v>
      </c>
      <c r="F2434" s="2">
        <v>3740000000</v>
      </c>
    </row>
    <row r="2435" spans="1:6">
      <c r="A2435" s="32">
        <v>40196</v>
      </c>
      <c r="B2435">
        <v>744.19</v>
      </c>
      <c r="C2435">
        <v>747.87</v>
      </c>
      <c r="D2435">
        <v>743.56</v>
      </c>
      <c r="E2435">
        <v>746.89</v>
      </c>
      <c r="F2435" s="2">
        <v>2300000000</v>
      </c>
    </row>
    <row r="2436" spans="1:6">
      <c r="A2436" s="32">
        <v>40193</v>
      </c>
      <c r="B2436">
        <v>751.97</v>
      </c>
      <c r="C2436">
        <v>753.17</v>
      </c>
      <c r="D2436">
        <v>745.59</v>
      </c>
      <c r="E2436">
        <v>746.52</v>
      </c>
      <c r="F2436" s="2">
        <v>2920000000</v>
      </c>
    </row>
    <row r="2437" spans="1:6">
      <c r="A2437" s="32">
        <v>40192</v>
      </c>
      <c r="B2437">
        <v>750.7</v>
      </c>
      <c r="C2437">
        <v>751.93</v>
      </c>
      <c r="D2437">
        <v>747.94</v>
      </c>
      <c r="E2437">
        <v>749.42</v>
      </c>
      <c r="F2437" s="2">
        <v>3360000000</v>
      </c>
    </row>
    <row r="2438" spans="1:6">
      <c r="A2438" s="32">
        <v>40191</v>
      </c>
      <c r="B2438">
        <v>741.54</v>
      </c>
      <c r="C2438">
        <v>746.74</v>
      </c>
      <c r="D2438">
        <v>741.4</v>
      </c>
      <c r="E2438">
        <v>746.74</v>
      </c>
      <c r="F2438" s="2">
        <v>2490000000</v>
      </c>
    </row>
    <row r="2439" spans="1:6">
      <c r="A2439" s="32">
        <v>40190</v>
      </c>
      <c r="B2439">
        <v>745.53</v>
      </c>
      <c r="C2439">
        <v>749.24</v>
      </c>
      <c r="D2439">
        <v>745.15</v>
      </c>
      <c r="E2439">
        <v>745.24</v>
      </c>
      <c r="F2439" s="2">
        <v>3460000000</v>
      </c>
    </row>
    <row r="2440" spans="1:6">
      <c r="A2440" s="32">
        <v>40189</v>
      </c>
      <c r="B2440">
        <v>743.08</v>
      </c>
      <c r="C2440">
        <v>748.02</v>
      </c>
      <c r="D2440">
        <v>742.72</v>
      </c>
      <c r="E2440">
        <v>746.95</v>
      </c>
      <c r="F2440" s="2">
        <v>3190000000</v>
      </c>
    </row>
    <row r="2441" spans="1:6">
      <c r="A2441" s="32">
        <v>40186</v>
      </c>
      <c r="B2441">
        <v>736.29</v>
      </c>
      <c r="C2441">
        <v>740.91</v>
      </c>
      <c r="D2441">
        <v>736.03</v>
      </c>
      <c r="E2441">
        <v>738.96</v>
      </c>
      <c r="F2441" s="2">
        <v>2690000000</v>
      </c>
    </row>
    <row r="2442" spans="1:6">
      <c r="A2442" s="32">
        <v>40185</v>
      </c>
      <c r="B2442">
        <v>738.77</v>
      </c>
      <c r="C2442">
        <v>740.91</v>
      </c>
      <c r="D2442">
        <v>733.75</v>
      </c>
      <c r="E2442">
        <v>734.63</v>
      </c>
      <c r="F2442" s="2">
        <v>3690000000</v>
      </c>
    </row>
    <row r="2443" spans="1:6">
      <c r="A2443" s="32">
        <v>40184</v>
      </c>
      <c r="B2443">
        <v>734.73</v>
      </c>
      <c r="C2443">
        <v>737.12</v>
      </c>
      <c r="D2443">
        <v>732.66</v>
      </c>
      <c r="E2443">
        <v>735.73</v>
      </c>
      <c r="F2443" s="2">
        <v>3700000000</v>
      </c>
    </row>
    <row r="2444" spans="1:6">
      <c r="A2444" s="32">
        <v>40183</v>
      </c>
      <c r="B2444">
        <v>737.38</v>
      </c>
      <c r="C2444">
        <v>740.86</v>
      </c>
      <c r="D2444">
        <v>730.8</v>
      </c>
      <c r="E2444">
        <v>732.11</v>
      </c>
      <c r="F2444" s="2">
        <v>3030000000</v>
      </c>
    </row>
    <row r="2445" spans="1:6">
      <c r="A2445" s="32">
        <v>40182</v>
      </c>
      <c r="B2445">
        <v>736.66</v>
      </c>
      <c r="C2445">
        <v>737.14</v>
      </c>
      <c r="D2445">
        <v>725.65</v>
      </c>
      <c r="E2445">
        <v>732.28</v>
      </c>
      <c r="F2445" s="2">
        <v>2370000000</v>
      </c>
    </row>
    <row r="2446" spans="1:6">
      <c r="A2446" s="32">
        <v>40177</v>
      </c>
      <c r="B2446">
        <v>740.69</v>
      </c>
      <c r="C2446">
        <v>742.31</v>
      </c>
      <c r="D2446">
        <v>733.41</v>
      </c>
      <c r="E2446">
        <v>734.54</v>
      </c>
      <c r="F2446" s="2">
        <v>1800000000</v>
      </c>
    </row>
    <row r="2447" spans="1:6">
      <c r="A2447" s="32">
        <v>40176</v>
      </c>
      <c r="B2447">
        <v>735.39</v>
      </c>
      <c r="C2447">
        <v>742.16</v>
      </c>
      <c r="D2447">
        <v>734.93</v>
      </c>
      <c r="E2447">
        <v>742.16</v>
      </c>
      <c r="F2447" s="2">
        <v>1760000000</v>
      </c>
    </row>
    <row r="2448" spans="1:6">
      <c r="A2448" s="32">
        <v>40175</v>
      </c>
      <c r="B2448">
        <v>732.14</v>
      </c>
      <c r="C2448">
        <v>733.71</v>
      </c>
      <c r="D2448">
        <v>729.65</v>
      </c>
      <c r="E2448">
        <v>733.71</v>
      </c>
      <c r="F2448" s="2">
        <v>1050000000</v>
      </c>
    </row>
    <row r="2449" spans="1:6">
      <c r="A2449" s="32">
        <v>40172</v>
      </c>
      <c r="B2449">
        <v>729.96</v>
      </c>
      <c r="C2449">
        <v>730.64</v>
      </c>
      <c r="D2449">
        <v>728.09</v>
      </c>
      <c r="E2449">
        <v>730.41</v>
      </c>
      <c r="F2449" s="2">
        <v>955600000</v>
      </c>
    </row>
    <row r="2450" spans="1:6">
      <c r="A2450" s="32">
        <v>40171</v>
      </c>
      <c r="B2450">
        <v>733.53</v>
      </c>
      <c r="C2450">
        <v>735.2</v>
      </c>
      <c r="D2450">
        <v>725.13</v>
      </c>
      <c r="E2450">
        <v>727.21</v>
      </c>
      <c r="F2450" s="2">
        <v>1880000000</v>
      </c>
    </row>
    <row r="2451" spans="1:6">
      <c r="A2451" s="32">
        <v>40170</v>
      </c>
      <c r="B2451">
        <v>726.27</v>
      </c>
      <c r="C2451">
        <v>730.83</v>
      </c>
      <c r="D2451">
        <v>725.88</v>
      </c>
      <c r="E2451">
        <v>729.8</v>
      </c>
      <c r="F2451" s="2">
        <v>2140000000</v>
      </c>
    </row>
    <row r="2452" spans="1:6">
      <c r="A2452" s="32">
        <v>40169</v>
      </c>
      <c r="B2452">
        <v>719.93</v>
      </c>
      <c r="C2452">
        <v>725.4</v>
      </c>
      <c r="D2452">
        <v>718.69</v>
      </c>
      <c r="E2452">
        <v>724.4</v>
      </c>
      <c r="F2452" s="2">
        <v>1900000000</v>
      </c>
    </row>
    <row r="2453" spans="1:6">
      <c r="A2453" s="32">
        <v>40168</v>
      </c>
      <c r="B2453">
        <v>718.11</v>
      </c>
      <c r="C2453">
        <v>720.53</v>
      </c>
      <c r="D2453">
        <v>714.66</v>
      </c>
      <c r="E2453">
        <v>715.17</v>
      </c>
      <c r="F2453" s="2">
        <v>2100000000</v>
      </c>
    </row>
    <row r="2454" spans="1:6">
      <c r="A2454" s="32">
        <v>40165</v>
      </c>
      <c r="B2454">
        <v>713.19</v>
      </c>
      <c r="C2454">
        <v>716</v>
      </c>
      <c r="D2454">
        <v>711.25</v>
      </c>
      <c r="E2454">
        <v>715.68</v>
      </c>
      <c r="F2454" s="2">
        <v>2320000000</v>
      </c>
    </row>
    <row r="2455" spans="1:6">
      <c r="A2455" s="32">
        <v>40164</v>
      </c>
      <c r="B2455">
        <v>718.36</v>
      </c>
      <c r="C2455">
        <v>719.17</v>
      </c>
      <c r="D2455">
        <v>713.59</v>
      </c>
      <c r="E2455">
        <v>715.81</v>
      </c>
      <c r="F2455" s="2">
        <v>2590000000</v>
      </c>
    </row>
    <row r="2456" spans="1:6">
      <c r="A2456" s="32">
        <v>40163</v>
      </c>
      <c r="B2456">
        <v>711.87</v>
      </c>
      <c r="C2456">
        <v>716.03</v>
      </c>
      <c r="D2456">
        <v>710.18</v>
      </c>
      <c r="E2456">
        <v>716.01</v>
      </c>
      <c r="F2456" s="2">
        <v>2120000000</v>
      </c>
    </row>
    <row r="2457" spans="1:6">
      <c r="A2457" s="32">
        <v>40162</v>
      </c>
      <c r="B2457">
        <v>710.73</v>
      </c>
      <c r="C2457">
        <v>712.78</v>
      </c>
      <c r="D2457">
        <v>708.57</v>
      </c>
      <c r="E2457">
        <v>709.64</v>
      </c>
      <c r="F2457" s="2">
        <v>2400000000</v>
      </c>
    </row>
    <row r="2458" spans="1:6">
      <c r="A2458" s="32">
        <v>40161</v>
      </c>
      <c r="B2458">
        <v>702.15</v>
      </c>
      <c r="C2458">
        <v>713.87</v>
      </c>
      <c r="D2458">
        <v>701.8</v>
      </c>
      <c r="E2458">
        <v>709.74</v>
      </c>
      <c r="F2458" s="2">
        <v>2040000000</v>
      </c>
    </row>
    <row r="2459" spans="1:6">
      <c r="A2459" s="32">
        <v>40158</v>
      </c>
      <c r="B2459">
        <v>698.96</v>
      </c>
      <c r="C2459">
        <v>704.32</v>
      </c>
      <c r="D2459">
        <v>698.47</v>
      </c>
      <c r="E2459">
        <v>703.64</v>
      </c>
      <c r="F2459" s="2">
        <v>2560000000</v>
      </c>
    </row>
    <row r="2460" spans="1:6">
      <c r="A2460" s="32">
        <v>40156</v>
      </c>
      <c r="B2460">
        <v>696.5</v>
      </c>
      <c r="C2460">
        <v>697.04</v>
      </c>
      <c r="D2460">
        <v>688.91</v>
      </c>
      <c r="E2460">
        <v>694.71</v>
      </c>
      <c r="F2460" s="2">
        <v>2200000000</v>
      </c>
    </row>
    <row r="2461" spans="1:6">
      <c r="A2461" s="32">
        <v>40155</v>
      </c>
      <c r="B2461">
        <v>701.4</v>
      </c>
      <c r="C2461">
        <v>702.07</v>
      </c>
      <c r="D2461">
        <v>697.38</v>
      </c>
      <c r="E2461">
        <v>698.82</v>
      </c>
      <c r="F2461" s="2">
        <v>1970000000</v>
      </c>
    </row>
    <row r="2462" spans="1:6">
      <c r="A2462" s="32">
        <v>40151</v>
      </c>
      <c r="B2462">
        <v>703.87</v>
      </c>
      <c r="C2462">
        <v>706.93</v>
      </c>
      <c r="D2462">
        <v>697.05</v>
      </c>
      <c r="E2462">
        <v>701.58</v>
      </c>
      <c r="F2462" s="2">
        <v>2730000000</v>
      </c>
    </row>
    <row r="2463" spans="1:6">
      <c r="A2463" s="32">
        <v>40150</v>
      </c>
      <c r="B2463">
        <v>695.81</v>
      </c>
      <c r="C2463">
        <v>706.84</v>
      </c>
      <c r="D2463">
        <v>695.81</v>
      </c>
      <c r="E2463">
        <v>706.84</v>
      </c>
      <c r="F2463" s="2">
        <v>3140000000</v>
      </c>
    </row>
    <row r="2464" spans="1:6">
      <c r="A2464" s="32">
        <v>40149</v>
      </c>
      <c r="B2464">
        <v>712.79</v>
      </c>
      <c r="C2464">
        <v>713</v>
      </c>
      <c r="D2464">
        <v>693.51</v>
      </c>
      <c r="E2464">
        <v>693.51</v>
      </c>
      <c r="F2464" s="2">
        <v>3890000000</v>
      </c>
    </row>
    <row r="2465" spans="1:6">
      <c r="A2465" s="32">
        <v>40148</v>
      </c>
      <c r="B2465">
        <v>691.08</v>
      </c>
      <c r="C2465">
        <v>710.01</v>
      </c>
      <c r="D2465">
        <v>690.89</v>
      </c>
      <c r="E2465">
        <v>710.01</v>
      </c>
      <c r="F2465" s="2">
        <v>3910000000</v>
      </c>
    </row>
    <row r="2466" spans="1:6">
      <c r="A2466" s="32">
        <v>40147</v>
      </c>
      <c r="B2466">
        <v>688.24</v>
      </c>
      <c r="C2466">
        <v>691.89</v>
      </c>
      <c r="D2466">
        <v>686.45</v>
      </c>
      <c r="E2466">
        <v>689.07</v>
      </c>
      <c r="F2466" s="2">
        <v>2280000000</v>
      </c>
    </row>
    <row r="2467" spans="1:6">
      <c r="A2467" s="32">
        <v>40144</v>
      </c>
      <c r="B2467">
        <v>674.16</v>
      </c>
      <c r="C2467">
        <v>681.02</v>
      </c>
      <c r="D2467">
        <v>669.34</v>
      </c>
      <c r="E2467">
        <v>680.37</v>
      </c>
      <c r="F2467" s="2">
        <v>2860000000</v>
      </c>
    </row>
    <row r="2468" spans="1:6">
      <c r="A2468" s="32">
        <v>40143</v>
      </c>
      <c r="B2468">
        <v>691.83</v>
      </c>
      <c r="C2468">
        <v>694.89</v>
      </c>
      <c r="D2468">
        <v>684.86</v>
      </c>
      <c r="E2468">
        <v>685.73</v>
      </c>
      <c r="F2468" s="2">
        <v>2790000000</v>
      </c>
    </row>
    <row r="2469" spans="1:6">
      <c r="A2469" s="32">
        <v>40142</v>
      </c>
      <c r="B2469">
        <v>680.5</v>
      </c>
      <c r="C2469">
        <v>696.08</v>
      </c>
      <c r="D2469">
        <v>680.09</v>
      </c>
      <c r="E2469">
        <v>695.69</v>
      </c>
      <c r="F2469" s="2">
        <v>2770000000</v>
      </c>
    </row>
    <row r="2470" spans="1:6">
      <c r="A2470" s="32">
        <v>40141</v>
      </c>
      <c r="B2470">
        <v>689.26</v>
      </c>
      <c r="C2470">
        <v>692.08</v>
      </c>
      <c r="D2470">
        <v>676.22</v>
      </c>
      <c r="E2470">
        <v>676.22</v>
      </c>
      <c r="F2470" s="2">
        <v>2600000000</v>
      </c>
    </row>
    <row r="2471" spans="1:6">
      <c r="A2471" s="32">
        <v>40140</v>
      </c>
      <c r="B2471">
        <v>695.42</v>
      </c>
      <c r="C2471">
        <v>695.73</v>
      </c>
      <c r="D2471">
        <v>683.55</v>
      </c>
      <c r="E2471">
        <v>690.41</v>
      </c>
      <c r="F2471" s="2">
        <v>2350000000</v>
      </c>
    </row>
    <row r="2472" spans="1:6">
      <c r="A2472" s="32">
        <v>40137</v>
      </c>
      <c r="B2472">
        <v>697.19</v>
      </c>
      <c r="C2472">
        <v>700.68</v>
      </c>
      <c r="D2472">
        <v>694.65</v>
      </c>
      <c r="E2472">
        <v>695.25</v>
      </c>
      <c r="F2472" s="2">
        <v>2500000000</v>
      </c>
    </row>
    <row r="2473" spans="1:6">
      <c r="A2473" s="32">
        <v>40136</v>
      </c>
      <c r="B2473">
        <v>706.34</v>
      </c>
      <c r="C2473">
        <v>706.49</v>
      </c>
      <c r="D2473">
        <v>699.09</v>
      </c>
      <c r="E2473">
        <v>700.42</v>
      </c>
      <c r="F2473" s="2">
        <v>2790000000</v>
      </c>
    </row>
    <row r="2474" spans="1:6">
      <c r="A2474" s="32">
        <v>40135</v>
      </c>
      <c r="B2474">
        <v>711.19</v>
      </c>
      <c r="C2474">
        <v>713.66</v>
      </c>
      <c r="D2474">
        <v>703.09</v>
      </c>
      <c r="E2474">
        <v>707.26</v>
      </c>
      <c r="F2474" s="2">
        <v>2970000000</v>
      </c>
    </row>
    <row r="2475" spans="1:6">
      <c r="A2475" s="32">
        <v>40134</v>
      </c>
      <c r="B2475">
        <v>709.03</v>
      </c>
      <c r="C2475">
        <v>711.85</v>
      </c>
      <c r="D2475">
        <v>703.9</v>
      </c>
      <c r="E2475">
        <v>706.55</v>
      </c>
      <c r="F2475" s="2">
        <v>2700000000</v>
      </c>
    </row>
    <row r="2476" spans="1:6">
      <c r="A2476" s="32">
        <v>40133</v>
      </c>
      <c r="B2476">
        <v>701.71</v>
      </c>
      <c r="C2476">
        <v>709.38</v>
      </c>
      <c r="D2476">
        <v>700.67</v>
      </c>
      <c r="E2476">
        <v>706.75</v>
      </c>
      <c r="F2476" s="2">
        <v>2800000000</v>
      </c>
    </row>
    <row r="2477" spans="1:6">
      <c r="A2477" s="32">
        <v>40130</v>
      </c>
      <c r="B2477">
        <v>697.55</v>
      </c>
      <c r="C2477">
        <v>702.51</v>
      </c>
      <c r="D2477">
        <v>693.72</v>
      </c>
      <c r="E2477">
        <v>698.33</v>
      </c>
      <c r="F2477" s="2">
        <v>2900000000</v>
      </c>
    </row>
    <row r="2478" spans="1:6">
      <c r="A2478" s="32">
        <v>40129</v>
      </c>
      <c r="B2478">
        <v>715.98</v>
      </c>
      <c r="C2478">
        <v>717.34</v>
      </c>
      <c r="D2478">
        <v>696.72</v>
      </c>
      <c r="E2478">
        <v>696.72</v>
      </c>
      <c r="F2478" s="2">
        <v>3680000000</v>
      </c>
    </row>
    <row r="2479" spans="1:6">
      <c r="A2479" s="32">
        <v>40128</v>
      </c>
      <c r="B2479">
        <v>711.36</v>
      </c>
      <c r="C2479">
        <v>717.9</v>
      </c>
      <c r="D2479">
        <v>709.35</v>
      </c>
      <c r="E2479">
        <v>717.9</v>
      </c>
      <c r="F2479" s="2">
        <v>3540000000</v>
      </c>
    </row>
    <row r="2480" spans="1:6">
      <c r="A2480" s="32">
        <v>40127</v>
      </c>
      <c r="B2480">
        <v>715.64</v>
      </c>
      <c r="C2480">
        <v>717.51</v>
      </c>
      <c r="D2480">
        <v>705.31</v>
      </c>
      <c r="E2480">
        <v>708.2</v>
      </c>
      <c r="F2480" s="2">
        <v>4820000000</v>
      </c>
    </row>
    <row r="2481" spans="1:6">
      <c r="A2481" s="32">
        <v>40126</v>
      </c>
      <c r="B2481">
        <v>702.35</v>
      </c>
      <c r="C2481">
        <v>713.48</v>
      </c>
      <c r="D2481">
        <v>699.44</v>
      </c>
      <c r="E2481">
        <v>713.48</v>
      </c>
      <c r="F2481" s="2">
        <v>3060000000</v>
      </c>
    </row>
    <row r="2482" spans="1:6">
      <c r="A2482" s="32">
        <v>40123</v>
      </c>
      <c r="B2482">
        <v>690.76</v>
      </c>
      <c r="C2482">
        <v>698.63</v>
      </c>
      <c r="D2482">
        <v>689.92</v>
      </c>
      <c r="E2482">
        <v>698.63</v>
      </c>
      <c r="F2482" s="2">
        <v>3760000000</v>
      </c>
    </row>
    <row r="2483" spans="1:6">
      <c r="A2483" s="32">
        <v>40122</v>
      </c>
      <c r="B2483">
        <v>682.37</v>
      </c>
      <c r="C2483">
        <v>687.96</v>
      </c>
      <c r="D2483">
        <v>681.63</v>
      </c>
      <c r="E2483">
        <v>681.91</v>
      </c>
      <c r="F2483" s="2">
        <v>4190000000</v>
      </c>
    </row>
    <row r="2484" spans="1:6">
      <c r="A2484" s="32">
        <v>40121</v>
      </c>
      <c r="B2484">
        <v>674.31</v>
      </c>
      <c r="C2484">
        <v>686.41</v>
      </c>
      <c r="D2484">
        <v>672.76</v>
      </c>
      <c r="E2484">
        <v>686.41</v>
      </c>
      <c r="F2484" s="2">
        <v>3290000000</v>
      </c>
    </row>
    <row r="2485" spans="1:6">
      <c r="A2485" s="32">
        <v>40120</v>
      </c>
      <c r="B2485">
        <v>674.48</v>
      </c>
      <c r="C2485">
        <v>676.96</v>
      </c>
      <c r="D2485">
        <v>666.81</v>
      </c>
      <c r="E2485">
        <v>668.48</v>
      </c>
      <c r="F2485" s="2">
        <v>2930000000</v>
      </c>
    </row>
    <row r="2486" spans="1:6">
      <c r="A2486" s="32">
        <v>40119</v>
      </c>
      <c r="B2486">
        <v>673.5</v>
      </c>
      <c r="C2486">
        <v>677.22</v>
      </c>
      <c r="D2486">
        <v>667.52</v>
      </c>
      <c r="E2486">
        <v>677.22</v>
      </c>
      <c r="F2486" s="2">
        <v>2640000000</v>
      </c>
    </row>
    <row r="2487" spans="1:6">
      <c r="A2487" s="32">
        <v>40116</v>
      </c>
      <c r="B2487">
        <v>700.91</v>
      </c>
      <c r="C2487">
        <v>701.95</v>
      </c>
      <c r="D2487">
        <v>684.17</v>
      </c>
      <c r="E2487">
        <v>685.24</v>
      </c>
      <c r="F2487" s="2">
        <v>3670000000</v>
      </c>
    </row>
    <row r="2488" spans="1:6">
      <c r="A2488" s="32">
        <v>40115</v>
      </c>
      <c r="B2488">
        <v>692.08</v>
      </c>
      <c r="C2488">
        <v>693.59</v>
      </c>
      <c r="D2488">
        <v>685.39</v>
      </c>
      <c r="E2488">
        <v>690.1</v>
      </c>
      <c r="F2488" s="2">
        <v>3620000000</v>
      </c>
    </row>
    <row r="2489" spans="1:6">
      <c r="A2489" s="32">
        <v>40114</v>
      </c>
      <c r="B2489">
        <v>712.61</v>
      </c>
      <c r="C2489">
        <v>713.06</v>
      </c>
      <c r="D2489">
        <v>703.71</v>
      </c>
      <c r="E2489">
        <v>703.95</v>
      </c>
      <c r="F2489" s="2">
        <v>3570000000</v>
      </c>
    </row>
    <row r="2490" spans="1:6">
      <c r="A2490" s="32">
        <v>40113</v>
      </c>
      <c r="B2490">
        <v>703.58</v>
      </c>
      <c r="C2490">
        <v>714.54</v>
      </c>
      <c r="D2490">
        <v>703.58</v>
      </c>
      <c r="E2490">
        <v>714.54</v>
      </c>
      <c r="F2490" s="2">
        <v>3220000000</v>
      </c>
    </row>
    <row r="2491" spans="1:6">
      <c r="A2491" s="32">
        <v>40112</v>
      </c>
      <c r="B2491">
        <v>713.87</v>
      </c>
      <c r="C2491">
        <v>717.33</v>
      </c>
      <c r="D2491">
        <v>707.43</v>
      </c>
      <c r="E2491">
        <v>711.83</v>
      </c>
      <c r="F2491" s="2">
        <v>2280000000</v>
      </c>
    </row>
    <row r="2492" spans="1:6">
      <c r="A2492" s="32">
        <v>40108</v>
      </c>
      <c r="B2492">
        <v>711.84</v>
      </c>
      <c r="C2492">
        <v>712.18</v>
      </c>
      <c r="D2492">
        <v>702.66</v>
      </c>
      <c r="E2492">
        <v>708.76</v>
      </c>
      <c r="F2492" s="2">
        <v>2980000000</v>
      </c>
    </row>
    <row r="2493" spans="1:6">
      <c r="A2493" s="32">
        <v>40107</v>
      </c>
      <c r="B2493">
        <v>725.31</v>
      </c>
      <c r="C2493">
        <v>729.38</v>
      </c>
      <c r="D2493">
        <v>715.57</v>
      </c>
      <c r="E2493">
        <v>716.35</v>
      </c>
      <c r="F2493" s="2">
        <v>3750000000</v>
      </c>
    </row>
    <row r="2494" spans="1:6">
      <c r="A2494" s="32">
        <v>40106</v>
      </c>
      <c r="B2494">
        <v>737.91</v>
      </c>
      <c r="C2494">
        <v>739</v>
      </c>
      <c r="D2494">
        <v>723.58</v>
      </c>
      <c r="E2494">
        <v>725.6</v>
      </c>
      <c r="F2494" s="2">
        <v>6090000000</v>
      </c>
    </row>
    <row r="2495" spans="1:6">
      <c r="A2495" s="32">
        <v>40105</v>
      </c>
      <c r="B2495">
        <v>720.57</v>
      </c>
      <c r="C2495">
        <v>731.61</v>
      </c>
      <c r="D2495">
        <v>714.05</v>
      </c>
      <c r="E2495">
        <v>731.61</v>
      </c>
      <c r="F2495" s="2">
        <v>4550000000</v>
      </c>
    </row>
    <row r="2496" spans="1:6">
      <c r="A2496" s="32">
        <v>40102</v>
      </c>
      <c r="B2496">
        <v>699.07</v>
      </c>
      <c r="C2496">
        <v>717.12</v>
      </c>
      <c r="D2496">
        <v>695.74</v>
      </c>
      <c r="E2496">
        <v>717.12</v>
      </c>
      <c r="F2496" s="2">
        <v>5160000000</v>
      </c>
    </row>
    <row r="2497" spans="1:6">
      <c r="A2497" s="32">
        <v>40101</v>
      </c>
      <c r="B2497">
        <v>735.91</v>
      </c>
      <c r="C2497">
        <v>736.34</v>
      </c>
      <c r="D2497">
        <v>670.72</v>
      </c>
      <c r="E2497">
        <v>692.72</v>
      </c>
      <c r="F2497" s="2">
        <v>8330000000</v>
      </c>
    </row>
    <row r="2498" spans="1:6">
      <c r="A2498" s="32">
        <v>40100</v>
      </c>
      <c r="B2498">
        <v>751.76</v>
      </c>
      <c r="C2498">
        <v>752.22</v>
      </c>
      <c r="D2498">
        <v>714.39</v>
      </c>
      <c r="E2498">
        <v>731.47</v>
      </c>
      <c r="F2498" s="2">
        <v>8660000000</v>
      </c>
    </row>
    <row r="2499" spans="1:6">
      <c r="A2499" s="32">
        <v>40099</v>
      </c>
      <c r="B2499">
        <v>755.19</v>
      </c>
      <c r="C2499">
        <v>758.55</v>
      </c>
      <c r="D2499">
        <v>746.67</v>
      </c>
      <c r="E2499">
        <v>746.67</v>
      </c>
      <c r="F2499" s="2">
        <v>4940000000</v>
      </c>
    </row>
    <row r="2500" spans="1:6">
      <c r="A2500" s="32">
        <v>40098</v>
      </c>
      <c r="B2500">
        <v>749.9</v>
      </c>
      <c r="C2500">
        <v>753.26</v>
      </c>
      <c r="D2500">
        <v>744.62</v>
      </c>
      <c r="E2500">
        <v>751.86</v>
      </c>
      <c r="F2500" s="2">
        <v>4770000000</v>
      </c>
    </row>
    <row r="2501" spans="1:6">
      <c r="A2501" s="32">
        <v>40095</v>
      </c>
      <c r="B2501">
        <v>749.79</v>
      </c>
      <c r="C2501">
        <v>752.56</v>
      </c>
      <c r="D2501">
        <v>746.87</v>
      </c>
      <c r="E2501">
        <v>746.87</v>
      </c>
      <c r="F2501" s="2">
        <v>5750000000</v>
      </c>
    </row>
    <row r="2502" spans="1:6">
      <c r="A2502" s="32">
        <v>40094</v>
      </c>
      <c r="B2502">
        <v>745.37</v>
      </c>
      <c r="C2502">
        <v>749.2</v>
      </c>
      <c r="D2502">
        <v>740.93</v>
      </c>
      <c r="E2502">
        <v>744.03</v>
      </c>
      <c r="F2502" s="2">
        <v>7110000000</v>
      </c>
    </row>
    <row r="2503" spans="1:6">
      <c r="A2503" s="32">
        <v>40093</v>
      </c>
      <c r="B2503">
        <v>740.31</v>
      </c>
      <c r="C2503">
        <v>746.7</v>
      </c>
      <c r="D2503">
        <v>738.94</v>
      </c>
      <c r="E2503">
        <v>741.92</v>
      </c>
      <c r="F2503" s="2">
        <v>7820000000</v>
      </c>
    </row>
    <row r="2504" spans="1:6">
      <c r="A2504" s="32">
        <v>40092</v>
      </c>
      <c r="B2504">
        <v>724.66</v>
      </c>
      <c r="C2504">
        <v>731.77</v>
      </c>
      <c r="D2504">
        <v>723.28</v>
      </c>
      <c r="E2504">
        <v>731.39</v>
      </c>
      <c r="F2504" s="2">
        <v>5310000000</v>
      </c>
    </row>
    <row r="2505" spans="1:6">
      <c r="A2505" s="32">
        <v>40091</v>
      </c>
      <c r="B2505">
        <v>726.3</v>
      </c>
      <c r="C2505">
        <v>726.79</v>
      </c>
      <c r="D2505">
        <v>715.77</v>
      </c>
      <c r="E2505">
        <v>718.47</v>
      </c>
      <c r="F2505" s="2">
        <v>4080000000</v>
      </c>
    </row>
    <row r="2506" spans="1:6">
      <c r="A2506" s="32">
        <v>40088</v>
      </c>
      <c r="B2506">
        <v>720.63</v>
      </c>
      <c r="C2506">
        <v>725.71</v>
      </c>
      <c r="D2506">
        <v>719.75</v>
      </c>
      <c r="E2506">
        <v>724.56</v>
      </c>
      <c r="F2506" s="2">
        <v>4320000000</v>
      </c>
    </row>
    <row r="2507" spans="1:6">
      <c r="A2507" s="32">
        <v>40087</v>
      </c>
      <c r="B2507">
        <v>718.9</v>
      </c>
      <c r="C2507">
        <v>729.36</v>
      </c>
      <c r="D2507">
        <v>718.61</v>
      </c>
      <c r="E2507">
        <v>726.91</v>
      </c>
      <c r="F2507" s="2">
        <v>4750000000</v>
      </c>
    </row>
    <row r="2508" spans="1:6">
      <c r="A2508" s="32">
        <v>40086</v>
      </c>
      <c r="B2508">
        <v>709.15</v>
      </c>
      <c r="C2508">
        <v>717.48</v>
      </c>
      <c r="D2508">
        <v>708.44</v>
      </c>
      <c r="E2508">
        <v>717.07</v>
      </c>
      <c r="F2508" s="2">
        <v>4360000000</v>
      </c>
    </row>
    <row r="2509" spans="1:6">
      <c r="A2509" s="32">
        <v>40085</v>
      </c>
      <c r="B2509">
        <v>716.36</v>
      </c>
      <c r="C2509">
        <v>719.76</v>
      </c>
      <c r="D2509">
        <v>712.89</v>
      </c>
      <c r="E2509">
        <v>715.29</v>
      </c>
      <c r="F2509" s="2">
        <v>4180000000</v>
      </c>
    </row>
    <row r="2510" spans="1:6">
      <c r="A2510" s="32">
        <v>40084</v>
      </c>
      <c r="B2510">
        <v>719.11</v>
      </c>
      <c r="C2510">
        <v>721.87</v>
      </c>
      <c r="D2510">
        <v>704.12</v>
      </c>
      <c r="E2510">
        <v>708.88</v>
      </c>
      <c r="F2510" s="2">
        <v>5470000000</v>
      </c>
    </row>
    <row r="2511" spans="1:6">
      <c r="A2511" s="32">
        <v>40081</v>
      </c>
      <c r="B2511">
        <v>724.16</v>
      </c>
      <c r="C2511">
        <v>730.69</v>
      </c>
      <c r="D2511">
        <v>721.57</v>
      </c>
      <c r="E2511">
        <v>721.57</v>
      </c>
      <c r="F2511" s="2">
        <v>8050000000</v>
      </c>
    </row>
    <row r="2512" spans="1:6">
      <c r="A2512" s="32">
        <v>40080</v>
      </c>
      <c r="B2512">
        <v>724.81</v>
      </c>
      <c r="C2512">
        <v>729.22</v>
      </c>
      <c r="D2512">
        <v>721.08</v>
      </c>
      <c r="E2512">
        <v>728.54</v>
      </c>
      <c r="F2512" s="2">
        <v>7490000000</v>
      </c>
    </row>
    <row r="2513" spans="1:6">
      <c r="A2513" s="32">
        <v>40079</v>
      </c>
      <c r="B2513">
        <v>727.41</v>
      </c>
      <c r="C2513">
        <v>731.58</v>
      </c>
      <c r="D2513">
        <v>722.71</v>
      </c>
      <c r="E2513">
        <v>730.52</v>
      </c>
      <c r="F2513" s="2">
        <v>8120000000</v>
      </c>
    </row>
    <row r="2514" spans="1:6">
      <c r="A2514" s="32">
        <v>40078</v>
      </c>
      <c r="B2514">
        <v>713.56</v>
      </c>
      <c r="C2514">
        <v>724.37</v>
      </c>
      <c r="D2514">
        <v>712.62</v>
      </c>
      <c r="E2514">
        <v>724.37</v>
      </c>
      <c r="F2514" s="2">
        <v>8620000000</v>
      </c>
    </row>
    <row r="2515" spans="1:6">
      <c r="A2515" s="32">
        <v>40077</v>
      </c>
      <c r="B2515">
        <v>714.3</v>
      </c>
      <c r="C2515">
        <v>716.86</v>
      </c>
      <c r="D2515">
        <v>711.62</v>
      </c>
      <c r="E2515">
        <v>713.16</v>
      </c>
      <c r="F2515" s="2">
        <v>11670000000</v>
      </c>
    </row>
    <row r="2516" spans="1:6">
      <c r="A2516" s="32">
        <v>40074</v>
      </c>
      <c r="B2516">
        <v>709.54</v>
      </c>
      <c r="C2516">
        <v>713.67</v>
      </c>
      <c r="D2516">
        <v>705.87</v>
      </c>
      <c r="E2516">
        <v>713.67</v>
      </c>
      <c r="F2516" s="2">
        <v>8010000000</v>
      </c>
    </row>
    <row r="2517" spans="1:6">
      <c r="A2517" s="32">
        <v>40073</v>
      </c>
      <c r="B2517">
        <v>718.82</v>
      </c>
      <c r="C2517">
        <v>719.76</v>
      </c>
      <c r="D2517">
        <v>706.58</v>
      </c>
      <c r="E2517">
        <v>709.23</v>
      </c>
      <c r="F2517" s="2">
        <v>5670000000</v>
      </c>
    </row>
    <row r="2518" spans="1:6">
      <c r="A2518" s="32">
        <v>40072</v>
      </c>
      <c r="B2518">
        <v>709.75</v>
      </c>
      <c r="C2518">
        <v>713.12</v>
      </c>
      <c r="D2518">
        <v>709.02</v>
      </c>
      <c r="E2518">
        <v>710.25</v>
      </c>
      <c r="F2518" s="2">
        <v>5360000000</v>
      </c>
    </row>
    <row r="2519" spans="1:6">
      <c r="A2519" s="32">
        <v>40071</v>
      </c>
      <c r="B2519">
        <v>698.76</v>
      </c>
      <c r="C2519">
        <v>703.68</v>
      </c>
      <c r="D2519">
        <v>695.58</v>
      </c>
      <c r="E2519">
        <v>703.16</v>
      </c>
      <c r="F2519" s="2">
        <v>4420000000</v>
      </c>
    </row>
    <row r="2520" spans="1:6">
      <c r="A2520" s="32">
        <v>40070</v>
      </c>
      <c r="B2520">
        <v>701.82</v>
      </c>
      <c r="C2520">
        <v>708.44</v>
      </c>
      <c r="D2520">
        <v>692.51</v>
      </c>
      <c r="E2520">
        <v>694.32</v>
      </c>
      <c r="F2520" s="2">
        <v>5420000000</v>
      </c>
    </row>
    <row r="2521" spans="1:6">
      <c r="A2521" s="32">
        <v>40067</v>
      </c>
      <c r="B2521">
        <v>707.41</v>
      </c>
      <c r="C2521">
        <v>710.9</v>
      </c>
      <c r="D2521">
        <v>704.04</v>
      </c>
      <c r="E2521">
        <v>707.81</v>
      </c>
      <c r="F2521" s="2">
        <v>5660000000</v>
      </c>
    </row>
    <row r="2522" spans="1:6">
      <c r="A2522" s="32">
        <v>40066</v>
      </c>
      <c r="B2522">
        <v>704.6</v>
      </c>
      <c r="C2522">
        <v>710.62</v>
      </c>
      <c r="D2522">
        <v>699.7</v>
      </c>
      <c r="E2522">
        <v>703.09</v>
      </c>
      <c r="F2522" s="2">
        <v>6180000000</v>
      </c>
    </row>
    <row r="2523" spans="1:6">
      <c r="A2523" s="32">
        <v>40065</v>
      </c>
      <c r="B2523">
        <v>694.86</v>
      </c>
      <c r="C2523">
        <v>697.86</v>
      </c>
      <c r="D2523">
        <v>688.3</v>
      </c>
      <c r="E2523">
        <v>695.59</v>
      </c>
      <c r="F2523" s="2">
        <v>5530000000</v>
      </c>
    </row>
    <row r="2524" spans="1:6">
      <c r="A2524" s="32">
        <v>40064</v>
      </c>
      <c r="B2524">
        <v>687.65</v>
      </c>
      <c r="C2524">
        <v>696.34</v>
      </c>
      <c r="D2524">
        <v>683.62</v>
      </c>
      <c r="E2524">
        <v>691.73</v>
      </c>
      <c r="F2524" s="2">
        <v>9270000000</v>
      </c>
    </row>
    <row r="2525" spans="1:6">
      <c r="A2525" s="32">
        <v>40063</v>
      </c>
      <c r="B2525">
        <v>674.63</v>
      </c>
      <c r="C2525">
        <v>682.57</v>
      </c>
      <c r="D2525">
        <v>673.15</v>
      </c>
      <c r="E2525">
        <v>682.57</v>
      </c>
      <c r="F2525" s="2">
        <v>7610000000</v>
      </c>
    </row>
    <row r="2526" spans="1:6">
      <c r="A2526" s="32">
        <v>40060</v>
      </c>
      <c r="B2526">
        <v>667.52</v>
      </c>
      <c r="C2526">
        <v>673.5</v>
      </c>
      <c r="D2526">
        <v>664.83</v>
      </c>
      <c r="E2526">
        <v>668.41</v>
      </c>
      <c r="F2526" s="2">
        <v>6660000000</v>
      </c>
    </row>
    <row r="2527" spans="1:6">
      <c r="A2527" s="32">
        <v>40059</v>
      </c>
      <c r="B2527">
        <v>656.99</v>
      </c>
      <c r="C2527">
        <v>665.65</v>
      </c>
      <c r="D2527">
        <v>656.99</v>
      </c>
      <c r="E2527">
        <v>665.54</v>
      </c>
      <c r="F2527" s="2">
        <v>5980000000</v>
      </c>
    </row>
    <row r="2528" spans="1:6">
      <c r="A2528" s="32">
        <v>40058</v>
      </c>
      <c r="B2528">
        <v>648.37</v>
      </c>
      <c r="C2528">
        <v>654.12</v>
      </c>
      <c r="D2528">
        <v>647.67999999999995</v>
      </c>
      <c r="E2528">
        <v>654.12</v>
      </c>
      <c r="F2528" s="2">
        <v>3490000000</v>
      </c>
    </row>
    <row r="2529" spans="1:6">
      <c r="A2529" s="32">
        <v>40057</v>
      </c>
      <c r="B2529">
        <v>654.46</v>
      </c>
      <c r="C2529">
        <v>659.62</v>
      </c>
      <c r="D2529">
        <v>654.04</v>
      </c>
      <c r="E2529">
        <v>654.12</v>
      </c>
      <c r="F2529" s="2">
        <v>4050000000</v>
      </c>
    </row>
    <row r="2530" spans="1:6">
      <c r="A2530" s="32">
        <v>40056</v>
      </c>
      <c r="B2530">
        <v>653.41</v>
      </c>
      <c r="C2530">
        <v>655.82</v>
      </c>
      <c r="D2530">
        <v>650.84</v>
      </c>
      <c r="E2530">
        <v>653.25</v>
      </c>
      <c r="F2530" s="2">
        <v>2790000000</v>
      </c>
    </row>
    <row r="2531" spans="1:6">
      <c r="A2531" s="32">
        <v>40053</v>
      </c>
      <c r="B2531">
        <v>653.34</v>
      </c>
      <c r="C2531">
        <v>656.98</v>
      </c>
      <c r="D2531">
        <v>650.15</v>
      </c>
      <c r="E2531">
        <v>656.98</v>
      </c>
      <c r="F2531" s="2">
        <v>3310000000</v>
      </c>
    </row>
    <row r="2532" spans="1:6">
      <c r="A2532" s="32">
        <v>40052</v>
      </c>
      <c r="B2532">
        <v>658.64</v>
      </c>
      <c r="C2532">
        <v>659.29</v>
      </c>
      <c r="D2532">
        <v>652.24</v>
      </c>
      <c r="E2532">
        <v>652.4</v>
      </c>
      <c r="F2532" s="2">
        <v>5750000000</v>
      </c>
    </row>
    <row r="2533" spans="1:6">
      <c r="A2533" s="32">
        <v>40051</v>
      </c>
      <c r="B2533">
        <v>655.48</v>
      </c>
      <c r="C2533">
        <v>661.04</v>
      </c>
      <c r="D2533">
        <v>654.89</v>
      </c>
      <c r="E2533">
        <v>658.28</v>
      </c>
      <c r="F2533" s="2">
        <v>5990000000</v>
      </c>
    </row>
    <row r="2534" spans="1:6">
      <c r="A2534" s="32">
        <v>40050</v>
      </c>
      <c r="B2534">
        <v>648.54999999999995</v>
      </c>
      <c r="C2534">
        <v>657.05</v>
      </c>
      <c r="D2534">
        <v>648.1</v>
      </c>
      <c r="E2534">
        <v>655.46</v>
      </c>
      <c r="F2534" s="2">
        <v>3900000000</v>
      </c>
    </row>
    <row r="2535" spans="1:6">
      <c r="A2535" s="32">
        <v>40049</v>
      </c>
      <c r="B2535">
        <v>653.92999999999995</v>
      </c>
      <c r="C2535">
        <v>657.98</v>
      </c>
      <c r="D2535">
        <v>653.20000000000005</v>
      </c>
      <c r="E2535">
        <v>653.20000000000005</v>
      </c>
      <c r="F2535" s="2">
        <v>3110000000</v>
      </c>
    </row>
    <row r="2536" spans="1:6">
      <c r="A2536" s="32">
        <v>40046</v>
      </c>
      <c r="B2536">
        <v>642.46</v>
      </c>
      <c r="C2536">
        <v>645.55999999999995</v>
      </c>
      <c r="D2536">
        <v>636.41</v>
      </c>
      <c r="E2536">
        <v>644.63</v>
      </c>
      <c r="F2536" s="2">
        <v>3930000000</v>
      </c>
    </row>
    <row r="2537" spans="1:6">
      <c r="A2537" s="32">
        <v>40045</v>
      </c>
      <c r="B2537">
        <v>638.35</v>
      </c>
      <c r="C2537">
        <v>645.1</v>
      </c>
      <c r="D2537">
        <v>637.49</v>
      </c>
      <c r="E2537">
        <v>640.98</v>
      </c>
      <c r="F2537" s="2">
        <v>4940000000</v>
      </c>
    </row>
    <row r="2538" spans="1:6">
      <c r="A2538" s="32">
        <v>40044</v>
      </c>
      <c r="B2538">
        <v>641.22</v>
      </c>
      <c r="C2538">
        <v>641.58000000000004</v>
      </c>
      <c r="D2538">
        <v>629.54999999999995</v>
      </c>
      <c r="E2538">
        <v>631.28</v>
      </c>
      <c r="F2538" s="2">
        <v>4660000000</v>
      </c>
    </row>
    <row r="2539" spans="1:6">
      <c r="A2539" s="32">
        <v>40043</v>
      </c>
      <c r="B2539">
        <v>632.59</v>
      </c>
      <c r="C2539">
        <v>640.25</v>
      </c>
      <c r="D2539">
        <v>625.83000000000004</v>
      </c>
      <c r="E2539">
        <v>640.25</v>
      </c>
      <c r="F2539" s="2">
        <v>4420000000</v>
      </c>
    </row>
    <row r="2540" spans="1:6">
      <c r="A2540" s="32">
        <v>40042</v>
      </c>
      <c r="B2540">
        <v>641.71</v>
      </c>
      <c r="C2540">
        <v>645.96</v>
      </c>
      <c r="D2540">
        <v>629.63</v>
      </c>
      <c r="E2540">
        <v>632.04999999999995</v>
      </c>
      <c r="F2540" s="2">
        <v>6430000000</v>
      </c>
    </row>
    <row r="2541" spans="1:6">
      <c r="A2541" s="32">
        <v>40039</v>
      </c>
      <c r="B2541">
        <v>654.26</v>
      </c>
      <c r="C2541">
        <v>656.94</v>
      </c>
      <c r="D2541">
        <v>650.91</v>
      </c>
      <c r="E2541">
        <v>654.25</v>
      </c>
      <c r="F2541" s="2">
        <v>6710000000</v>
      </c>
    </row>
    <row r="2542" spans="1:6">
      <c r="A2542" s="32">
        <v>40038</v>
      </c>
      <c r="B2542">
        <v>647.07000000000005</v>
      </c>
      <c r="C2542">
        <v>655.68</v>
      </c>
      <c r="D2542">
        <v>643.59</v>
      </c>
      <c r="E2542">
        <v>655.68</v>
      </c>
      <c r="F2542" s="2">
        <v>4150000000</v>
      </c>
    </row>
    <row r="2543" spans="1:6">
      <c r="A2543" s="32">
        <v>40036</v>
      </c>
      <c r="B2543">
        <v>640.96</v>
      </c>
      <c r="C2543">
        <v>645.21</v>
      </c>
      <c r="D2543">
        <v>637.29999999999995</v>
      </c>
      <c r="E2543">
        <v>643.02</v>
      </c>
      <c r="F2543" s="2">
        <v>7340000000</v>
      </c>
    </row>
    <row r="2544" spans="1:6">
      <c r="A2544" s="32">
        <v>40035</v>
      </c>
      <c r="B2544">
        <v>650.04</v>
      </c>
      <c r="C2544">
        <v>650.88</v>
      </c>
      <c r="D2544">
        <v>643.01</v>
      </c>
      <c r="E2544">
        <v>643.75</v>
      </c>
      <c r="F2544" s="2">
        <v>4720000000</v>
      </c>
    </row>
    <row r="2545" spans="1:6">
      <c r="A2545" s="32">
        <v>40032</v>
      </c>
      <c r="B2545">
        <v>646.97</v>
      </c>
      <c r="C2545">
        <v>649.08000000000004</v>
      </c>
      <c r="D2545">
        <v>641.19000000000005</v>
      </c>
      <c r="E2545">
        <v>644.20000000000005</v>
      </c>
      <c r="F2545" s="2">
        <v>2550000000</v>
      </c>
    </row>
    <row r="2546" spans="1:6">
      <c r="A2546" s="32">
        <v>40031</v>
      </c>
      <c r="B2546">
        <v>638.01</v>
      </c>
      <c r="C2546">
        <v>649.87</v>
      </c>
      <c r="D2546">
        <v>637.72</v>
      </c>
      <c r="E2546">
        <v>649.21</v>
      </c>
      <c r="F2546" s="2">
        <v>2900000000</v>
      </c>
    </row>
    <row r="2547" spans="1:6">
      <c r="A2547" s="32">
        <v>40030</v>
      </c>
      <c r="B2547">
        <v>645.89</v>
      </c>
      <c r="C2547">
        <v>649.21</v>
      </c>
      <c r="D2547">
        <v>631.97</v>
      </c>
      <c r="E2547">
        <v>640.16</v>
      </c>
      <c r="F2547" s="2">
        <v>2950000000</v>
      </c>
    </row>
    <row r="2548" spans="1:6">
      <c r="A2548" s="32">
        <v>40029</v>
      </c>
      <c r="B2548">
        <v>645.80999999999995</v>
      </c>
      <c r="C2548">
        <v>649.48</v>
      </c>
      <c r="D2548">
        <v>641.23</v>
      </c>
      <c r="E2548">
        <v>641.23</v>
      </c>
      <c r="F2548" s="2">
        <v>4300000000</v>
      </c>
    </row>
    <row r="2549" spans="1:6">
      <c r="A2549" s="32">
        <v>40028</v>
      </c>
      <c r="B2549">
        <v>627.21</v>
      </c>
      <c r="C2549">
        <v>641.42999999999995</v>
      </c>
      <c r="D2549">
        <v>626.97</v>
      </c>
      <c r="E2549">
        <v>641.42999999999995</v>
      </c>
      <c r="F2549" s="2">
        <v>4320000000</v>
      </c>
    </row>
    <row r="2550" spans="1:6">
      <c r="A2550" s="32">
        <v>40025</v>
      </c>
      <c r="B2550">
        <v>628.25</v>
      </c>
      <c r="C2550">
        <v>629.41</v>
      </c>
      <c r="D2550">
        <v>621.70000000000005</v>
      </c>
      <c r="E2550">
        <v>624</v>
      </c>
      <c r="F2550" s="2">
        <v>2750000000</v>
      </c>
    </row>
    <row r="2551" spans="1:6">
      <c r="A2551" s="32">
        <v>40024</v>
      </c>
      <c r="B2551">
        <v>614.14</v>
      </c>
      <c r="C2551">
        <v>621.95000000000005</v>
      </c>
      <c r="D2551">
        <v>608.86</v>
      </c>
      <c r="E2551">
        <v>621.95000000000005</v>
      </c>
      <c r="F2551" s="2">
        <v>2450000000</v>
      </c>
    </row>
    <row r="2552" spans="1:6">
      <c r="A2552" s="32">
        <v>40023</v>
      </c>
      <c r="B2552">
        <v>619.70000000000005</v>
      </c>
      <c r="C2552">
        <v>620.83000000000004</v>
      </c>
      <c r="D2552">
        <v>610.78</v>
      </c>
      <c r="E2552">
        <v>614.88</v>
      </c>
      <c r="F2552" s="2">
        <v>2890000000</v>
      </c>
    </row>
    <row r="2553" spans="1:6">
      <c r="A2553" s="32">
        <v>40022</v>
      </c>
      <c r="B2553">
        <v>615.64</v>
      </c>
      <c r="C2553">
        <v>624.29999999999995</v>
      </c>
      <c r="D2553">
        <v>615.55999999999995</v>
      </c>
      <c r="E2553">
        <v>621.96</v>
      </c>
      <c r="F2553" s="2">
        <v>3010000000</v>
      </c>
    </row>
    <row r="2554" spans="1:6">
      <c r="A2554" s="32">
        <v>40021</v>
      </c>
      <c r="B2554">
        <v>621.03</v>
      </c>
      <c r="C2554">
        <v>625.12</v>
      </c>
      <c r="D2554">
        <v>615.52</v>
      </c>
      <c r="E2554">
        <v>617.83000000000004</v>
      </c>
      <c r="F2554" s="2">
        <v>2740000000</v>
      </c>
    </row>
    <row r="2555" spans="1:6">
      <c r="A2555" s="32">
        <v>40018</v>
      </c>
      <c r="B2555">
        <v>616.92999999999995</v>
      </c>
      <c r="C2555">
        <v>618.36</v>
      </c>
      <c r="D2555">
        <v>610.27</v>
      </c>
      <c r="E2555">
        <v>614.24</v>
      </c>
      <c r="F2555" s="2">
        <v>2730000000</v>
      </c>
    </row>
    <row r="2556" spans="1:6">
      <c r="A2556" s="32">
        <v>40017</v>
      </c>
      <c r="B2556">
        <v>606.48</v>
      </c>
      <c r="C2556">
        <v>612.19000000000005</v>
      </c>
      <c r="D2556">
        <v>605.03</v>
      </c>
      <c r="E2556">
        <v>612.19000000000005</v>
      </c>
      <c r="F2556" s="2">
        <v>2260000000</v>
      </c>
    </row>
    <row r="2557" spans="1:6">
      <c r="A2557" s="32">
        <v>40016</v>
      </c>
      <c r="B2557">
        <v>613.67999999999995</v>
      </c>
      <c r="C2557">
        <v>618.96</v>
      </c>
      <c r="D2557">
        <v>597.64</v>
      </c>
      <c r="E2557">
        <v>598.22</v>
      </c>
      <c r="F2557" s="2">
        <v>4040000000</v>
      </c>
    </row>
    <row r="2558" spans="1:6">
      <c r="A2558" s="32">
        <v>40015</v>
      </c>
      <c r="B2558">
        <v>611.05999999999995</v>
      </c>
      <c r="C2558">
        <v>618.22</v>
      </c>
      <c r="D2558">
        <v>609.83000000000004</v>
      </c>
      <c r="E2558">
        <v>609.83000000000004</v>
      </c>
      <c r="F2558" s="2">
        <v>3280000000</v>
      </c>
    </row>
    <row r="2559" spans="1:6">
      <c r="A2559" s="32">
        <v>40014</v>
      </c>
      <c r="B2559">
        <v>603.78</v>
      </c>
      <c r="C2559">
        <v>613.66999999999996</v>
      </c>
      <c r="D2559">
        <v>602.6</v>
      </c>
      <c r="E2559">
        <v>613.66999999999996</v>
      </c>
      <c r="F2559" s="2">
        <v>3530000000</v>
      </c>
    </row>
    <row r="2560" spans="1:6">
      <c r="A2560" s="32">
        <v>40011</v>
      </c>
      <c r="B2560">
        <v>587.91</v>
      </c>
      <c r="C2560">
        <v>597.54</v>
      </c>
      <c r="D2560">
        <v>584.54999999999995</v>
      </c>
      <c r="E2560">
        <v>596.11</v>
      </c>
      <c r="F2560" s="2">
        <v>3440000000</v>
      </c>
    </row>
    <row r="2561" spans="1:6">
      <c r="A2561" s="32">
        <v>40010</v>
      </c>
      <c r="B2561">
        <v>597.15</v>
      </c>
      <c r="C2561">
        <v>597.91999999999996</v>
      </c>
      <c r="D2561">
        <v>582.74</v>
      </c>
      <c r="E2561">
        <v>582.74</v>
      </c>
      <c r="F2561" s="2">
        <v>4010000000</v>
      </c>
    </row>
    <row r="2562" spans="1:6">
      <c r="A2562" s="32">
        <v>40009</v>
      </c>
      <c r="B2562">
        <v>581.67999999999995</v>
      </c>
      <c r="C2562">
        <v>588.55999999999995</v>
      </c>
      <c r="D2562">
        <v>579.71</v>
      </c>
      <c r="E2562">
        <v>587.86</v>
      </c>
      <c r="F2562" s="2">
        <v>2940000000</v>
      </c>
    </row>
    <row r="2563" spans="1:6">
      <c r="A2563" s="32">
        <v>40008</v>
      </c>
      <c r="B2563">
        <v>570</v>
      </c>
      <c r="C2563">
        <v>579.22</v>
      </c>
      <c r="D2563">
        <v>569.29</v>
      </c>
      <c r="E2563">
        <v>577.75</v>
      </c>
      <c r="F2563" s="2">
        <v>2300000000</v>
      </c>
    </row>
    <row r="2564" spans="1:6">
      <c r="A2564" s="32">
        <v>40007</v>
      </c>
      <c r="B2564">
        <v>560.77</v>
      </c>
      <c r="C2564">
        <v>564.63</v>
      </c>
      <c r="D2564">
        <v>556.11</v>
      </c>
      <c r="E2564">
        <v>562.54999999999995</v>
      </c>
      <c r="F2564" s="2">
        <v>2940000000</v>
      </c>
    </row>
    <row r="2565" spans="1:6">
      <c r="A2565" s="32">
        <v>40004</v>
      </c>
      <c r="B2565">
        <v>579.52</v>
      </c>
      <c r="C2565">
        <v>579.55999999999995</v>
      </c>
      <c r="D2565">
        <v>566.03</v>
      </c>
      <c r="E2565">
        <v>566.03</v>
      </c>
      <c r="F2565" s="2">
        <v>2560000000</v>
      </c>
    </row>
    <row r="2566" spans="1:6">
      <c r="A2566" s="32">
        <v>40003</v>
      </c>
      <c r="B2566">
        <v>575.30999999999995</v>
      </c>
      <c r="C2566">
        <v>581.99</v>
      </c>
      <c r="D2566">
        <v>573.1</v>
      </c>
      <c r="E2566">
        <v>581.99</v>
      </c>
      <c r="F2566" s="2">
        <v>2670000000</v>
      </c>
    </row>
    <row r="2567" spans="1:6">
      <c r="A2567" s="32">
        <v>40002</v>
      </c>
      <c r="B2567">
        <v>570.4</v>
      </c>
      <c r="C2567">
        <v>576.05999999999995</v>
      </c>
      <c r="D2567">
        <v>567.45000000000005</v>
      </c>
      <c r="E2567">
        <v>575.87</v>
      </c>
      <c r="F2567" s="2">
        <v>1680000000</v>
      </c>
    </row>
    <row r="2568" spans="1:6">
      <c r="A2568" s="32">
        <v>39997</v>
      </c>
      <c r="B2568">
        <v>579.22</v>
      </c>
      <c r="C2568">
        <v>586.03</v>
      </c>
      <c r="D2568">
        <v>579.22</v>
      </c>
      <c r="E2568">
        <v>583.48</v>
      </c>
      <c r="F2568" s="2">
        <v>1540000000</v>
      </c>
    </row>
    <row r="2569" spans="1:6">
      <c r="A2569" s="32">
        <v>39996</v>
      </c>
      <c r="B2569">
        <v>600.75</v>
      </c>
      <c r="C2569">
        <v>602.45000000000005</v>
      </c>
      <c r="D2569">
        <v>582.58000000000004</v>
      </c>
      <c r="E2569">
        <v>586.41999999999996</v>
      </c>
      <c r="F2569" s="2">
        <v>2540000000</v>
      </c>
    </row>
    <row r="2570" spans="1:6">
      <c r="A2570" s="32">
        <v>39994</v>
      </c>
      <c r="B2570">
        <v>610.21</v>
      </c>
      <c r="C2570">
        <v>610.94000000000005</v>
      </c>
      <c r="D2570">
        <v>595.98</v>
      </c>
      <c r="E2570">
        <v>597.48</v>
      </c>
      <c r="F2570" s="2">
        <v>2910000000</v>
      </c>
    </row>
    <row r="2571" spans="1:6">
      <c r="A2571" s="32">
        <v>39993</v>
      </c>
      <c r="B2571">
        <v>594.39</v>
      </c>
      <c r="C2571">
        <v>603.26</v>
      </c>
      <c r="D2571">
        <v>594.34</v>
      </c>
      <c r="E2571">
        <v>601.6</v>
      </c>
      <c r="F2571" s="2">
        <v>3780000000</v>
      </c>
    </row>
    <row r="2572" spans="1:6">
      <c r="A2572" s="32">
        <v>39990</v>
      </c>
      <c r="B2572">
        <v>598.26</v>
      </c>
      <c r="C2572">
        <v>602.57000000000005</v>
      </c>
      <c r="D2572">
        <v>594.46</v>
      </c>
      <c r="E2572">
        <v>595.79999999999995</v>
      </c>
      <c r="F2572" s="2">
        <v>3170000000</v>
      </c>
    </row>
    <row r="2573" spans="1:6">
      <c r="A2573" s="32">
        <v>39989</v>
      </c>
      <c r="B2573">
        <v>583.72</v>
      </c>
      <c r="C2573">
        <v>595.35</v>
      </c>
      <c r="D2573">
        <v>583.6</v>
      </c>
      <c r="E2573">
        <v>590.6</v>
      </c>
      <c r="F2573" s="2">
        <v>3080000000</v>
      </c>
    </row>
    <row r="2574" spans="1:6">
      <c r="A2574" s="32">
        <v>39988</v>
      </c>
      <c r="B2574">
        <v>569.42999999999995</v>
      </c>
      <c r="C2574">
        <v>582.94000000000005</v>
      </c>
      <c r="D2574">
        <v>568.79</v>
      </c>
      <c r="E2574">
        <v>581.42999999999995</v>
      </c>
      <c r="F2574" s="2">
        <v>2470000000</v>
      </c>
    </row>
    <row r="2575" spans="1:6">
      <c r="A2575" s="32">
        <v>39987</v>
      </c>
      <c r="B2575">
        <v>564.66999999999996</v>
      </c>
      <c r="C2575">
        <v>569.85</v>
      </c>
      <c r="D2575">
        <v>561.04999999999995</v>
      </c>
      <c r="E2575">
        <v>569.85</v>
      </c>
      <c r="F2575" s="2">
        <v>2720000000</v>
      </c>
    </row>
    <row r="2576" spans="1:6">
      <c r="A2576" s="32">
        <v>39986</v>
      </c>
      <c r="B2576">
        <v>591.32000000000005</v>
      </c>
      <c r="C2576">
        <v>592.44000000000005</v>
      </c>
      <c r="D2576">
        <v>581.30999999999995</v>
      </c>
      <c r="E2576">
        <v>582.29</v>
      </c>
      <c r="F2576" s="2">
        <v>2410000000</v>
      </c>
    </row>
    <row r="2577" spans="1:6">
      <c r="A2577" s="32">
        <v>39983</v>
      </c>
      <c r="B2577">
        <v>573.55999999999995</v>
      </c>
      <c r="C2577">
        <v>588.98</v>
      </c>
      <c r="D2577">
        <v>573.55999999999995</v>
      </c>
      <c r="E2577">
        <v>588.98</v>
      </c>
      <c r="F2577" s="2">
        <v>2880000000</v>
      </c>
    </row>
    <row r="2578" spans="1:6">
      <c r="A2578" s="32">
        <v>39982</v>
      </c>
      <c r="B2578">
        <v>587.17999999999995</v>
      </c>
      <c r="C2578">
        <v>588.89</v>
      </c>
      <c r="D2578">
        <v>566.5</v>
      </c>
      <c r="E2578">
        <v>570.42999999999995</v>
      </c>
      <c r="F2578" s="2">
        <v>3060000000</v>
      </c>
    </row>
    <row r="2579" spans="1:6">
      <c r="A2579" s="32">
        <v>39981</v>
      </c>
      <c r="B2579">
        <v>588.89</v>
      </c>
      <c r="C2579">
        <v>599.61</v>
      </c>
      <c r="D2579">
        <v>585.29</v>
      </c>
      <c r="E2579">
        <v>586.14</v>
      </c>
      <c r="F2579" s="2">
        <v>3270000000</v>
      </c>
    </row>
    <row r="2580" spans="1:6">
      <c r="A2580" s="32">
        <v>39980</v>
      </c>
      <c r="B2580">
        <v>602.14</v>
      </c>
      <c r="C2580">
        <v>602.16999999999996</v>
      </c>
      <c r="D2580">
        <v>593.39</v>
      </c>
      <c r="E2580">
        <v>596.54</v>
      </c>
      <c r="F2580" s="2">
        <v>3520000000</v>
      </c>
    </row>
    <row r="2581" spans="1:6">
      <c r="A2581" s="32">
        <v>39979</v>
      </c>
      <c r="B2581">
        <v>626.5</v>
      </c>
      <c r="C2581">
        <v>631.01</v>
      </c>
      <c r="D2581">
        <v>606.15</v>
      </c>
      <c r="E2581">
        <v>611.91999999999996</v>
      </c>
      <c r="F2581" s="2">
        <v>3380000000</v>
      </c>
    </row>
    <row r="2582" spans="1:6">
      <c r="A2582" s="32">
        <v>39976</v>
      </c>
      <c r="B2582">
        <v>635.5</v>
      </c>
      <c r="C2582">
        <v>638.04999999999995</v>
      </c>
      <c r="D2582">
        <v>623.98</v>
      </c>
      <c r="E2582">
        <v>628.54999999999995</v>
      </c>
      <c r="F2582" s="2">
        <v>3820000000</v>
      </c>
    </row>
    <row r="2583" spans="1:6">
      <c r="A2583" s="32">
        <v>39975</v>
      </c>
      <c r="B2583">
        <v>624.1</v>
      </c>
      <c r="C2583">
        <v>633.25</v>
      </c>
      <c r="D2583">
        <v>624.01</v>
      </c>
      <c r="E2583">
        <v>627.07000000000005</v>
      </c>
      <c r="F2583" s="2">
        <v>6580000000</v>
      </c>
    </row>
    <row r="2584" spans="1:6">
      <c r="A2584" s="32">
        <v>39974</v>
      </c>
      <c r="B2584">
        <v>613.44000000000005</v>
      </c>
      <c r="C2584">
        <v>624.54999999999995</v>
      </c>
      <c r="D2584">
        <v>611.30999999999995</v>
      </c>
      <c r="E2584">
        <v>624.54999999999995</v>
      </c>
      <c r="F2584" s="2">
        <v>5730000000</v>
      </c>
    </row>
    <row r="2585" spans="1:6">
      <c r="A2585" s="32">
        <v>39973</v>
      </c>
      <c r="B2585">
        <v>601.62</v>
      </c>
      <c r="C2585">
        <v>608</v>
      </c>
      <c r="D2585">
        <v>598.62</v>
      </c>
      <c r="E2585">
        <v>607.73</v>
      </c>
      <c r="F2585" s="2">
        <v>3950000000</v>
      </c>
    </row>
    <row r="2586" spans="1:6">
      <c r="A2586" s="32">
        <v>39972</v>
      </c>
      <c r="B2586">
        <v>603.38</v>
      </c>
      <c r="C2586">
        <v>609.88</v>
      </c>
      <c r="D2586">
        <v>595.39</v>
      </c>
      <c r="E2586">
        <v>600.03</v>
      </c>
      <c r="F2586" s="2">
        <v>5870000000</v>
      </c>
    </row>
    <row r="2587" spans="1:6">
      <c r="A2587" s="32">
        <v>39969</v>
      </c>
      <c r="B2587">
        <v>596.54</v>
      </c>
      <c r="C2587">
        <v>605.34</v>
      </c>
      <c r="D2587">
        <v>595.47</v>
      </c>
      <c r="E2587">
        <v>604.57000000000005</v>
      </c>
      <c r="F2587" s="2">
        <v>5780000000</v>
      </c>
    </row>
    <row r="2588" spans="1:6">
      <c r="A2588" s="32">
        <v>39968</v>
      </c>
      <c r="B2588">
        <v>582.76</v>
      </c>
      <c r="C2588">
        <v>593.6</v>
      </c>
      <c r="D2588">
        <v>578.49</v>
      </c>
      <c r="E2588">
        <v>593.6</v>
      </c>
      <c r="F2588" s="2">
        <v>5870000000</v>
      </c>
    </row>
    <row r="2589" spans="1:6">
      <c r="A2589" s="32">
        <v>39967</v>
      </c>
      <c r="B2589">
        <v>582.27</v>
      </c>
      <c r="C2589">
        <v>588.15</v>
      </c>
      <c r="D2589">
        <v>578.44000000000005</v>
      </c>
      <c r="E2589">
        <v>582.25</v>
      </c>
      <c r="F2589" s="2">
        <v>5960000000</v>
      </c>
    </row>
    <row r="2590" spans="1:6">
      <c r="A2590" s="32">
        <v>39966</v>
      </c>
      <c r="B2590">
        <v>580.72</v>
      </c>
      <c r="C2590">
        <v>585.28</v>
      </c>
      <c r="D2590">
        <v>572.24</v>
      </c>
      <c r="E2590">
        <v>574.29999999999995</v>
      </c>
      <c r="F2590" s="2">
        <v>6600000000</v>
      </c>
    </row>
    <row r="2591" spans="1:6">
      <c r="A2591" s="32">
        <v>39965</v>
      </c>
      <c r="B2591">
        <v>568.9</v>
      </c>
      <c r="C2591">
        <v>579.98</v>
      </c>
      <c r="D2591">
        <v>567.15</v>
      </c>
      <c r="E2591">
        <v>579.98</v>
      </c>
      <c r="F2591" s="2">
        <v>4980000000</v>
      </c>
    </row>
    <row r="2592" spans="1:6">
      <c r="A2592" s="32">
        <v>39962</v>
      </c>
      <c r="B2592">
        <v>562.03</v>
      </c>
      <c r="C2592">
        <v>569.54999999999995</v>
      </c>
      <c r="D2592">
        <v>560.41</v>
      </c>
      <c r="E2592">
        <v>560.41</v>
      </c>
      <c r="F2592" s="2">
        <v>4470000000</v>
      </c>
    </row>
    <row r="2593" spans="1:6">
      <c r="A2593" s="32">
        <v>39961</v>
      </c>
      <c r="B2593">
        <v>553.04</v>
      </c>
      <c r="C2593">
        <v>557.94000000000005</v>
      </c>
      <c r="D2593">
        <v>552.14</v>
      </c>
      <c r="E2593">
        <v>555.42999999999995</v>
      </c>
      <c r="F2593" s="2">
        <v>3400000000</v>
      </c>
    </row>
    <row r="2594" spans="1:6">
      <c r="A2594" s="32">
        <v>39960</v>
      </c>
      <c r="B2594">
        <v>553.54</v>
      </c>
      <c r="C2594">
        <v>556.42999999999995</v>
      </c>
      <c r="D2594">
        <v>548.94000000000005</v>
      </c>
      <c r="E2594">
        <v>555.41</v>
      </c>
      <c r="F2594" s="2">
        <v>4990000000</v>
      </c>
    </row>
    <row r="2595" spans="1:6">
      <c r="A2595" s="32">
        <v>39959</v>
      </c>
      <c r="B2595">
        <v>553.16999999999996</v>
      </c>
      <c r="C2595">
        <v>554.69000000000005</v>
      </c>
      <c r="D2595">
        <v>542.69000000000005</v>
      </c>
      <c r="E2595">
        <v>542.69000000000005</v>
      </c>
      <c r="F2595" s="2">
        <v>3940000000</v>
      </c>
    </row>
    <row r="2596" spans="1:6">
      <c r="A2596" s="32">
        <v>39958</v>
      </c>
      <c r="B2596">
        <v>550.53</v>
      </c>
      <c r="C2596">
        <v>558.36</v>
      </c>
      <c r="D2596">
        <v>547.6</v>
      </c>
      <c r="E2596">
        <v>550.51</v>
      </c>
      <c r="F2596" s="2">
        <v>5420000000</v>
      </c>
    </row>
    <row r="2597" spans="1:6">
      <c r="A2597" s="32">
        <v>39955</v>
      </c>
      <c r="B2597">
        <v>550.34</v>
      </c>
      <c r="C2597">
        <v>554.67999999999995</v>
      </c>
      <c r="D2597">
        <v>543.26</v>
      </c>
      <c r="E2597">
        <v>554.02</v>
      </c>
      <c r="F2597" s="2">
        <v>4840000000</v>
      </c>
    </row>
    <row r="2598" spans="1:6">
      <c r="A2598" s="32">
        <v>39954</v>
      </c>
      <c r="B2598">
        <v>559.46</v>
      </c>
      <c r="C2598">
        <v>563.03</v>
      </c>
      <c r="D2598">
        <v>545.78</v>
      </c>
      <c r="E2598">
        <v>548.77</v>
      </c>
      <c r="F2598" s="2">
        <v>5140000000</v>
      </c>
    </row>
    <row r="2599" spans="1:6">
      <c r="A2599" s="32">
        <v>39953</v>
      </c>
      <c r="B2599">
        <v>561.28</v>
      </c>
      <c r="C2599">
        <v>565.30999999999995</v>
      </c>
      <c r="D2599">
        <v>556.64</v>
      </c>
      <c r="E2599">
        <v>561.41</v>
      </c>
      <c r="F2599" s="2">
        <v>5100000000</v>
      </c>
    </row>
    <row r="2600" spans="1:6">
      <c r="A2600" s="32">
        <v>39952</v>
      </c>
      <c r="B2600">
        <v>550.78</v>
      </c>
      <c r="C2600">
        <v>562.32000000000005</v>
      </c>
      <c r="D2600">
        <v>550.69000000000005</v>
      </c>
      <c r="E2600">
        <v>556.47</v>
      </c>
      <c r="F2600" s="2">
        <v>5740000000</v>
      </c>
    </row>
    <row r="2601" spans="1:6">
      <c r="A2601" s="32">
        <v>39951</v>
      </c>
      <c r="B2601">
        <v>524.25</v>
      </c>
      <c r="C2601">
        <v>540.22</v>
      </c>
      <c r="D2601">
        <v>523.15</v>
      </c>
      <c r="E2601">
        <v>540.22</v>
      </c>
      <c r="F2601" s="2">
        <v>3560000000</v>
      </c>
    </row>
    <row r="2602" spans="1:6">
      <c r="A2602" s="32">
        <v>39948</v>
      </c>
      <c r="B2602">
        <v>536.22</v>
      </c>
      <c r="C2602">
        <v>536.54</v>
      </c>
      <c r="D2602">
        <v>522.44000000000005</v>
      </c>
      <c r="E2602">
        <v>533.91999999999996</v>
      </c>
      <c r="F2602" s="2">
        <v>5040000000</v>
      </c>
    </row>
    <row r="2603" spans="1:6">
      <c r="A2603" s="32">
        <v>39947</v>
      </c>
      <c r="B2603">
        <v>544.02</v>
      </c>
      <c r="C2603">
        <v>546.9</v>
      </c>
      <c r="D2603">
        <v>526.54999999999995</v>
      </c>
      <c r="E2603">
        <v>526.54999999999995</v>
      </c>
      <c r="F2603" s="2">
        <v>6710000000</v>
      </c>
    </row>
    <row r="2604" spans="1:6">
      <c r="A2604" s="32">
        <v>39946</v>
      </c>
      <c r="B2604">
        <v>543.79999999999995</v>
      </c>
      <c r="C2604">
        <v>554.36</v>
      </c>
      <c r="D2604">
        <v>542.87</v>
      </c>
      <c r="E2604">
        <v>552.71</v>
      </c>
      <c r="F2604" s="2">
        <v>8680000000</v>
      </c>
    </row>
    <row r="2605" spans="1:6">
      <c r="A2605" s="32">
        <v>39945</v>
      </c>
      <c r="B2605">
        <v>532.89</v>
      </c>
      <c r="C2605">
        <v>544.54</v>
      </c>
      <c r="D2605">
        <v>530.63</v>
      </c>
      <c r="E2605">
        <v>544.54</v>
      </c>
      <c r="F2605" s="2">
        <v>8010000000</v>
      </c>
    </row>
    <row r="2606" spans="1:6">
      <c r="A2606" s="32">
        <v>39944</v>
      </c>
      <c r="B2606">
        <v>530.63</v>
      </c>
      <c r="C2606">
        <v>540.22</v>
      </c>
      <c r="D2606">
        <v>526.75</v>
      </c>
      <c r="E2606">
        <v>535.17999999999995</v>
      </c>
      <c r="F2606" s="2">
        <v>6830000000</v>
      </c>
    </row>
    <row r="2607" spans="1:6">
      <c r="A2607" s="32">
        <v>39940</v>
      </c>
      <c r="B2607">
        <v>534.35</v>
      </c>
      <c r="C2607">
        <v>535.76</v>
      </c>
      <c r="D2607">
        <v>523.28</v>
      </c>
      <c r="E2607">
        <v>527.72</v>
      </c>
      <c r="F2607" s="2">
        <v>8890000000</v>
      </c>
    </row>
    <row r="2608" spans="1:6">
      <c r="A2608" s="32">
        <v>39939</v>
      </c>
      <c r="B2608">
        <v>506.26</v>
      </c>
      <c r="C2608">
        <v>523.15</v>
      </c>
      <c r="D2608">
        <v>504.47</v>
      </c>
      <c r="E2608">
        <v>523.15</v>
      </c>
      <c r="F2608" s="2">
        <v>6840000000</v>
      </c>
    </row>
    <row r="2609" spans="1:6">
      <c r="A2609" s="32">
        <v>39937</v>
      </c>
      <c r="B2609">
        <v>498.46</v>
      </c>
      <c r="C2609">
        <v>506.26</v>
      </c>
      <c r="D2609">
        <v>497.81</v>
      </c>
      <c r="E2609">
        <v>506.26</v>
      </c>
      <c r="F2609" s="2">
        <v>4730000000</v>
      </c>
    </row>
    <row r="2610" spans="1:6">
      <c r="A2610" s="32">
        <v>39933</v>
      </c>
      <c r="B2610">
        <v>490.23</v>
      </c>
      <c r="C2610">
        <v>494.07</v>
      </c>
      <c r="D2610">
        <v>487.42</v>
      </c>
      <c r="E2610">
        <v>491.69</v>
      </c>
      <c r="F2610" s="2">
        <v>4380000000</v>
      </c>
    </row>
    <row r="2611" spans="1:6">
      <c r="A2611" s="32">
        <v>39932</v>
      </c>
      <c r="B2611">
        <v>475.97</v>
      </c>
      <c r="C2611">
        <v>483.5</v>
      </c>
      <c r="D2611">
        <v>473.42</v>
      </c>
      <c r="E2611">
        <v>483.5</v>
      </c>
      <c r="F2611" s="2">
        <v>3320000000</v>
      </c>
    </row>
    <row r="2612" spans="1:6">
      <c r="A2612" s="32">
        <v>39931</v>
      </c>
      <c r="B2612">
        <v>477.58</v>
      </c>
      <c r="C2612">
        <v>480.35</v>
      </c>
      <c r="D2612">
        <v>468.96</v>
      </c>
      <c r="E2612">
        <v>472.72</v>
      </c>
      <c r="F2612" s="2">
        <v>4000000000</v>
      </c>
    </row>
    <row r="2613" spans="1:6">
      <c r="A2613" s="32">
        <v>39930</v>
      </c>
      <c r="B2613">
        <v>473.86</v>
      </c>
      <c r="C2613">
        <v>477.17</v>
      </c>
      <c r="D2613">
        <v>472.1</v>
      </c>
      <c r="E2613">
        <v>474.99</v>
      </c>
      <c r="F2613" s="2">
        <v>3600000000</v>
      </c>
    </row>
    <row r="2614" spans="1:6">
      <c r="A2614" s="32">
        <v>39927</v>
      </c>
      <c r="B2614">
        <v>470.17</v>
      </c>
      <c r="C2614">
        <v>476.32</v>
      </c>
      <c r="D2614">
        <v>469.28</v>
      </c>
      <c r="E2614">
        <v>474.07</v>
      </c>
      <c r="F2614" s="2">
        <v>5180000000</v>
      </c>
    </row>
    <row r="2615" spans="1:6">
      <c r="A2615" s="32">
        <v>39926</v>
      </c>
      <c r="B2615">
        <v>461.38</v>
      </c>
      <c r="C2615">
        <v>466.06</v>
      </c>
      <c r="D2615">
        <v>460.63</v>
      </c>
      <c r="E2615">
        <v>466.06</v>
      </c>
      <c r="F2615" s="2">
        <v>3540000000</v>
      </c>
    </row>
    <row r="2616" spans="1:6">
      <c r="A2616" s="32">
        <v>39925</v>
      </c>
      <c r="B2616">
        <v>469.52</v>
      </c>
      <c r="C2616">
        <v>470.46</v>
      </c>
      <c r="D2616">
        <v>459.31</v>
      </c>
      <c r="E2616">
        <v>460.62</v>
      </c>
      <c r="F2616" s="2">
        <v>3510000000</v>
      </c>
    </row>
    <row r="2617" spans="1:6">
      <c r="A2617" s="32">
        <v>39924</v>
      </c>
      <c r="B2617">
        <v>459.33</v>
      </c>
      <c r="C2617">
        <v>467.05</v>
      </c>
      <c r="D2617">
        <v>459.33</v>
      </c>
      <c r="E2617">
        <v>466.38</v>
      </c>
      <c r="F2617" s="2">
        <v>3760000000</v>
      </c>
    </row>
    <row r="2618" spans="1:6">
      <c r="A2618" s="32">
        <v>39923</v>
      </c>
      <c r="B2618">
        <v>456.55</v>
      </c>
      <c r="C2618">
        <v>471.16</v>
      </c>
      <c r="D2618">
        <v>456</v>
      </c>
      <c r="E2618">
        <v>466.28</v>
      </c>
      <c r="F2618" s="2">
        <v>4950000000</v>
      </c>
    </row>
    <row r="2619" spans="1:6">
      <c r="A2619" s="32">
        <v>39920</v>
      </c>
      <c r="B2619">
        <v>455.22</v>
      </c>
      <c r="C2619">
        <v>459.79</v>
      </c>
      <c r="D2619">
        <v>450.07</v>
      </c>
      <c r="E2619">
        <v>456.8</v>
      </c>
      <c r="F2619" s="2">
        <v>2990000000</v>
      </c>
    </row>
    <row r="2620" spans="1:6">
      <c r="A2620" s="32">
        <v>39919</v>
      </c>
      <c r="B2620">
        <v>449.34</v>
      </c>
      <c r="C2620">
        <v>457.7</v>
      </c>
      <c r="D2620">
        <v>446.96</v>
      </c>
      <c r="E2620">
        <v>452.97</v>
      </c>
      <c r="F2620" s="2">
        <v>2540000000</v>
      </c>
    </row>
    <row r="2621" spans="1:6">
      <c r="A2621" s="32">
        <v>39913</v>
      </c>
      <c r="B2621">
        <v>447.11</v>
      </c>
      <c r="C2621">
        <v>454.26</v>
      </c>
      <c r="D2621">
        <v>443.64</v>
      </c>
      <c r="E2621">
        <v>453.88</v>
      </c>
      <c r="F2621" s="2">
        <v>1800000000</v>
      </c>
    </row>
    <row r="2622" spans="1:6">
      <c r="A2622" s="32">
        <v>39912</v>
      </c>
      <c r="B2622">
        <v>445.09</v>
      </c>
      <c r="C2622">
        <v>451.03</v>
      </c>
      <c r="D2622">
        <v>442.98</v>
      </c>
      <c r="E2622">
        <v>444.07</v>
      </c>
      <c r="F2622" s="2">
        <v>2640000000</v>
      </c>
    </row>
    <row r="2623" spans="1:6">
      <c r="A2623" s="32">
        <v>39911</v>
      </c>
      <c r="B2623">
        <v>438.05</v>
      </c>
      <c r="C2623">
        <v>443.57</v>
      </c>
      <c r="D2623">
        <v>438.05</v>
      </c>
      <c r="E2623">
        <v>443.57</v>
      </c>
      <c r="F2623" s="2">
        <v>1470000000</v>
      </c>
    </row>
    <row r="2624" spans="1:6">
      <c r="A2624" s="32">
        <v>39910</v>
      </c>
      <c r="B2624">
        <v>444.71</v>
      </c>
      <c r="C2624">
        <v>449.68</v>
      </c>
      <c r="D2624">
        <v>441.5</v>
      </c>
      <c r="E2624">
        <v>442.56</v>
      </c>
      <c r="F2624" s="2">
        <v>2200000000</v>
      </c>
    </row>
    <row r="2625" spans="1:6">
      <c r="A2625" s="32">
        <v>39906</v>
      </c>
      <c r="B2625">
        <v>443.8</v>
      </c>
      <c r="C2625">
        <v>446.35</v>
      </c>
      <c r="D2625">
        <v>441.16</v>
      </c>
      <c r="E2625">
        <v>446.04</v>
      </c>
      <c r="F2625" s="2">
        <v>2660000000</v>
      </c>
    </row>
    <row r="2626" spans="1:6">
      <c r="A2626" s="32">
        <v>39905</v>
      </c>
      <c r="B2626">
        <v>433.04</v>
      </c>
      <c r="C2626">
        <v>442.96</v>
      </c>
      <c r="D2626">
        <v>432.85</v>
      </c>
      <c r="E2626">
        <v>442.96</v>
      </c>
      <c r="F2626" s="2">
        <v>2800000000</v>
      </c>
    </row>
    <row r="2627" spans="1:6">
      <c r="A2627" s="32">
        <v>39904</v>
      </c>
      <c r="B2627">
        <v>433.5</v>
      </c>
      <c r="C2627">
        <v>433.55</v>
      </c>
      <c r="D2627">
        <v>429.22</v>
      </c>
      <c r="E2627">
        <v>430.09</v>
      </c>
      <c r="F2627" s="2">
        <v>2190000000</v>
      </c>
    </row>
    <row r="2628" spans="1:6">
      <c r="A2628" s="32">
        <v>39903</v>
      </c>
      <c r="B2628">
        <v>430.59</v>
      </c>
      <c r="C2628">
        <v>433.13</v>
      </c>
      <c r="D2628">
        <v>429.61</v>
      </c>
      <c r="E2628">
        <v>431.5</v>
      </c>
      <c r="F2628" s="2">
        <v>1780000000</v>
      </c>
    </row>
    <row r="2629" spans="1:6">
      <c r="A2629" s="32">
        <v>39902</v>
      </c>
      <c r="B2629">
        <v>435.71</v>
      </c>
      <c r="C2629">
        <v>436.07</v>
      </c>
      <c r="D2629">
        <v>426.44</v>
      </c>
      <c r="E2629">
        <v>429.6</v>
      </c>
      <c r="F2629" s="2">
        <v>1970000000</v>
      </c>
    </row>
    <row r="2630" spans="1:6">
      <c r="A2630" s="32">
        <v>39899</v>
      </c>
      <c r="B2630">
        <v>441.31</v>
      </c>
      <c r="C2630">
        <v>441.92</v>
      </c>
      <c r="D2630">
        <v>438.7</v>
      </c>
      <c r="E2630">
        <v>440.81</v>
      </c>
      <c r="F2630" s="2">
        <v>1280000000</v>
      </c>
    </row>
    <row r="2631" spans="1:6">
      <c r="A2631" s="32">
        <v>39898</v>
      </c>
      <c r="B2631">
        <v>438.31</v>
      </c>
      <c r="C2631">
        <v>443.44</v>
      </c>
      <c r="D2631">
        <v>437.67</v>
      </c>
      <c r="E2631">
        <v>439.4</v>
      </c>
      <c r="F2631" s="2">
        <v>2080000000</v>
      </c>
    </row>
    <row r="2632" spans="1:6">
      <c r="A2632" s="32">
        <v>39897</v>
      </c>
      <c r="B2632">
        <v>437.74</v>
      </c>
      <c r="C2632">
        <v>439.61</v>
      </c>
      <c r="D2632">
        <v>433.88</v>
      </c>
      <c r="E2632">
        <v>436.92</v>
      </c>
      <c r="F2632" s="2">
        <v>1850000000</v>
      </c>
    </row>
    <row r="2633" spans="1:6">
      <c r="A2633" s="32">
        <v>39896</v>
      </c>
      <c r="B2633">
        <v>442.15</v>
      </c>
      <c r="C2633">
        <v>443.01</v>
      </c>
      <c r="D2633">
        <v>436.7</v>
      </c>
      <c r="E2633">
        <v>438.16</v>
      </c>
      <c r="F2633" s="2">
        <v>2400000000</v>
      </c>
    </row>
    <row r="2634" spans="1:6">
      <c r="A2634" s="32">
        <v>39895</v>
      </c>
      <c r="B2634">
        <v>432.15</v>
      </c>
      <c r="C2634">
        <v>440.09</v>
      </c>
      <c r="D2634">
        <v>432.15</v>
      </c>
      <c r="E2634">
        <v>438.17</v>
      </c>
      <c r="F2634" s="2">
        <v>2320000000</v>
      </c>
    </row>
    <row r="2635" spans="1:6">
      <c r="A2635" s="32">
        <v>39892</v>
      </c>
      <c r="B2635">
        <v>430.46</v>
      </c>
      <c r="C2635">
        <v>431.92</v>
      </c>
      <c r="D2635">
        <v>426.94</v>
      </c>
      <c r="E2635">
        <v>429.64</v>
      </c>
      <c r="F2635" s="2">
        <v>1540000000</v>
      </c>
    </row>
    <row r="2636" spans="1:6">
      <c r="A2636" s="32">
        <v>39891</v>
      </c>
      <c r="B2636">
        <v>426.7</v>
      </c>
      <c r="C2636">
        <v>431.78</v>
      </c>
      <c r="D2636">
        <v>426.36</v>
      </c>
      <c r="E2636">
        <v>427.72</v>
      </c>
      <c r="F2636" s="2">
        <v>2090000000</v>
      </c>
    </row>
    <row r="2637" spans="1:6">
      <c r="A2637" s="32">
        <v>39890</v>
      </c>
      <c r="B2637">
        <v>425.86</v>
      </c>
      <c r="C2637">
        <v>426.36</v>
      </c>
      <c r="D2637">
        <v>423.9</v>
      </c>
      <c r="E2637">
        <v>426.2</v>
      </c>
      <c r="F2637" s="2">
        <v>1710000000</v>
      </c>
    </row>
    <row r="2638" spans="1:6">
      <c r="A2638" s="32">
        <v>39889</v>
      </c>
      <c r="B2638">
        <v>423.87</v>
      </c>
      <c r="C2638">
        <v>428.71</v>
      </c>
      <c r="D2638">
        <v>422.32</v>
      </c>
      <c r="E2638">
        <v>422.32</v>
      </c>
      <c r="F2638" s="2">
        <v>1980000000</v>
      </c>
    </row>
    <row r="2639" spans="1:6">
      <c r="A2639" s="32">
        <v>39888</v>
      </c>
      <c r="B2639">
        <v>424.75</v>
      </c>
      <c r="C2639">
        <v>424.98</v>
      </c>
      <c r="D2639">
        <v>420.62</v>
      </c>
      <c r="E2639">
        <v>424.61</v>
      </c>
      <c r="F2639" s="2">
        <v>1480000000</v>
      </c>
    </row>
    <row r="2640" spans="1:6">
      <c r="A2640" s="32">
        <v>39885</v>
      </c>
      <c r="B2640">
        <v>420.36</v>
      </c>
      <c r="C2640">
        <v>425.64</v>
      </c>
      <c r="D2640">
        <v>420.26</v>
      </c>
      <c r="E2640">
        <v>424.79</v>
      </c>
      <c r="F2640" s="2">
        <v>2470000000</v>
      </c>
    </row>
    <row r="2641" spans="1:6">
      <c r="A2641" s="32">
        <v>39884</v>
      </c>
      <c r="B2641">
        <v>413.91</v>
      </c>
      <c r="C2641">
        <v>415.11</v>
      </c>
      <c r="D2641">
        <v>412.24</v>
      </c>
      <c r="E2641">
        <v>415.04</v>
      </c>
      <c r="F2641" s="2">
        <v>1240000000</v>
      </c>
    </row>
    <row r="2642" spans="1:6">
      <c r="A2642" s="32">
        <v>39883</v>
      </c>
      <c r="B2642">
        <v>421.56</v>
      </c>
      <c r="C2642">
        <v>422.08</v>
      </c>
      <c r="D2642">
        <v>414.41</v>
      </c>
      <c r="E2642">
        <v>414.41</v>
      </c>
      <c r="F2642" s="2">
        <v>1810000000</v>
      </c>
    </row>
    <row r="2643" spans="1:6">
      <c r="A2643" s="32">
        <v>39882</v>
      </c>
      <c r="B2643">
        <v>413.3</v>
      </c>
      <c r="C2643">
        <v>417.51</v>
      </c>
      <c r="D2643">
        <v>412.29</v>
      </c>
      <c r="E2643">
        <v>417.41</v>
      </c>
      <c r="F2643" s="2">
        <v>3420000000</v>
      </c>
    </row>
    <row r="2644" spans="1:6">
      <c r="A2644" s="32">
        <v>39881</v>
      </c>
      <c r="B2644">
        <v>418.4</v>
      </c>
      <c r="C2644">
        <v>419.84</v>
      </c>
      <c r="D2644">
        <v>409.91</v>
      </c>
      <c r="E2644">
        <v>411.27</v>
      </c>
      <c r="F2644" s="2">
        <v>1650000000</v>
      </c>
    </row>
    <row r="2645" spans="1:6">
      <c r="A2645" s="32">
        <v>39878</v>
      </c>
      <c r="B2645">
        <v>415.42</v>
      </c>
      <c r="C2645">
        <v>419.51</v>
      </c>
      <c r="D2645">
        <v>413.66</v>
      </c>
      <c r="E2645">
        <v>419.51</v>
      </c>
      <c r="F2645" s="2">
        <v>1540000000</v>
      </c>
    </row>
    <row r="2646" spans="1:6">
      <c r="A2646" s="32">
        <v>39877</v>
      </c>
      <c r="B2646">
        <v>418.97</v>
      </c>
      <c r="C2646">
        <v>423.4</v>
      </c>
      <c r="D2646">
        <v>416.96</v>
      </c>
      <c r="E2646">
        <v>417.11</v>
      </c>
      <c r="F2646" s="2">
        <v>2110000000</v>
      </c>
    </row>
    <row r="2647" spans="1:6">
      <c r="A2647" s="32">
        <v>39876</v>
      </c>
      <c r="B2647">
        <v>412.39</v>
      </c>
      <c r="C2647">
        <v>419.08</v>
      </c>
      <c r="D2647">
        <v>412.14</v>
      </c>
      <c r="E2647">
        <v>417.86</v>
      </c>
      <c r="F2647" s="2">
        <v>1760000000</v>
      </c>
    </row>
    <row r="2648" spans="1:6">
      <c r="A2648" s="32">
        <v>39875</v>
      </c>
      <c r="B2648">
        <v>410.26</v>
      </c>
      <c r="C2648">
        <v>414.54</v>
      </c>
      <c r="D2648">
        <v>408.78</v>
      </c>
      <c r="E2648">
        <v>413.09</v>
      </c>
      <c r="F2648" s="2">
        <v>1600000000</v>
      </c>
    </row>
    <row r="2649" spans="1:6">
      <c r="A2649" s="32">
        <v>39874</v>
      </c>
      <c r="B2649">
        <v>428.86</v>
      </c>
      <c r="C2649">
        <v>428.95</v>
      </c>
      <c r="D2649">
        <v>415.32</v>
      </c>
      <c r="E2649">
        <v>416.52</v>
      </c>
      <c r="F2649" s="2">
        <v>2000000000</v>
      </c>
    </row>
    <row r="2650" spans="1:6">
      <c r="A2650" s="32">
        <v>39871</v>
      </c>
      <c r="B2650">
        <v>433.06</v>
      </c>
      <c r="C2650">
        <v>433.8</v>
      </c>
      <c r="D2650">
        <v>430.55</v>
      </c>
      <c r="E2650">
        <v>431.52</v>
      </c>
      <c r="F2650" s="2">
        <v>2210000000</v>
      </c>
    </row>
    <row r="2651" spans="1:6">
      <c r="A2651" s="32">
        <v>39870</v>
      </c>
      <c r="B2651">
        <v>435.17</v>
      </c>
      <c r="C2651">
        <v>437.01</v>
      </c>
      <c r="D2651">
        <v>430.67</v>
      </c>
      <c r="E2651">
        <v>431.94</v>
      </c>
      <c r="F2651" s="2">
        <v>1720000000</v>
      </c>
    </row>
    <row r="2652" spans="1:6">
      <c r="A2652" s="32">
        <v>39869</v>
      </c>
      <c r="B2652">
        <v>434.56</v>
      </c>
      <c r="C2652">
        <v>435.55</v>
      </c>
      <c r="D2652">
        <v>432.86</v>
      </c>
      <c r="E2652">
        <v>434.24</v>
      </c>
      <c r="F2652" s="2">
        <v>1820000000</v>
      </c>
    </row>
    <row r="2653" spans="1:6">
      <c r="A2653" s="32">
        <v>39868</v>
      </c>
      <c r="B2653">
        <v>430.29</v>
      </c>
      <c r="C2653">
        <v>431.32</v>
      </c>
      <c r="D2653">
        <v>427.35</v>
      </c>
      <c r="E2653">
        <v>431.32</v>
      </c>
      <c r="F2653" s="2">
        <v>2450000000</v>
      </c>
    </row>
    <row r="2654" spans="1:6">
      <c r="A2654" s="32">
        <v>39867</v>
      </c>
      <c r="B2654">
        <v>433.82</v>
      </c>
      <c r="C2654">
        <v>437.21</v>
      </c>
      <c r="D2654">
        <v>432.14</v>
      </c>
      <c r="E2654">
        <v>434.99</v>
      </c>
      <c r="F2654" s="2">
        <v>2500000000</v>
      </c>
    </row>
    <row r="2655" spans="1:6">
      <c r="A2655" s="32">
        <v>39864</v>
      </c>
      <c r="B2655">
        <v>440.15</v>
      </c>
      <c r="C2655">
        <v>441.93</v>
      </c>
      <c r="D2655">
        <v>434.46</v>
      </c>
      <c r="E2655">
        <v>434.67</v>
      </c>
      <c r="F2655" s="2">
        <v>2650000000</v>
      </c>
    </row>
    <row r="2656" spans="1:6">
      <c r="A2656" s="32">
        <v>39863</v>
      </c>
      <c r="B2656">
        <v>440.02</v>
      </c>
      <c r="C2656">
        <v>444.51</v>
      </c>
      <c r="D2656">
        <v>439.82</v>
      </c>
      <c r="E2656">
        <v>441.62</v>
      </c>
      <c r="F2656" s="2">
        <v>2680000000</v>
      </c>
    </row>
    <row r="2657" spans="1:6">
      <c r="A2657" s="32">
        <v>39862</v>
      </c>
      <c r="B2657">
        <v>435.66</v>
      </c>
      <c r="C2657">
        <v>440.3</v>
      </c>
      <c r="D2657">
        <v>435.52</v>
      </c>
      <c r="E2657">
        <v>439.6</v>
      </c>
      <c r="F2657" s="2">
        <v>3140000000</v>
      </c>
    </row>
    <row r="2658" spans="1:6">
      <c r="A2658" s="32">
        <v>39861</v>
      </c>
      <c r="B2658">
        <v>443.67</v>
      </c>
      <c r="C2658">
        <v>444.22</v>
      </c>
      <c r="D2658">
        <v>436.68</v>
      </c>
      <c r="E2658">
        <v>438.22</v>
      </c>
      <c r="F2658" s="2">
        <v>2500000000</v>
      </c>
    </row>
    <row r="2659" spans="1:6">
      <c r="A2659" s="32">
        <v>39860</v>
      </c>
      <c r="B2659">
        <v>446.67</v>
      </c>
      <c r="C2659">
        <v>447.34</v>
      </c>
      <c r="D2659">
        <v>442.71</v>
      </c>
      <c r="E2659">
        <v>446.64</v>
      </c>
      <c r="F2659" s="2">
        <v>3230000000</v>
      </c>
    </row>
    <row r="2660" spans="1:6">
      <c r="A2660" s="32">
        <v>39857</v>
      </c>
      <c r="B2660">
        <v>442.72</v>
      </c>
      <c r="C2660">
        <v>446.74</v>
      </c>
      <c r="D2660">
        <v>442.49</v>
      </c>
      <c r="E2660">
        <v>445.77</v>
      </c>
      <c r="F2660" s="2">
        <v>1370000000</v>
      </c>
    </row>
    <row r="2661" spans="1:6">
      <c r="A2661" s="32">
        <v>39856</v>
      </c>
      <c r="B2661">
        <v>442.7</v>
      </c>
      <c r="C2661">
        <v>444.03</v>
      </c>
      <c r="D2661">
        <v>440.06</v>
      </c>
      <c r="E2661">
        <v>440.63</v>
      </c>
      <c r="F2661" s="2">
        <v>1600000000</v>
      </c>
    </row>
    <row r="2662" spans="1:6">
      <c r="A2662" s="32">
        <v>39855</v>
      </c>
      <c r="B2662">
        <v>438.71</v>
      </c>
      <c r="C2662">
        <v>445.53</v>
      </c>
      <c r="D2662">
        <v>438.36</v>
      </c>
      <c r="E2662">
        <v>444.1</v>
      </c>
      <c r="F2662" s="2">
        <v>1890000000</v>
      </c>
    </row>
    <row r="2663" spans="1:6">
      <c r="A2663" s="32">
        <v>39854</v>
      </c>
      <c r="B2663">
        <v>446.46</v>
      </c>
      <c r="C2663">
        <v>447.71</v>
      </c>
      <c r="D2663">
        <v>441.56</v>
      </c>
      <c r="E2663">
        <v>443.17</v>
      </c>
      <c r="F2663" s="2">
        <v>2420000000</v>
      </c>
    </row>
    <row r="2664" spans="1:6">
      <c r="A2664" s="32">
        <v>39850</v>
      </c>
      <c r="B2664">
        <v>437.43</v>
      </c>
      <c r="C2664">
        <v>445.51</v>
      </c>
      <c r="D2664">
        <v>437.43</v>
      </c>
      <c r="E2664">
        <v>444.39</v>
      </c>
      <c r="F2664" s="2">
        <v>2800000000</v>
      </c>
    </row>
    <row r="2665" spans="1:6">
      <c r="A2665" s="32">
        <v>39849</v>
      </c>
      <c r="B2665">
        <v>433.93</v>
      </c>
      <c r="C2665">
        <v>438.02</v>
      </c>
      <c r="D2665">
        <v>433.44</v>
      </c>
      <c r="E2665">
        <v>433.44</v>
      </c>
      <c r="F2665" s="2">
        <v>1700000000</v>
      </c>
    </row>
    <row r="2666" spans="1:6">
      <c r="A2666" s="32">
        <v>39848</v>
      </c>
      <c r="B2666">
        <v>433.91</v>
      </c>
      <c r="C2666">
        <v>435.78</v>
      </c>
      <c r="D2666">
        <v>432.37</v>
      </c>
      <c r="E2666">
        <v>433.04</v>
      </c>
      <c r="F2666" s="2">
        <v>2150000000</v>
      </c>
    </row>
    <row r="2667" spans="1:6">
      <c r="A2667" s="32">
        <v>39847</v>
      </c>
      <c r="B2667">
        <v>428.92</v>
      </c>
      <c r="C2667">
        <v>431.8</v>
      </c>
      <c r="D2667">
        <v>427.81</v>
      </c>
      <c r="E2667">
        <v>430.69</v>
      </c>
      <c r="F2667" s="2">
        <v>2010000000</v>
      </c>
    </row>
    <row r="2668" spans="1:6">
      <c r="A2668" s="32">
        <v>39846</v>
      </c>
      <c r="B2668">
        <v>437.29</v>
      </c>
      <c r="C2668">
        <v>437.88</v>
      </c>
      <c r="D2668">
        <v>427.85</v>
      </c>
      <c r="E2668">
        <v>427.85</v>
      </c>
      <c r="F2668" s="2">
        <v>1410000000</v>
      </c>
    </row>
    <row r="2669" spans="1:6">
      <c r="A2669" s="32">
        <v>39843</v>
      </c>
      <c r="B2669">
        <v>434.37</v>
      </c>
      <c r="C2669">
        <v>439.38</v>
      </c>
      <c r="D2669">
        <v>432.53</v>
      </c>
      <c r="E2669">
        <v>437.69</v>
      </c>
      <c r="F2669" s="2">
        <v>1840000000</v>
      </c>
    </row>
    <row r="2670" spans="1:6">
      <c r="A2670" s="32">
        <v>39842</v>
      </c>
      <c r="B2670">
        <v>452.21</v>
      </c>
      <c r="C2670">
        <v>452.31</v>
      </c>
      <c r="D2670">
        <v>435</v>
      </c>
      <c r="E2670">
        <v>435</v>
      </c>
      <c r="F2670" s="2">
        <v>2910000000</v>
      </c>
    </row>
    <row r="2671" spans="1:6">
      <c r="A2671" s="32">
        <v>39841</v>
      </c>
      <c r="B2671">
        <v>443.51</v>
      </c>
      <c r="C2671">
        <v>449.22</v>
      </c>
      <c r="D2671">
        <v>442.1</v>
      </c>
      <c r="E2671">
        <v>448.35</v>
      </c>
      <c r="F2671" s="2">
        <v>2460000000</v>
      </c>
    </row>
    <row r="2672" spans="1:6">
      <c r="A2672" s="32">
        <v>39840</v>
      </c>
      <c r="B2672">
        <v>439.69</v>
      </c>
      <c r="C2672">
        <v>444.79</v>
      </c>
      <c r="D2672">
        <v>438.96</v>
      </c>
      <c r="E2672">
        <v>444.79</v>
      </c>
      <c r="F2672" s="2">
        <v>1540000000</v>
      </c>
    </row>
    <row r="2673" spans="1:6">
      <c r="A2673" s="32">
        <v>39839</v>
      </c>
      <c r="B2673">
        <v>435.5</v>
      </c>
      <c r="C2673">
        <v>437.77</v>
      </c>
      <c r="D2673">
        <v>434.7</v>
      </c>
      <c r="E2673">
        <v>436.73</v>
      </c>
      <c r="F2673" s="2">
        <v>905660000</v>
      </c>
    </row>
    <row r="2674" spans="1:6">
      <c r="A2674" s="32">
        <v>39836</v>
      </c>
      <c r="B2674">
        <v>436.71</v>
      </c>
      <c r="C2674">
        <v>437.69</v>
      </c>
      <c r="D2674">
        <v>433.25</v>
      </c>
      <c r="E2674">
        <v>433.52</v>
      </c>
      <c r="F2674" s="2">
        <v>2050000000</v>
      </c>
    </row>
    <row r="2675" spans="1:6">
      <c r="A2675" s="32">
        <v>39835</v>
      </c>
      <c r="B2675">
        <v>435.02</v>
      </c>
      <c r="C2675">
        <v>441.6</v>
      </c>
      <c r="D2675">
        <v>434.57</v>
      </c>
      <c r="E2675">
        <v>438.27</v>
      </c>
      <c r="F2675" s="2">
        <v>3330000000</v>
      </c>
    </row>
    <row r="2676" spans="1:6">
      <c r="A2676" s="32">
        <v>39834</v>
      </c>
      <c r="B2676">
        <v>429.84</v>
      </c>
      <c r="C2676">
        <v>433.76</v>
      </c>
      <c r="D2676">
        <v>429.29</v>
      </c>
      <c r="E2676">
        <v>431.23</v>
      </c>
      <c r="F2676" s="2">
        <v>1810000000</v>
      </c>
    </row>
    <row r="2677" spans="1:6">
      <c r="A2677" s="32">
        <v>39833</v>
      </c>
      <c r="B2677">
        <v>430.57</v>
      </c>
      <c r="C2677">
        <v>433.19</v>
      </c>
      <c r="D2677">
        <v>429.29</v>
      </c>
      <c r="E2677">
        <v>433.19</v>
      </c>
      <c r="F2677" s="2">
        <v>2280000000</v>
      </c>
    </row>
    <row r="2678" spans="1:6">
      <c r="A2678" s="32">
        <v>39832</v>
      </c>
      <c r="B2678">
        <v>438.43</v>
      </c>
      <c r="C2678">
        <v>439.23</v>
      </c>
      <c r="D2678">
        <v>430.73</v>
      </c>
      <c r="E2678">
        <v>435.71</v>
      </c>
      <c r="F2678" s="2">
        <v>2110000000</v>
      </c>
    </row>
    <row r="2679" spans="1:6">
      <c r="A2679" s="32">
        <v>39829</v>
      </c>
      <c r="B2679">
        <v>429.14</v>
      </c>
      <c r="C2679">
        <v>435.2</v>
      </c>
      <c r="D2679">
        <v>426.93</v>
      </c>
      <c r="E2679">
        <v>435.2</v>
      </c>
      <c r="F2679" s="2">
        <v>2030000000</v>
      </c>
    </row>
    <row r="2680" spans="1:6">
      <c r="A2680" s="32">
        <v>39828</v>
      </c>
      <c r="B2680">
        <v>430.32</v>
      </c>
      <c r="C2680">
        <v>430.7</v>
      </c>
      <c r="D2680">
        <v>424.16</v>
      </c>
      <c r="E2680">
        <v>426.26</v>
      </c>
      <c r="F2680" s="2">
        <v>2840000000</v>
      </c>
    </row>
    <row r="2681" spans="1:6">
      <c r="A2681" s="32">
        <v>39827</v>
      </c>
      <c r="B2681">
        <v>440.3</v>
      </c>
      <c r="C2681">
        <v>442.65</v>
      </c>
      <c r="D2681">
        <v>431.2</v>
      </c>
      <c r="E2681">
        <v>439.51</v>
      </c>
      <c r="F2681" s="2">
        <v>3020000000</v>
      </c>
    </row>
    <row r="2682" spans="1:6">
      <c r="A2682" s="32">
        <v>39826</v>
      </c>
      <c r="B2682">
        <v>448.3</v>
      </c>
      <c r="C2682">
        <v>451.18</v>
      </c>
      <c r="D2682">
        <v>433.81</v>
      </c>
      <c r="E2682">
        <v>433.81</v>
      </c>
      <c r="F2682" s="2">
        <v>3380000000</v>
      </c>
    </row>
    <row r="2683" spans="1:6">
      <c r="A2683" s="32">
        <v>39825</v>
      </c>
      <c r="B2683">
        <v>459.52</v>
      </c>
      <c r="C2683">
        <v>460.82</v>
      </c>
      <c r="D2683">
        <v>451.1</v>
      </c>
      <c r="E2683">
        <v>452.8</v>
      </c>
      <c r="F2683" s="2">
        <v>2950000000</v>
      </c>
    </row>
    <row r="2684" spans="1:6">
      <c r="A2684" s="32">
        <v>39822</v>
      </c>
      <c r="B2684">
        <v>463.75</v>
      </c>
      <c r="C2684">
        <v>467.32</v>
      </c>
      <c r="D2684">
        <v>458.9</v>
      </c>
      <c r="E2684">
        <v>459.06</v>
      </c>
      <c r="F2684" s="2">
        <v>3580000000</v>
      </c>
    </row>
    <row r="2685" spans="1:6">
      <c r="A2685" s="32">
        <v>39821</v>
      </c>
      <c r="B2685">
        <v>457.11</v>
      </c>
      <c r="C2685">
        <v>465.49</v>
      </c>
      <c r="D2685">
        <v>455.44</v>
      </c>
      <c r="E2685">
        <v>465.03</v>
      </c>
      <c r="F2685" s="2">
        <v>2920000000</v>
      </c>
    </row>
    <row r="2686" spans="1:6">
      <c r="A2686" s="32">
        <v>39820</v>
      </c>
      <c r="B2686">
        <v>478.8</v>
      </c>
      <c r="C2686">
        <v>479.3</v>
      </c>
      <c r="D2686">
        <v>462.96</v>
      </c>
      <c r="E2686">
        <v>462.96</v>
      </c>
      <c r="F2686" s="2">
        <v>4260000000</v>
      </c>
    </row>
    <row r="2687" spans="1:6">
      <c r="A2687" s="32">
        <v>39819</v>
      </c>
      <c r="B2687">
        <v>483</v>
      </c>
      <c r="C2687">
        <v>488.12</v>
      </c>
      <c r="D2687">
        <v>470.82</v>
      </c>
      <c r="E2687">
        <v>473.15</v>
      </c>
      <c r="F2687" s="2">
        <v>3450000000</v>
      </c>
    </row>
    <row r="2688" spans="1:6">
      <c r="A2688" s="32">
        <v>39818</v>
      </c>
      <c r="B2688">
        <v>460.39</v>
      </c>
      <c r="C2688">
        <v>478.69</v>
      </c>
      <c r="D2688">
        <v>459.57</v>
      </c>
      <c r="E2688">
        <v>478.69</v>
      </c>
      <c r="F2688" s="2">
        <v>3310000000</v>
      </c>
    </row>
    <row r="2689" spans="1:6">
      <c r="A2689" s="32">
        <v>39812</v>
      </c>
      <c r="B2689">
        <v>448.41</v>
      </c>
      <c r="C2689">
        <v>452.49</v>
      </c>
      <c r="D2689">
        <v>446.86</v>
      </c>
      <c r="E2689">
        <v>449.96</v>
      </c>
      <c r="F2689" s="2">
        <v>1780000000</v>
      </c>
    </row>
    <row r="2690" spans="1:6">
      <c r="A2690" s="32">
        <v>39811</v>
      </c>
      <c r="B2690">
        <v>444.92</v>
      </c>
      <c r="C2690">
        <v>446.7</v>
      </c>
      <c r="D2690">
        <v>440.21</v>
      </c>
      <c r="E2690">
        <v>446.7</v>
      </c>
      <c r="F2690" s="2">
        <v>1330000000</v>
      </c>
    </row>
    <row r="2691" spans="1:6">
      <c r="A2691" s="32">
        <v>39808</v>
      </c>
      <c r="B2691">
        <v>445.74</v>
      </c>
      <c r="C2691">
        <v>448.29</v>
      </c>
      <c r="D2691">
        <v>444.37</v>
      </c>
      <c r="E2691">
        <v>446.62</v>
      </c>
      <c r="F2691" s="2">
        <v>2170000000</v>
      </c>
    </row>
    <row r="2692" spans="1:6">
      <c r="A2692" s="32">
        <v>39807</v>
      </c>
      <c r="B2692">
        <v>441.85</v>
      </c>
      <c r="C2692">
        <v>444.64</v>
      </c>
      <c r="D2692">
        <v>439.64</v>
      </c>
      <c r="E2692">
        <v>444.64</v>
      </c>
      <c r="F2692" s="2">
        <v>2220000000</v>
      </c>
    </row>
    <row r="2693" spans="1:6">
      <c r="A2693" s="32">
        <v>39806</v>
      </c>
      <c r="B2693">
        <v>439.01</v>
      </c>
      <c r="C2693">
        <v>443.76</v>
      </c>
      <c r="D2693">
        <v>438.16</v>
      </c>
      <c r="E2693">
        <v>439.17</v>
      </c>
      <c r="F2693" s="2">
        <v>3050000000</v>
      </c>
    </row>
    <row r="2694" spans="1:6">
      <c r="A2694" s="32">
        <v>39805</v>
      </c>
      <c r="B2694">
        <v>431.35</v>
      </c>
      <c r="C2694">
        <v>440.48</v>
      </c>
      <c r="D2694">
        <v>429.2</v>
      </c>
      <c r="E2694">
        <v>440.4</v>
      </c>
      <c r="F2694" s="2">
        <v>2070000000</v>
      </c>
    </row>
    <row r="2695" spans="1:6">
      <c r="A2695" s="32">
        <v>39804</v>
      </c>
      <c r="B2695">
        <v>448.12</v>
      </c>
      <c r="C2695">
        <v>448.12</v>
      </c>
      <c r="D2695">
        <v>433.77</v>
      </c>
      <c r="E2695">
        <v>434.08</v>
      </c>
      <c r="F2695" s="2">
        <v>2340000000</v>
      </c>
    </row>
    <row r="2696" spans="1:6">
      <c r="A2696" s="32">
        <v>39801</v>
      </c>
      <c r="B2696">
        <v>448.3</v>
      </c>
      <c r="C2696">
        <v>454.9</v>
      </c>
      <c r="D2696">
        <v>447.01</v>
      </c>
      <c r="E2696">
        <v>447.01</v>
      </c>
      <c r="F2696" s="2">
        <v>3300000000</v>
      </c>
    </row>
    <row r="2697" spans="1:6">
      <c r="A2697" s="32">
        <v>39800</v>
      </c>
      <c r="B2697">
        <v>448.25</v>
      </c>
      <c r="C2697">
        <v>455.38</v>
      </c>
      <c r="D2697">
        <v>446.02</v>
      </c>
      <c r="E2697">
        <v>451.72</v>
      </c>
      <c r="F2697" s="2">
        <v>2950000000</v>
      </c>
    </row>
    <row r="2698" spans="1:6">
      <c r="A2698" s="32">
        <v>39799</v>
      </c>
      <c r="B2698">
        <v>452.38</v>
      </c>
      <c r="C2698">
        <v>456.24</v>
      </c>
      <c r="D2698">
        <v>445.35</v>
      </c>
      <c r="E2698">
        <v>445.94</v>
      </c>
      <c r="F2698" s="2">
        <v>4550000000</v>
      </c>
    </row>
    <row r="2699" spans="1:6">
      <c r="A2699" s="32">
        <v>39798</v>
      </c>
      <c r="B2699">
        <v>435.86</v>
      </c>
      <c r="C2699">
        <v>449.79</v>
      </c>
      <c r="D2699">
        <v>434.43</v>
      </c>
      <c r="E2699">
        <v>445.31</v>
      </c>
      <c r="F2699" s="2">
        <v>5090000000</v>
      </c>
    </row>
    <row r="2700" spans="1:6">
      <c r="A2700" s="32">
        <v>39797</v>
      </c>
      <c r="B2700">
        <v>431.28</v>
      </c>
      <c r="C2700">
        <v>438.12</v>
      </c>
      <c r="D2700">
        <v>424.3</v>
      </c>
      <c r="E2700">
        <v>437.06</v>
      </c>
      <c r="F2700" s="2">
        <v>4740000000</v>
      </c>
    </row>
    <row r="2701" spans="1:6">
      <c r="A2701" s="32">
        <v>39794</v>
      </c>
      <c r="B2701">
        <v>423.3</v>
      </c>
      <c r="C2701">
        <v>426.07</v>
      </c>
      <c r="D2701">
        <v>413.57</v>
      </c>
      <c r="E2701">
        <v>424.79</v>
      </c>
      <c r="F2701" s="2">
        <v>3510000000</v>
      </c>
    </row>
    <row r="2702" spans="1:6">
      <c r="A2702" s="32">
        <v>39793</v>
      </c>
      <c r="B2702">
        <v>428.22</v>
      </c>
      <c r="C2702">
        <v>432.68</v>
      </c>
      <c r="D2702">
        <v>423.07</v>
      </c>
      <c r="E2702">
        <v>424.61</v>
      </c>
      <c r="F2702" s="2">
        <v>3410000000</v>
      </c>
    </row>
    <row r="2703" spans="1:6">
      <c r="A2703" s="32">
        <v>39791</v>
      </c>
      <c r="B2703">
        <v>410.1</v>
      </c>
      <c r="C2703">
        <v>425.57</v>
      </c>
      <c r="D2703">
        <v>409.76</v>
      </c>
      <c r="E2703">
        <v>423.79</v>
      </c>
      <c r="F2703" s="2">
        <v>4200000000</v>
      </c>
    </row>
    <row r="2704" spans="1:6">
      <c r="A2704" s="32">
        <v>39790</v>
      </c>
      <c r="B2704">
        <v>398.67</v>
      </c>
      <c r="C2704">
        <v>410.58</v>
      </c>
      <c r="D2704">
        <v>397.96</v>
      </c>
      <c r="E2704">
        <v>410.58</v>
      </c>
      <c r="F2704" s="2">
        <v>3710000000</v>
      </c>
    </row>
    <row r="2705" spans="1:6">
      <c r="A2705" s="32">
        <v>39786</v>
      </c>
      <c r="B2705">
        <v>394.74</v>
      </c>
      <c r="C2705">
        <v>397.5</v>
      </c>
      <c r="D2705">
        <v>387.95</v>
      </c>
      <c r="E2705">
        <v>392.87</v>
      </c>
      <c r="F2705" s="2">
        <v>1320000000</v>
      </c>
    </row>
    <row r="2706" spans="1:6">
      <c r="A2706" s="32">
        <v>39785</v>
      </c>
      <c r="B2706">
        <v>402.67</v>
      </c>
      <c r="C2706">
        <v>402.67</v>
      </c>
      <c r="D2706">
        <v>392.7</v>
      </c>
      <c r="E2706">
        <v>392.92</v>
      </c>
      <c r="F2706" s="2">
        <v>2740000000</v>
      </c>
    </row>
    <row r="2707" spans="1:6">
      <c r="A2707" s="32">
        <v>39784</v>
      </c>
      <c r="B2707">
        <v>385.23</v>
      </c>
      <c r="C2707">
        <v>394.19</v>
      </c>
      <c r="D2707">
        <v>382.85</v>
      </c>
      <c r="E2707">
        <v>387.32</v>
      </c>
      <c r="F2707" s="2">
        <v>2350000000</v>
      </c>
    </row>
    <row r="2708" spans="1:6">
      <c r="A2708" s="32">
        <v>39783</v>
      </c>
      <c r="B2708">
        <v>403.95</v>
      </c>
      <c r="C2708">
        <v>410.62</v>
      </c>
      <c r="D2708">
        <v>390.92</v>
      </c>
      <c r="E2708">
        <v>390.92</v>
      </c>
      <c r="F2708" s="2">
        <v>2630000000</v>
      </c>
    </row>
    <row r="2709" spans="1:6">
      <c r="A2709" s="32">
        <v>39780</v>
      </c>
      <c r="B2709">
        <v>393.02</v>
      </c>
      <c r="C2709">
        <v>403.26</v>
      </c>
      <c r="D2709">
        <v>391.4</v>
      </c>
      <c r="E2709">
        <v>401.84</v>
      </c>
      <c r="F2709" s="2">
        <v>2680000000</v>
      </c>
    </row>
    <row r="2710" spans="1:6">
      <c r="A2710" s="32">
        <v>39779</v>
      </c>
      <c r="B2710">
        <v>389.09</v>
      </c>
      <c r="C2710">
        <v>398.96</v>
      </c>
      <c r="D2710">
        <v>388.56</v>
      </c>
      <c r="E2710">
        <v>389.81</v>
      </c>
      <c r="F2710" s="2">
        <v>2330000000</v>
      </c>
    </row>
    <row r="2711" spans="1:6">
      <c r="A2711" s="32">
        <v>39778</v>
      </c>
      <c r="B2711">
        <v>384.07</v>
      </c>
      <c r="C2711">
        <v>395.22</v>
      </c>
      <c r="D2711">
        <v>380.05</v>
      </c>
      <c r="E2711">
        <v>395.22</v>
      </c>
      <c r="F2711" s="2">
        <v>1880000000</v>
      </c>
    </row>
    <row r="2712" spans="1:6">
      <c r="A2712" s="32">
        <v>39777</v>
      </c>
      <c r="B2712">
        <v>393.63</v>
      </c>
      <c r="C2712">
        <v>396.95</v>
      </c>
      <c r="D2712">
        <v>389.37</v>
      </c>
      <c r="E2712">
        <v>391.85</v>
      </c>
      <c r="F2712" s="2">
        <v>1810000000</v>
      </c>
    </row>
    <row r="2713" spans="1:6">
      <c r="A2713" s="32">
        <v>39776</v>
      </c>
      <c r="B2713">
        <v>393.51</v>
      </c>
      <c r="C2713">
        <v>396.82</v>
      </c>
      <c r="D2713">
        <v>384.92</v>
      </c>
      <c r="E2713">
        <v>386.12</v>
      </c>
      <c r="F2713" s="2">
        <v>1550000000</v>
      </c>
    </row>
    <row r="2714" spans="1:6">
      <c r="A2714" s="32">
        <v>39773</v>
      </c>
      <c r="B2714">
        <v>389.11</v>
      </c>
      <c r="C2714">
        <v>397.67</v>
      </c>
      <c r="D2714">
        <v>384.37</v>
      </c>
      <c r="E2714">
        <v>397.51</v>
      </c>
      <c r="F2714" s="2">
        <v>3130000000</v>
      </c>
    </row>
    <row r="2715" spans="1:6">
      <c r="A2715" s="32">
        <v>39772</v>
      </c>
      <c r="B2715">
        <v>399.62</v>
      </c>
      <c r="C2715">
        <v>399.98</v>
      </c>
      <c r="D2715">
        <v>390.17</v>
      </c>
      <c r="E2715">
        <v>393.85</v>
      </c>
      <c r="F2715" s="2">
        <v>2910000000</v>
      </c>
    </row>
    <row r="2716" spans="1:6">
      <c r="A2716" s="32">
        <v>39771</v>
      </c>
      <c r="B2716">
        <v>421.35</v>
      </c>
      <c r="C2716">
        <v>421.35</v>
      </c>
      <c r="D2716">
        <v>408.51</v>
      </c>
      <c r="E2716">
        <v>408.51</v>
      </c>
      <c r="F2716" s="2">
        <v>2620000000</v>
      </c>
    </row>
    <row r="2717" spans="1:6">
      <c r="A2717" s="32">
        <v>39770</v>
      </c>
      <c r="B2717">
        <v>431.36</v>
      </c>
      <c r="C2717">
        <v>432.02</v>
      </c>
      <c r="D2717">
        <v>419.97</v>
      </c>
      <c r="E2717">
        <v>419.97</v>
      </c>
      <c r="F2717" s="2">
        <v>2200000000</v>
      </c>
    </row>
    <row r="2718" spans="1:6">
      <c r="A2718" s="32">
        <v>39769</v>
      </c>
      <c r="B2718">
        <v>428.48</v>
      </c>
      <c r="C2718">
        <v>436.09</v>
      </c>
      <c r="D2718">
        <v>428.48</v>
      </c>
      <c r="E2718">
        <v>434.21</v>
      </c>
      <c r="F2718" s="2">
        <v>2550000000</v>
      </c>
    </row>
    <row r="2719" spans="1:6">
      <c r="A2719" s="32">
        <v>39766</v>
      </c>
      <c r="B2719">
        <v>438.87</v>
      </c>
      <c r="C2719">
        <v>440.93</v>
      </c>
      <c r="D2719">
        <v>429.97</v>
      </c>
      <c r="E2719">
        <v>429.97</v>
      </c>
      <c r="F2719" s="2">
        <v>3150000000</v>
      </c>
    </row>
    <row r="2720" spans="1:6">
      <c r="A2720" s="32">
        <v>39765</v>
      </c>
      <c r="B2720">
        <v>424.71</v>
      </c>
      <c r="C2720">
        <v>433.47</v>
      </c>
      <c r="D2720">
        <v>420.49</v>
      </c>
      <c r="E2720">
        <v>433.47</v>
      </c>
      <c r="F2720" s="2">
        <v>3100000000</v>
      </c>
    </row>
    <row r="2721" spans="1:6">
      <c r="A2721" s="32">
        <v>39764</v>
      </c>
      <c r="B2721">
        <v>441.22</v>
      </c>
      <c r="C2721">
        <v>443.28</v>
      </c>
      <c r="D2721">
        <v>432.88</v>
      </c>
      <c r="E2721">
        <v>435.7</v>
      </c>
      <c r="F2721" s="2">
        <v>3380000000</v>
      </c>
    </row>
    <row r="2722" spans="1:6">
      <c r="A2722" s="32">
        <v>39763</v>
      </c>
      <c r="B2722">
        <v>452.84</v>
      </c>
      <c r="C2722">
        <v>460.23</v>
      </c>
      <c r="D2722">
        <v>442.31</v>
      </c>
      <c r="E2722">
        <v>442.31</v>
      </c>
      <c r="F2722" s="2">
        <v>2590000000</v>
      </c>
    </row>
    <row r="2723" spans="1:6">
      <c r="A2723" s="32">
        <v>39762</v>
      </c>
      <c r="B2723">
        <v>469.48</v>
      </c>
      <c r="C2723">
        <v>470.97</v>
      </c>
      <c r="D2723">
        <v>456.44</v>
      </c>
      <c r="E2723">
        <v>456.44</v>
      </c>
      <c r="F2723" s="2">
        <v>3690000000</v>
      </c>
    </row>
    <row r="2724" spans="1:6">
      <c r="A2724" s="32">
        <v>39759</v>
      </c>
      <c r="B2724">
        <v>459.98</v>
      </c>
      <c r="C2724">
        <v>466.6</v>
      </c>
      <c r="D2724">
        <v>453.5</v>
      </c>
      <c r="E2724">
        <v>463.81</v>
      </c>
      <c r="F2724" s="2">
        <v>5040000000</v>
      </c>
    </row>
    <row r="2725" spans="1:6">
      <c r="A2725" s="32">
        <v>39758</v>
      </c>
      <c r="B2725">
        <v>443.31</v>
      </c>
      <c r="C2725">
        <v>462.93</v>
      </c>
      <c r="D2725">
        <v>442.67</v>
      </c>
      <c r="E2725">
        <v>462.93</v>
      </c>
      <c r="F2725" s="2">
        <v>4280000000</v>
      </c>
    </row>
    <row r="2726" spans="1:6">
      <c r="A2726" s="32">
        <v>39757</v>
      </c>
      <c r="B2726">
        <v>478.27</v>
      </c>
      <c r="C2726">
        <v>478.68</v>
      </c>
      <c r="D2726">
        <v>453.94</v>
      </c>
      <c r="E2726">
        <v>457.36</v>
      </c>
      <c r="F2726" s="2">
        <v>8540000000</v>
      </c>
    </row>
    <row r="2727" spans="1:6">
      <c r="A2727" s="32">
        <v>39756</v>
      </c>
      <c r="B2727">
        <v>444.53</v>
      </c>
      <c r="C2727">
        <v>461</v>
      </c>
      <c r="D2727">
        <v>443.62</v>
      </c>
      <c r="E2727">
        <v>457.62</v>
      </c>
      <c r="F2727" s="2">
        <v>6200000000</v>
      </c>
    </row>
    <row r="2728" spans="1:6">
      <c r="A2728" s="32">
        <v>39755</v>
      </c>
      <c r="B2728">
        <v>431.98</v>
      </c>
      <c r="C2728">
        <v>449.19</v>
      </c>
      <c r="D2728">
        <v>431.98</v>
      </c>
      <c r="E2728">
        <v>449.19</v>
      </c>
      <c r="F2728" s="2">
        <v>6900000000</v>
      </c>
    </row>
    <row r="2729" spans="1:6">
      <c r="A2729" s="32">
        <v>39752</v>
      </c>
      <c r="B2729">
        <v>403.47</v>
      </c>
      <c r="C2729">
        <v>421.7</v>
      </c>
      <c r="D2729">
        <v>402.64</v>
      </c>
      <c r="E2729">
        <v>416.53</v>
      </c>
      <c r="F2729" s="2">
        <v>5270000000</v>
      </c>
    </row>
    <row r="2730" spans="1:6">
      <c r="A2730" s="32">
        <v>39751</v>
      </c>
      <c r="B2730">
        <v>395.72</v>
      </c>
      <c r="C2730">
        <v>409.67</v>
      </c>
      <c r="D2730">
        <v>395.61</v>
      </c>
      <c r="E2730">
        <v>408.31</v>
      </c>
      <c r="F2730" s="2">
        <v>3900000000</v>
      </c>
    </row>
    <row r="2731" spans="1:6">
      <c r="A2731" s="32">
        <v>39750</v>
      </c>
      <c r="B2731">
        <v>408.25</v>
      </c>
      <c r="C2731">
        <v>412.46</v>
      </c>
      <c r="D2731">
        <v>384.15</v>
      </c>
      <c r="E2731">
        <v>384.15</v>
      </c>
      <c r="F2731" s="2">
        <v>5420000000</v>
      </c>
    </row>
    <row r="2732" spans="1:6">
      <c r="A2732" s="32">
        <v>39749</v>
      </c>
      <c r="B2732">
        <v>394.46</v>
      </c>
      <c r="C2732">
        <v>407.8</v>
      </c>
      <c r="D2732">
        <v>383.63</v>
      </c>
      <c r="E2732">
        <v>398.04</v>
      </c>
      <c r="F2732" s="2">
        <v>5780000000</v>
      </c>
    </row>
    <row r="2733" spans="1:6">
      <c r="A2733" s="32">
        <v>39748</v>
      </c>
      <c r="B2733">
        <v>424.83</v>
      </c>
      <c r="C2733">
        <v>424.88</v>
      </c>
      <c r="D2733">
        <v>387.43</v>
      </c>
      <c r="E2733">
        <v>387.43</v>
      </c>
      <c r="F2733" s="2">
        <v>4640000000</v>
      </c>
    </row>
    <row r="2734" spans="1:6">
      <c r="A2734" s="32">
        <v>39745</v>
      </c>
      <c r="B2734">
        <v>453.87</v>
      </c>
      <c r="C2734">
        <v>453.87</v>
      </c>
      <c r="D2734">
        <v>426.52</v>
      </c>
      <c r="E2734">
        <v>432.87</v>
      </c>
      <c r="F2734" s="2">
        <v>3820000000</v>
      </c>
    </row>
    <row r="2735" spans="1:6">
      <c r="A2735" s="32">
        <v>39743</v>
      </c>
      <c r="B2735">
        <v>475</v>
      </c>
      <c r="C2735">
        <v>476.47</v>
      </c>
      <c r="D2735">
        <v>463.09</v>
      </c>
      <c r="E2735">
        <v>465.24</v>
      </c>
      <c r="F2735" s="2">
        <v>3150000000</v>
      </c>
    </row>
    <row r="2736" spans="1:6">
      <c r="A2736" s="32">
        <v>39742</v>
      </c>
      <c r="B2736">
        <v>481.63</v>
      </c>
      <c r="C2736">
        <v>486</v>
      </c>
      <c r="D2736">
        <v>477.28</v>
      </c>
      <c r="E2736">
        <v>478.79</v>
      </c>
      <c r="F2736" s="2">
        <v>3990000000</v>
      </c>
    </row>
    <row r="2737" spans="1:6">
      <c r="A2737" s="32">
        <v>39741</v>
      </c>
      <c r="B2737">
        <v>476.58</v>
      </c>
      <c r="C2737">
        <v>480.73</v>
      </c>
      <c r="D2737">
        <v>470.23</v>
      </c>
      <c r="E2737">
        <v>476.95</v>
      </c>
      <c r="F2737" s="2">
        <v>3390000000</v>
      </c>
    </row>
    <row r="2738" spans="1:6">
      <c r="A2738" s="32">
        <v>39738</v>
      </c>
      <c r="B2738">
        <v>477.81</v>
      </c>
      <c r="C2738">
        <v>488.52</v>
      </c>
      <c r="D2738">
        <v>470.97</v>
      </c>
      <c r="E2738">
        <v>471.31</v>
      </c>
      <c r="F2738" s="2">
        <v>5190000000</v>
      </c>
    </row>
    <row r="2739" spans="1:6">
      <c r="A2739" s="32">
        <v>39737</v>
      </c>
      <c r="B2739">
        <v>469.89</v>
      </c>
      <c r="C2739">
        <v>477.73</v>
      </c>
      <c r="D2739">
        <v>456.96</v>
      </c>
      <c r="E2739">
        <v>477.73</v>
      </c>
      <c r="F2739" s="2">
        <v>7400000000</v>
      </c>
    </row>
    <row r="2740" spans="1:6">
      <c r="A2740" s="32">
        <v>39736</v>
      </c>
      <c r="B2740">
        <v>495.19</v>
      </c>
      <c r="C2740">
        <v>502.59</v>
      </c>
      <c r="D2740">
        <v>481.5</v>
      </c>
      <c r="E2740">
        <v>481.5</v>
      </c>
      <c r="F2740" s="2">
        <v>11020000000</v>
      </c>
    </row>
    <row r="2741" spans="1:6">
      <c r="A2741" s="32">
        <v>39735</v>
      </c>
      <c r="B2741">
        <v>501.89</v>
      </c>
      <c r="C2741">
        <v>508.96</v>
      </c>
      <c r="D2741">
        <v>498.29</v>
      </c>
      <c r="E2741">
        <v>500.77</v>
      </c>
      <c r="F2741" s="2">
        <v>10500000000</v>
      </c>
    </row>
    <row r="2742" spans="1:6">
      <c r="A2742" s="32">
        <v>39734</v>
      </c>
      <c r="B2742">
        <v>455.77</v>
      </c>
      <c r="C2742">
        <v>483.45</v>
      </c>
      <c r="D2742">
        <v>451.04</v>
      </c>
      <c r="E2742">
        <v>476.33</v>
      </c>
      <c r="F2742" s="2">
        <v>8370000000</v>
      </c>
    </row>
    <row r="2743" spans="1:6">
      <c r="A2743" s="32">
        <v>39731</v>
      </c>
      <c r="B2743">
        <v>458.96</v>
      </c>
      <c r="C2743">
        <v>468.13</v>
      </c>
      <c r="D2743">
        <v>449.53</v>
      </c>
      <c r="E2743">
        <v>451.96</v>
      </c>
      <c r="F2743" s="2">
        <v>3520000000</v>
      </c>
    </row>
    <row r="2744" spans="1:6">
      <c r="A2744" s="32">
        <v>39730</v>
      </c>
      <c r="B2744">
        <v>500.51</v>
      </c>
      <c r="C2744">
        <v>508.52</v>
      </c>
      <c r="D2744">
        <v>473.94</v>
      </c>
      <c r="E2744">
        <v>499.99</v>
      </c>
      <c r="F2744" s="2">
        <v>4220000000</v>
      </c>
    </row>
    <row r="2745" spans="1:6">
      <c r="A2745" s="32">
        <v>39729</v>
      </c>
      <c r="B2745">
        <v>517.29</v>
      </c>
      <c r="C2745">
        <v>517.29</v>
      </c>
      <c r="D2745">
        <v>483.91</v>
      </c>
      <c r="E2745">
        <v>492.34</v>
      </c>
      <c r="F2745" s="2">
        <v>4010000000</v>
      </c>
    </row>
    <row r="2746" spans="1:6">
      <c r="A2746" s="32">
        <v>39728</v>
      </c>
      <c r="B2746">
        <v>539.62</v>
      </c>
      <c r="C2746">
        <v>546.35</v>
      </c>
      <c r="D2746">
        <v>527.70000000000005</v>
      </c>
      <c r="E2746">
        <v>528.71</v>
      </c>
      <c r="F2746" s="2">
        <v>4900000000</v>
      </c>
    </row>
    <row r="2747" spans="1:6">
      <c r="A2747" s="32">
        <v>39727</v>
      </c>
      <c r="B2747">
        <v>579.41999999999996</v>
      </c>
      <c r="C2747">
        <v>579.41999999999996</v>
      </c>
      <c r="D2747">
        <v>551.79999999999995</v>
      </c>
      <c r="E2747">
        <v>551.79999999999995</v>
      </c>
      <c r="F2747" s="2">
        <v>2990000000</v>
      </c>
    </row>
    <row r="2748" spans="1:6">
      <c r="A2748" s="32">
        <v>39724</v>
      </c>
      <c r="B2748">
        <v>591.22</v>
      </c>
      <c r="C2748">
        <v>593.73</v>
      </c>
      <c r="D2748">
        <v>587.4</v>
      </c>
      <c r="E2748">
        <v>590.04999999999995</v>
      </c>
      <c r="F2748" s="2">
        <v>2400000000</v>
      </c>
    </row>
    <row r="2749" spans="1:6">
      <c r="A2749" s="32">
        <v>39723</v>
      </c>
      <c r="B2749">
        <v>596.94000000000005</v>
      </c>
      <c r="C2749">
        <v>601.46</v>
      </c>
      <c r="D2749">
        <v>595.24</v>
      </c>
      <c r="E2749">
        <v>597.69000000000005</v>
      </c>
      <c r="F2749" s="2">
        <v>2900000000</v>
      </c>
    </row>
    <row r="2750" spans="1:6">
      <c r="A2750" s="32">
        <v>39722</v>
      </c>
      <c r="B2750">
        <v>600.52</v>
      </c>
      <c r="C2750">
        <v>602.78</v>
      </c>
      <c r="D2750">
        <v>593.80999999999995</v>
      </c>
      <c r="E2750">
        <v>594.45000000000005</v>
      </c>
      <c r="F2750" s="2">
        <v>2330000000</v>
      </c>
    </row>
    <row r="2751" spans="1:6">
      <c r="A2751" s="32">
        <v>39721</v>
      </c>
      <c r="B2751">
        <v>568.17999999999995</v>
      </c>
      <c r="C2751">
        <v>599.16</v>
      </c>
      <c r="D2751">
        <v>568.17999999999995</v>
      </c>
      <c r="E2751">
        <v>596.54</v>
      </c>
      <c r="F2751" s="2">
        <v>2730000000</v>
      </c>
    </row>
    <row r="2752" spans="1:6">
      <c r="A2752" s="32">
        <v>39720</v>
      </c>
      <c r="B2752">
        <v>618.07000000000005</v>
      </c>
      <c r="C2752">
        <v>619.33000000000004</v>
      </c>
      <c r="D2752">
        <v>598.59</v>
      </c>
      <c r="E2752">
        <v>601.29</v>
      </c>
      <c r="F2752" s="2">
        <v>1800000000</v>
      </c>
    </row>
    <row r="2753" spans="1:6">
      <c r="A2753" s="32">
        <v>39717</v>
      </c>
      <c r="B2753">
        <v>616.61</v>
      </c>
      <c r="C2753">
        <v>619.13</v>
      </c>
      <c r="D2753">
        <v>613.38</v>
      </c>
      <c r="E2753">
        <v>618.97</v>
      </c>
      <c r="F2753" s="2">
        <v>1550000000</v>
      </c>
    </row>
    <row r="2754" spans="1:6">
      <c r="A2754" s="32">
        <v>39716</v>
      </c>
      <c r="B2754">
        <v>618.09</v>
      </c>
      <c r="C2754">
        <v>621.35</v>
      </c>
      <c r="D2754">
        <v>612.29999999999995</v>
      </c>
      <c r="E2754">
        <v>621.14</v>
      </c>
      <c r="F2754" s="2">
        <v>1940000000</v>
      </c>
    </row>
    <row r="2755" spans="1:6">
      <c r="A2755" s="32">
        <v>39715</v>
      </c>
      <c r="B2755">
        <v>612.16</v>
      </c>
      <c r="C2755">
        <v>620.42999999999995</v>
      </c>
      <c r="D2755">
        <v>612.16</v>
      </c>
      <c r="E2755">
        <v>620.42999999999995</v>
      </c>
      <c r="F2755" s="2">
        <v>2820000000</v>
      </c>
    </row>
    <row r="2756" spans="1:6">
      <c r="A2756" s="32">
        <v>39714</v>
      </c>
      <c r="B2756">
        <v>611.94000000000005</v>
      </c>
      <c r="C2756">
        <v>611.94000000000005</v>
      </c>
      <c r="D2756">
        <v>606.32000000000005</v>
      </c>
      <c r="E2756">
        <v>608.25</v>
      </c>
      <c r="F2756" s="2">
        <v>1680000000</v>
      </c>
    </row>
    <row r="2757" spans="1:6">
      <c r="A2757" s="32">
        <v>39713</v>
      </c>
      <c r="B2757">
        <v>626.49</v>
      </c>
      <c r="C2757">
        <v>629.07000000000005</v>
      </c>
      <c r="D2757">
        <v>614.25</v>
      </c>
      <c r="E2757">
        <v>614.49</v>
      </c>
      <c r="F2757" s="2">
        <v>1830000000</v>
      </c>
    </row>
    <row r="2758" spans="1:6">
      <c r="A2758" s="32">
        <v>39710</v>
      </c>
      <c r="B2758">
        <v>614.38</v>
      </c>
      <c r="C2758">
        <v>628.64</v>
      </c>
      <c r="D2758">
        <v>610.28</v>
      </c>
      <c r="E2758">
        <v>624.83000000000004</v>
      </c>
      <c r="F2758" s="2">
        <v>3130000000</v>
      </c>
    </row>
    <row r="2759" spans="1:6">
      <c r="A2759" s="32">
        <v>39709</v>
      </c>
      <c r="B2759">
        <v>590.29999999999995</v>
      </c>
      <c r="C2759">
        <v>602.75</v>
      </c>
      <c r="D2759">
        <v>569.94000000000005</v>
      </c>
      <c r="E2759">
        <v>600.38</v>
      </c>
      <c r="F2759" s="2">
        <v>3280000000</v>
      </c>
    </row>
    <row r="2760" spans="1:6">
      <c r="A2760" s="32">
        <v>39708</v>
      </c>
      <c r="B2760">
        <v>626.80999999999995</v>
      </c>
      <c r="C2760">
        <v>627.26</v>
      </c>
      <c r="D2760">
        <v>601.95000000000005</v>
      </c>
      <c r="E2760">
        <v>605.14</v>
      </c>
      <c r="F2760" s="2">
        <v>2270000000</v>
      </c>
    </row>
    <row r="2761" spans="1:6">
      <c r="A2761" s="32">
        <v>39707</v>
      </c>
      <c r="B2761">
        <v>623.79</v>
      </c>
      <c r="C2761">
        <v>624.55999999999995</v>
      </c>
      <c r="D2761">
        <v>614.72</v>
      </c>
      <c r="E2761">
        <v>624.55999999999995</v>
      </c>
      <c r="F2761" s="2">
        <v>2210000000</v>
      </c>
    </row>
    <row r="2762" spans="1:6">
      <c r="A2762" s="32">
        <v>39706</v>
      </c>
      <c r="B2762">
        <v>652.07000000000005</v>
      </c>
      <c r="C2762">
        <v>652.07000000000005</v>
      </c>
      <c r="D2762">
        <v>640.03</v>
      </c>
      <c r="E2762">
        <v>642.39</v>
      </c>
      <c r="F2762" s="2">
        <v>1840000000</v>
      </c>
    </row>
    <row r="2763" spans="1:6">
      <c r="A2763" s="32">
        <v>39703</v>
      </c>
      <c r="B2763">
        <v>648.62</v>
      </c>
      <c r="C2763">
        <v>654.34</v>
      </c>
      <c r="D2763">
        <v>647.19000000000005</v>
      </c>
      <c r="E2763">
        <v>654.34</v>
      </c>
      <c r="F2763" s="2">
        <v>1590000000</v>
      </c>
    </row>
    <row r="2764" spans="1:6">
      <c r="A2764" s="32">
        <v>39702</v>
      </c>
      <c r="B2764">
        <v>654.30999999999995</v>
      </c>
      <c r="C2764">
        <v>658.78</v>
      </c>
      <c r="D2764">
        <v>646.79999999999995</v>
      </c>
      <c r="E2764">
        <v>646.79999999999995</v>
      </c>
      <c r="F2764" s="2">
        <v>1610000000</v>
      </c>
    </row>
    <row r="2765" spans="1:6">
      <c r="A2765" s="32">
        <v>39701</v>
      </c>
      <c r="B2765">
        <v>659.32</v>
      </c>
      <c r="C2765">
        <v>660.39</v>
      </c>
      <c r="D2765">
        <v>654.09</v>
      </c>
      <c r="E2765">
        <v>655.54</v>
      </c>
      <c r="F2765" s="2">
        <v>1480000000</v>
      </c>
    </row>
    <row r="2766" spans="1:6">
      <c r="A2766" s="32">
        <v>39700</v>
      </c>
      <c r="B2766">
        <v>659.62</v>
      </c>
      <c r="C2766">
        <v>664.5</v>
      </c>
      <c r="D2766">
        <v>657.39</v>
      </c>
      <c r="E2766">
        <v>663.61</v>
      </c>
      <c r="F2766" s="2">
        <v>2050000000</v>
      </c>
    </row>
    <row r="2767" spans="1:6">
      <c r="A2767" s="32">
        <v>39699</v>
      </c>
      <c r="B2767">
        <v>654.94000000000005</v>
      </c>
      <c r="C2767">
        <v>665.66</v>
      </c>
      <c r="D2767">
        <v>653</v>
      </c>
      <c r="E2767">
        <v>665.66</v>
      </c>
      <c r="F2767" s="2">
        <v>2470000000</v>
      </c>
    </row>
    <row r="2768" spans="1:6">
      <c r="A2768" s="32">
        <v>39696</v>
      </c>
      <c r="B2768">
        <v>645.5</v>
      </c>
      <c r="C2768">
        <v>648.17999999999995</v>
      </c>
      <c r="D2768">
        <v>642.5</v>
      </c>
      <c r="E2768">
        <v>645.79999999999995</v>
      </c>
      <c r="F2768" s="2">
        <v>1340000000</v>
      </c>
    </row>
    <row r="2769" spans="1:6">
      <c r="A2769" s="32">
        <v>39695</v>
      </c>
      <c r="B2769">
        <v>645.91999999999996</v>
      </c>
      <c r="C2769">
        <v>656.11</v>
      </c>
      <c r="D2769">
        <v>642.28</v>
      </c>
      <c r="E2769">
        <v>654.85</v>
      </c>
      <c r="F2769" s="2">
        <v>2070000000</v>
      </c>
    </row>
    <row r="2770" spans="1:6">
      <c r="A2770" s="32">
        <v>39694</v>
      </c>
      <c r="B2770">
        <v>655.97</v>
      </c>
      <c r="C2770">
        <v>658.74</v>
      </c>
      <c r="D2770">
        <v>648.95000000000005</v>
      </c>
      <c r="E2770">
        <v>649.92999999999995</v>
      </c>
      <c r="F2770" s="2">
        <v>1520000000</v>
      </c>
    </row>
    <row r="2771" spans="1:6">
      <c r="A2771" s="32">
        <v>39693</v>
      </c>
      <c r="B2771">
        <v>661.67</v>
      </c>
      <c r="C2771">
        <v>666.98</v>
      </c>
      <c r="D2771">
        <v>655.62</v>
      </c>
      <c r="E2771">
        <v>659.51</v>
      </c>
      <c r="F2771" s="2">
        <v>1850000000</v>
      </c>
    </row>
    <row r="2772" spans="1:6">
      <c r="A2772" s="32">
        <v>39692</v>
      </c>
      <c r="B2772">
        <v>678.54</v>
      </c>
      <c r="C2772">
        <v>678.99</v>
      </c>
      <c r="D2772">
        <v>673.97</v>
      </c>
      <c r="E2772">
        <v>675.22</v>
      </c>
      <c r="F2772" s="2">
        <v>1280000000</v>
      </c>
    </row>
    <row r="2773" spans="1:6">
      <c r="A2773" s="32">
        <v>39689</v>
      </c>
      <c r="B2773">
        <v>686.13</v>
      </c>
      <c r="C2773">
        <v>687.05</v>
      </c>
      <c r="D2773">
        <v>673.85</v>
      </c>
      <c r="E2773">
        <v>684.44</v>
      </c>
      <c r="F2773" s="2">
        <v>2270000000</v>
      </c>
    </row>
    <row r="2774" spans="1:6">
      <c r="A2774" s="32">
        <v>39688</v>
      </c>
      <c r="B2774">
        <v>678.64</v>
      </c>
      <c r="C2774">
        <v>683.93</v>
      </c>
      <c r="D2774">
        <v>678.64</v>
      </c>
      <c r="E2774">
        <v>682.83</v>
      </c>
      <c r="F2774" s="2">
        <v>2160000000</v>
      </c>
    </row>
    <row r="2775" spans="1:6">
      <c r="A2775" s="32">
        <v>39687</v>
      </c>
      <c r="B2775">
        <v>668.77</v>
      </c>
      <c r="C2775">
        <v>676.79</v>
      </c>
      <c r="D2775">
        <v>667.53</v>
      </c>
      <c r="E2775">
        <v>675.99</v>
      </c>
      <c r="F2775" s="2">
        <v>1800000000</v>
      </c>
    </row>
    <row r="2776" spans="1:6">
      <c r="A2776" s="32">
        <v>39686</v>
      </c>
      <c r="B2776">
        <v>665.32</v>
      </c>
      <c r="C2776">
        <v>670.16</v>
      </c>
      <c r="D2776">
        <v>660.96</v>
      </c>
      <c r="E2776">
        <v>668.92</v>
      </c>
      <c r="F2776" s="2">
        <v>1970000000</v>
      </c>
    </row>
    <row r="2777" spans="1:6">
      <c r="A2777" s="32">
        <v>39685</v>
      </c>
      <c r="B2777">
        <v>681.17</v>
      </c>
      <c r="C2777">
        <v>681.17</v>
      </c>
      <c r="D2777">
        <v>676.37</v>
      </c>
      <c r="E2777">
        <v>678.2</v>
      </c>
      <c r="F2777" s="2">
        <v>2290000000</v>
      </c>
    </row>
    <row r="2778" spans="1:6">
      <c r="A2778" s="32">
        <v>39682</v>
      </c>
      <c r="B2778">
        <v>679.56</v>
      </c>
      <c r="C2778">
        <v>682.66</v>
      </c>
      <c r="D2778">
        <v>676.19</v>
      </c>
      <c r="E2778">
        <v>681.93</v>
      </c>
      <c r="F2778" s="2">
        <v>2070000000</v>
      </c>
    </row>
    <row r="2779" spans="1:6">
      <c r="A2779" s="32">
        <v>39681</v>
      </c>
      <c r="B2779">
        <v>691.33</v>
      </c>
      <c r="C2779">
        <v>691.51</v>
      </c>
      <c r="D2779">
        <v>676.53</v>
      </c>
      <c r="E2779">
        <v>676.53</v>
      </c>
      <c r="F2779" s="2">
        <v>3500000000</v>
      </c>
    </row>
    <row r="2780" spans="1:6">
      <c r="A2780" s="32">
        <v>39680</v>
      </c>
      <c r="B2780">
        <v>690.97</v>
      </c>
      <c r="C2780">
        <v>692.71</v>
      </c>
      <c r="D2780">
        <v>685.63</v>
      </c>
      <c r="E2780">
        <v>690.05</v>
      </c>
      <c r="F2780" s="2">
        <v>2660000000</v>
      </c>
    </row>
    <row r="2781" spans="1:6">
      <c r="A2781" s="32">
        <v>39679</v>
      </c>
      <c r="B2781">
        <v>692.56</v>
      </c>
      <c r="C2781">
        <v>695.16</v>
      </c>
      <c r="D2781">
        <v>686.24</v>
      </c>
      <c r="E2781">
        <v>691.33</v>
      </c>
      <c r="F2781" s="2">
        <v>2280000000</v>
      </c>
    </row>
    <row r="2782" spans="1:6">
      <c r="A2782" s="32">
        <v>39678</v>
      </c>
      <c r="B2782">
        <v>708.2</v>
      </c>
      <c r="C2782">
        <v>708.63</v>
      </c>
      <c r="D2782">
        <v>697.23</v>
      </c>
      <c r="E2782">
        <v>697.23</v>
      </c>
      <c r="F2782" s="2">
        <v>3670000000</v>
      </c>
    </row>
    <row r="2783" spans="1:6">
      <c r="A2783" s="32">
        <v>39675</v>
      </c>
      <c r="B2783">
        <v>705.67</v>
      </c>
      <c r="C2783">
        <v>708.98</v>
      </c>
      <c r="D2783">
        <v>703.84</v>
      </c>
      <c r="E2783">
        <v>707.48</v>
      </c>
      <c r="F2783" s="2">
        <v>2550000000</v>
      </c>
    </row>
    <row r="2784" spans="1:6">
      <c r="A2784" s="32">
        <v>39674</v>
      </c>
      <c r="B2784">
        <v>705.65</v>
      </c>
      <c r="C2784">
        <v>708.74</v>
      </c>
      <c r="D2784">
        <v>699.37</v>
      </c>
      <c r="E2784">
        <v>705.6</v>
      </c>
      <c r="F2784" s="2">
        <v>2360000000</v>
      </c>
    </row>
    <row r="2785" spans="1:6">
      <c r="A2785" s="32">
        <v>39673</v>
      </c>
      <c r="B2785">
        <v>695.87</v>
      </c>
      <c r="C2785">
        <v>709.13</v>
      </c>
      <c r="D2785">
        <v>695.87</v>
      </c>
      <c r="E2785">
        <v>701.6</v>
      </c>
      <c r="F2785" s="2">
        <v>3090000000</v>
      </c>
    </row>
    <row r="2786" spans="1:6">
      <c r="A2786" s="32">
        <v>39671</v>
      </c>
      <c r="B2786">
        <v>708.36</v>
      </c>
      <c r="C2786">
        <v>715.33</v>
      </c>
      <c r="D2786">
        <v>702.93</v>
      </c>
      <c r="E2786">
        <v>702.93</v>
      </c>
      <c r="F2786" s="2">
        <v>3500000000</v>
      </c>
    </row>
    <row r="2787" spans="1:6">
      <c r="A2787" s="32">
        <v>39668</v>
      </c>
      <c r="B2787">
        <v>694.32</v>
      </c>
      <c r="C2787">
        <v>699.71</v>
      </c>
      <c r="D2787">
        <v>686.84</v>
      </c>
      <c r="E2787">
        <v>690.7</v>
      </c>
      <c r="F2787" s="2">
        <v>2710000000</v>
      </c>
    </row>
    <row r="2788" spans="1:6">
      <c r="A2788" s="32">
        <v>39667</v>
      </c>
      <c r="B2788">
        <v>678.42</v>
      </c>
      <c r="C2788">
        <v>705.35</v>
      </c>
      <c r="D2788">
        <v>676.93</v>
      </c>
      <c r="E2788">
        <v>705.35</v>
      </c>
      <c r="F2788" s="2">
        <v>4310000000</v>
      </c>
    </row>
    <row r="2789" spans="1:6">
      <c r="A2789" s="32">
        <v>39666</v>
      </c>
      <c r="B2789">
        <v>672.23</v>
      </c>
      <c r="C2789">
        <v>678.8</v>
      </c>
      <c r="D2789">
        <v>667.17</v>
      </c>
      <c r="E2789">
        <v>676.35</v>
      </c>
      <c r="F2789" s="2">
        <v>3230000000</v>
      </c>
    </row>
    <row r="2790" spans="1:6">
      <c r="A2790" s="32">
        <v>39665</v>
      </c>
      <c r="B2790">
        <v>672.16</v>
      </c>
      <c r="C2790">
        <v>673.73</v>
      </c>
      <c r="D2790">
        <v>661.02</v>
      </c>
      <c r="E2790">
        <v>667.12</v>
      </c>
      <c r="F2790" s="2">
        <v>2020000000</v>
      </c>
    </row>
    <row r="2791" spans="1:6">
      <c r="A2791" s="32">
        <v>39664</v>
      </c>
      <c r="B2791">
        <v>678.34</v>
      </c>
      <c r="C2791">
        <v>679.12</v>
      </c>
      <c r="D2791">
        <v>674.67</v>
      </c>
      <c r="E2791">
        <v>674.67</v>
      </c>
      <c r="F2791" s="2">
        <v>1230000000</v>
      </c>
    </row>
    <row r="2792" spans="1:6">
      <c r="A2792" s="32">
        <v>39661</v>
      </c>
      <c r="B2792">
        <v>672.75</v>
      </c>
      <c r="C2792">
        <v>680.99</v>
      </c>
      <c r="D2792">
        <v>670.66</v>
      </c>
      <c r="E2792">
        <v>678.66</v>
      </c>
      <c r="F2792" s="2">
        <v>1500000000</v>
      </c>
    </row>
    <row r="2793" spans="1:6">
      <c r="A2793" s="32">
        <v>39660</v>
      </c>
      <c r="B2793">
        <v>674.32</v>
      </c>
      <c r="C2793">
        <v>679.65</v>
      </c>
      <c r="D2793">
        <v>669.17</v>
      </c>
      <c r="E2793">
        <v>676.32</v>
      </c>
      <c r="F2793" s="2">
        <v>1780000000</v>
      </c>
    </row>
    <row r="2794" spans="1:6">
      <c r="A2794" s="32">
        <v>39659</v>
      </c>
      <c r="B2794">
        <v>679.3</v>
      </c>
      <c r="C2794">
        <v>683.35</v>
      </c>
      <c r="D2794">
        <v>669.9</v>
      </c>
      <c r="E2794">
        <v>669.9</v>
      </c>
      <c r="F2794" s="2">
        <v>2520000000</v>
      </c>
    </row>
    <row r="2795" spans="1:6">
      <c r="A2795" s="32">
        <v>39658</v>
      </c>
      <c r="B2795">
        <v>679.32</v>
      </c>
      <c r="C2795">
        <v>679.32</v>
      </c>
      <c r="D2795">
        <v>673.97</v>
      </c>
      <c r="E2795">
        <v>676.73</v>
      </c>
      <c r="F2795" s="2">
        <v>1320000000</v>
      </c>
    </row>
    <row r="2796" spans="1:6">
      <c r="A2796" s="32">
        <v>39657</v>
      </c>
      <c r="B2796">
        <v>689.22</v>
      </c>
      <c r="C2796">
        <v>689.24</v>
      </c>
      <c r="D2796">
        <v>677.94</v>
      </c>
      <c r="E2796">
        <v>685.53</v>
      </c>
      <c r="F2796" s="2">
        <v>1940000000</v>
      </c>
    </row>
    <row r="2797" spans="1:6">
      <c r="A2797" s="32">
        <v>39654</v>
      </c>
      <c r="B2797">
        <v>682.6</v>
      </c>
      <c r="C2797">
        <v>686.5</v>
      </c>
      <c r="D2797">
        <v>678.35</v>
      </c>
      <c r="E2797">
        <v>685.47</v>
      </c>
      <c r="F2797" s="2">
        <v>1960000000</v>
      </c>
    </row>
    <row r="2798" spans="1:6">
      <c r="A2798" s="32">
        <v>39653</v>
      </c>
      <c r="B2798">
        <v>690.54</v>
      </c>
      <c r="C2798">
        <v>694.83</v>
      </c>
      <c r="D2798">
        <v>686.16</v>
      </c>
      <c r="E2798">
        <v>691.48</v>
      </c>
      <c r="F2798" s="2">
        <v>3110000000</v>
      </c>
    </row>
    <row r="2799" spans="1:6">
      <c r="A2799" s="32">
        <v>39652</v>
      </c>
      <c r="B2799">
        <v>691.11</v>
      </c>
      <c r="C2799">
        <v>696.77</v>
      </c>
      <c r="D2799">
        <v>689.6</v>
      </c>
      <c r="E2799">
        <v>694.14</v>
      </c>
      <c r="F2799" s="2">
        <v>3490000000</v>
      </c>
    </row>
    <row r="2800" spans="1:6">
      <c r="A2800" s="32">
        <v>39651</v>
      </c>
      <c r="B2800">
        <v>685.44</v>
      </c>
      <c r="C2800">
        <v>694.9</v>
      </c>
      <c r="D2800">
        <v>682.15</v>
      </c>
      <c r="E2800">
        <v>682.15</v>
      </c>
      <c r="F2800" s="2">
        <v>2190000000</v>
      </c>
    </row>
    <row r="2801" spans="1:6">
      <c r="A2801" s="32">
        <v>39650</v>
      </c>
      <c r="B2801">
        <v>670.3</v>
      </c>
      <c r="C2801">
        <v>687.3</v>
      </c>
      <c r="D2801">
        <v>664.99</v>
      </c>
      <c r="E2801">
        <v>687.3</v>
      </c>
      <c r="F2801" s="2">
        <v>2030000000</v>
      </c>
    </row>
    <row r="2802" spans="1:6">
      <c r="A2802" s="32">
        <v>39647</v>
      </c>
      <c r="B2802">
        <v>681.24</v>
      </c>
      <c r="C2802">
        <v>681.24</v>
      </c>
      <c r="D2802">
        <v>660.16</v>
      </c>
      <c r="E2802">
        <v>664.52</v>
      </c>
      <c r="F2802" s="2">
        <v>2800000000</v>
      </c>
    </row>
    <row r="2803" spans="1:6">
      <c r="A2803" s="32">
        <v>39645</v>
      </c>
      <c r="B2803">
        <v>692.49</v>
      </c>
      <c r="C2803">
        <v>695.92</v>
      </c>
      <c r="D2803">
        <v>669.97</v>
      </c>
      <c r="E2803">
        <v>669.97</v>
      </c>
      <c r="F2803" s="2">
        <v>2290000000</v>
      </c>
    </row>
    <row r="2804" spans="1:6">
      <c r="A2804" s="32">
        <v>39644</v>
      </c>
      <c r="B2804">
        <v>711.86</v>
      </c>
      <c r="C2804">
        <v>711.86</v>
      </c>
      <c r="D2804">
        <v>693.41</v>
      </c>
      <c r="E2804">
        <v>693.41</v>
      </c>
      <c r="F2804" s="2">
        <v>2580000000</v>
      </c>
    </row>
    <row r="2805" spans="1:6">
      <c r="A2805" s="32">
        <v>39643</v>
      </c>
      <c r="B2805">
        <v>730.54</v>
      </c>
      <c r="C2805">
        <v>730.54</v>
      </c>
      <c r="D2805">
        <v>717.06</v>
      </c>
      <c r="E2805">
        <v>717.06</v>
      </c>
      <c r="F2805" s="2">
        <v>3200000000</v>
      </c>
    </row>
    <row r="2806" spans="1:6">
      <c r="A2806" s="32">
        <v>39640</v>
      </c>
      <c r="B2806">
        <v>725.24</v>
      </c>
      <c r="C2806">
        <v>734.02</v>
      </c>
      <c r="D2806">
        <v>723.82</v>
      </c>
      <c r="E2806">
        <v>730.29</v>
      </c>
      <c r="F2806" s="2">
        <v>3710000000</v>
      </c>
    </row>
    <row r="2807" spans="1:6">
      <c r="A2807" s="32">
        <v>39639</v>
      </c>
      <c r="B2807">
        <v>717.56</v>
      </c>
      <c r="C2807">
        <v>727.47</v>
      </c>
      <c r="D2807">
        <v>713.19</v>
      </c>
      <c r="E2807">
        <v>721.86</v>
      </c>
      <c r="F2807" s="2">
        <v>3060000000</v>
      </c>
    </row>
    <row r="2808" spans="1:6">
      <c r="A2808" s="32">
        <v>39638</v>
      </c>
      <c r="B2808">
        <v>729.83</v>
      </c>
      <c r="C2808">
        <v>736.24</v>
      </c>
      <c r="D2808">
        <v>719.65</v>
      </c>
      <c r="E2808">
        <v>721.13</v>
      </c>
      <c r="F2808" s="2">
        <v>3230000000</v>
      </c>
    </row>
    <row r="2809" spans="1:6">
      <c r="A2809" s="32">
        <v>39637</v>
      </c>
      <c r="B2809">
        <v>726.65</v>
      </c>
      <c r="C2809">
        <v>728.61</v>
      </c>
      <c r="D2809">
        <v>719.51</v>
      </c>
      <c r="E2809">
        <v>722.5</v>
      </c>
      <c r="F2809" s="2">
        <v>2970000000</v>
      </c>
    </row>
    <row r="2810" spans="1:6">
      <c r="A2810" s="32">
        <v>39636</v>
      </c>
      <c r="B2810">
        <v>744.98</v>
      </c>
      <c r="C2810">
        <v>744.98</v>
      </c>
      <c r="D2810">
        <v>730.32</v>
      </c>
      <c r="E2810">
        <v>730.56</v>
      </c>
      <c r="F2810" s="2">
        <v>3970000000</v>
      </c>
    </row>
    <row r="2811" spans="1:6">
      <c r="A2811" s="32">
        <v>39633</v>
      </c>
      <c r="B2811">
        <v>744.58</v>
      </c>
      <c r="C2811">
        <v>748.34</v>
      </c>
      <c r="D2811">
        <v>743.03</v>
      </c>
      <c r="E2811">
        <v>743.03</v>
      </c>
      <c r="F2811" s="2">
        <v>1940000000</v>
      </c>
    </row>
    <row r="2812" spans="1:6">
      <c r="A2812" s="32">
        <v>39632</v>
      </c>
      <c r="B2812">
        <v>752.55</v>
      </c>
      <c r="C2812">
        <v>753.66</v>
      </c>
      <c r="D2812">
        <v>742.13</v>
      </c>
      <c r="E2812">
        <v>742.15</v>
      </c>
      <c r="F2812" s="2">
        <v>3720000000</v>
      </c>
    </row>
    <row r="2813" spans="1:6">
      <c r="A2813" s="32">
        <v>39631</v>
      </c>
      <c r="B2813">
        <v>767.73</v>
      </c>
      <c r="C2813">
        <v>767.73</v>
      </c>
      <c r="D2813">
        <v>755.58</v>
      </c>
      <c r="E2813">
        <v>760.01</v>
      </c>
      <c r="F2813" s="2">
        <v>3610000000</v>
      </c>
    </row>
    <row r="2814" spans="1:6">
      <c r="A2814" s="32">
        <v>39629</v>
      </c>
      <c r="B2814">
        <v>779.15</v>
      </c>
      <c r="C2814">
        <v>781.97</v>
      </c>
      <c r="D2814">
        <v>765.51</v>
      </c>
      <c r="E2814">
        <v>768.59</v>
      </c>
      <c r="F2814" s="2">
        <v>4490000000</v>
      </c>
    </row>
    <row r="2815" spans="1:6">
      <c r="A2815" s="32">
        <v>39626</v>
      </c>
      <c r="B2815">
        <v>768.97</v>
      </c>
      <c r="C2815">
        <v>776.89</v>
      </c>
      <c r="D2815">
        <v>766.46</v>
      </c>
      <c r="E2815">
        <v>775.73</v>
      </c>
      <c r="F2815" s="2">
        <v>2530000000</v>
      </c>
    </row>
    <row r="2816" spans="1:6">
      <c r="A2816" s="32">
        <v>39625</v>
      </c>
      <c r="B2816">
        <v>780.83</v>
      </c>
      <c r="C2816">
        <v>787.48</v>
      </c>
      <c r="D2816">
        <v>774.39</v>
      </c>
      <c r="E2816">
        <v>774.39</v>
      </c>
      <c r="F2816" s="2">
        <v>4030000000</v>
      </c>
    </row>
    <row r="2817" spans="1:6">
      <c r="A2817" s="32">
        <v>39624</v>
      </c>
      <c r="B2817">
        <v>764.57</v>
      </c>
      <c r="C2817">
        <v>778.85</v>
      </c>
      <c r="D2817">
        <v>763.49</v>
      </c>
      <c r="E2817">
        <v>778.42</v>
      </c>
      <c r="F2817" s="2">
        <v>5050000000</v>
      </c>
    </row>
    <row r="2818" spans="1:6">
      <c r="A2818" s="32">
        <v>39623</v>
      </c>
      <c r="B2818">
        <v>770.06</v>
      </c>
      <c r="C2818">
        <v>771.3</v>
      </c>
      <c r="D2818">
        <v>762.62</v>
      </c>
      <c r="E2818">
        <v>763.75</v>
      </c>
      <c r="F2818" s="2">
        <v>3860000000</v>
      </c>
    </row>
    <row r="2819" spans="1:6">
      <c r="A2819" s="32">
        <v>39622</v>
      </c>
      <c r="B2819">
        <v>758.36</v>
      </c>
      <c r="C2819">
        <v>769.02</v>
      </c>
      <c r="D2819">
        <v>754.16</v>
      </c>
      <c r="E2819">
        <v>768.9</v>
      </c>
      <c r="F2819" s="2">
        <v>4080000000</v>
      </c>
    </row>
    <row r="2820" spans="1:6">
      <c r="A2820" s="32">
        <v>39619</v>
      </c>
      <c r="B2820">
        <v>737.83</v>
      </c>
      <c r="C2820">
        <v>768.9</v>
      </c>
      <c r="D2820">
        <v>737.83</v>
      </c>
      <c r="E2820">
        <v>768.9</v>
      </c>
      <c r="F2820" s="2">
        <v>4280000000</v>
      </c>
    </row>
    <row r="2821" spans="1:6">
      <c r="A2821" s="32">
        <v>39618</v>
      </c>
      <c r="B2821">
        <v>760.26</v>
      </c>
      <c r="C2821">
        <v>760.26</v>
      </c>
      <c r="D2821">
        <v>741.47</v>
      </c>
      <c r="E2821">
        <v>742.46</v>
      </c>
      <c r="F2821" s="2">
        <v>4010000000</v>
      </c>
    </row>
    <row r="2822" spans="1:6">
      <c r="A2822" s="32">
        <v>39617</v>
      </c>
      <c r="B2822">
        <v>769.98</v>
      </c>
      <c r="C2822">
        <v>773.1</v>
      </c>
      <c r="D2822">
        <v>765.35</v>
      </c>
      <c r="E2822">
        <v>765.74</v>
      </c>
      <c r="F2822" s="2">
        <v>2490000000</v>
      </c>
    </row>
    <row r="2823" spans="1:6">
      <c r="A2823" s="32">
        <v>39616</v>
      </c>
      <c r="B2823">
        <v>786.62</v>
      </c>
      <c r="C2823">
        <v>786.62</v>
      </c>
      <c r="D2823">
        <v>775.06</v>
      </c>
      <c r="E2823">
        <v>777.17</v>
      </c>
      <c r="F2823" s="2">
        <v>2610000000</v>
      </c>
    </row>
    <row r="2824" spans="1:6">
      <c r="A2824" s="32">
        <v>39615</v>
      </c>
      <c r="B2824">
        <v>788.04</v>
      </c>
      <c r="C2824">
        <v>789.18</v>
      </c>
      <c r="D2824">
        <v>782.64</v>
      </c>
      <c r="E2824">
        <v>787.59</v>
      </c>
      <c r="F2824" s="2">
        <v>2650000000</v>
      </c>
    </row>
    <row r="2825" spans="1:6">
      <c r="A2825" s="32">
        <v>39612</v>
      </c>
      <c r="B2825">
        <v>791.22</v>
      </c>
      <c r="C2825">
        <v>795.67</v>
      </c>
      <c r="D2825">
        <v>782.36</v>
      </c>
      <c r="E2825">
        <v>782.64</v>
      </c>
      <c r="F2825" s="2">
        <v>4000000000</v>
      </c>
    </row>
    <row r="2826" spans="1:6">
      <c r="A2826" s="32">
        <v>39611</v>
      </c>
      <c r="B2826">
        <v>785.7</v>
      </c>
      <c r="C2826">
        <v>791.68</v>
      </c>
      <c r="D2826">
        <v>782.91</v>
      </c>
      <c r="E2826">
        <v>790.8</v>
      </c>
      <c r="F2826" s="2">
        <v>6130000000</v>
      </c>
    </row>
    <row r="2827" spans="1:6">
      <c r="A2827" s="32">
        <v>39610</v>
      </c>
      <c r="B2827">
        <v>793.95</v>
      </c>
      <c r="C2827">
        <v>795.54</v>
      </c>
      <c r="D2827">
        <v>786.89</v>
      </c>
      <c r="E2827">
        <v>791.66</v>
      </c>
      <c r="F2827" s="2">
        <v>5110000000</v>
      </c>
    </row>
    <row r="2828" spans="1:6">
      <c r="A2828" s="32">
        <v>39609</v>
      </c>
      <c r="B2828">
        <v>804.68</v>
      </c>
      <c r="C2828">
        <v>807.39</v>
      </c>
      <c r="D2828">
        <v>788.86</v>
      </c>
      <c r="E2828">
        <v>791.94</v>
      </c>
      <c r="F2828" s="2">
        <v>8380000000</v>
      </c>
    </row>
    <row r="2829" spans="1:6">
      <c r="A2829" s="32">
        <v>39608</v>
      </c>
      <c r="B2829">
        <v>811.05</v>
      </c>
      <c r="C2829">
        <v>811.05</v>
      </c>
      <c r="D2829">
        <v>805</v>
      </c>
      <c r="E2829">
        <v>805.58</v>
      </c>
      <c r="F2829" s="2">
        <v>2610000000</v>
      </c>
    </row>
    <row r="2830" spans="1:6">
      <c r="A2830" s="32">
        <v>39605</v>
      </c>
      <c r="B2830">
        <v>816.81</v>
      </c>
      <c r="C2830">
        <v>819.2</v>
      </c>
      <c r="D2830">
        <v>814.3</v>
      </c>
      <c r="E2830">
        <v>817.33</v>
      </c>
      <c r="F2830" s="2">
        <v>4100000000</v>
      </c>
    </row>
    <row r="2831" spans="1:6">
      <c r="A2831" s="32">
        <v>39604</v>
      </c>
      <c r="B2831">
        <v>808.17</v>
      </c>
      <c r="C2831">
        <v>809.82</v>
      </c>
      <c r="D2831">
        <v>799.68</v>
      </c>
      <c r="E2831">
        <v>809.82</v>
      </c>
      <c r="F2831" s="2">
        <v>3730000000</v>
      </c>
    </row>
    <row r="2832" spans="1:6">
      <c r="A2832" s="32">
        <v>39603</v>
      </c>
      <c r="B2832">
        <v>803.61</v>
      </c>
      <c r="C2832">
        <v>815.94</v>
      </c>
      <c r="D2832">
        <v>803.48</v>
      </c>
      <c r="E2832">
        <v>808.92</v>
      </c>
      <c r="F2832" s="2">
        <v>4590000000</v>
      </c>
    </row>
    <row r="2833" spans="1:6">
      <c r="A2833" s="32">
        <v>39602</v>
      </c>
      <c r="B2833">
        <v>809.7</v>
      </c>
      <c r="C2833">
        <v>814.42</v>
      </c>
      <c r="D2833">
        <v>803.52</v>
      </c>
      <c r="E2833">
        <v>806.86</v>
      </c>
      <c r="F2833" s="2">
        <v>3260000000</v>
      </c>
    </row>
    <row r="2834" spans="1:6">
      <c r="A2834" s="32">
        <v>39601</v>
      </c>
      <c r="B2834">
        <v>825.42</v>
      </c>
      <c r="C2834">
        <v>828.78</v>
      </c>
      <c r="D2834">
        <v>809.7</v>
      </c>
      <c r="E2834">
        <v>810.22</v>
      </c>
      <c r="F2834" s="2">
        <v>3670000000</v>
      </c>
    </row>
    <row r="2835" spans="1:6">
      <c r="A2835" s="32">
        <v>39598</v>
      </c>
      <c r="B2835">
        <v>832.85</v>
      </c>
      <c r="C2835">
        <v>842.37</v>
      </c>
      <c r="D2835">
        <v>828.76</v>
      </c>
      <c r="E2835">
        <v>833.65</v>
      </c>
      <c r="F2835" s="2">
        <v>5450000000</v>
      </c>
    </row>
    <row r="2836" spans="1:6">
      <c r="A2836" s="32">
        <v>39597</v>
      </c>
      <c r="B2836">
        <v>837.62</v>
      </c>
      <c r="C2836">
        <v>838.47</v>
      </c>
      <c r="D2836">
        <v>821.1</v>
      </c>
      <c r="E2836">
        <v>830.61</v>
      </c>
      <c r="F2836" s="2">
        <v>6720000000</v>
      </c>
    </row>
    <row r="2837" spans="1:6">
      <c r="A2837" s="32">
        <v>39596</v>
      </c>
      <c r="B2837">
        <v>853.6</v>
      </c>
      <c r="C2837">
        <v>853.6</v>
      </c>
      <c r="D2837">
        <v>832.99</v>
      </c>
      <c r="E2837">
        <v>832.99</v>
      </c>
      <c r="F2837" s="2">
        <v>6980000000</v>
      </c>
    </row>
    <row r="2838" spans="1:6">
      <c r="A2838" s="32">
        <v>39595</v>
      </c>
      <c r="B2838">
        <v>859.12</v>
      </c>
      <c r="C2838">
        <v>859.76</v>
      </c>
      <c r="D2838">
        <v>852.19</v>
      </c>
      <c r="E2838">
        <v>855.6</v>
      </c>
      <c r="F2838" s="2">
        <v>6910000000</v>
      </c>
    </row>
    <row r="2839" spans="1:6">
      <c r="A2839" s="32">
        <v>39594</v>
      </c>
      <c r="B2839">
        <v>867.36</v>
      </c>
      <c r="C2839">
        <v>867.36</v>
      </c>
      <c r="D2839">
        <v>851.65</v>
      </c>
      <c r="E2839">
        <v>856.8</v>
      </c>
      <c r="F2839" s="2">
        <v>5860000000</v>
      </c>
    </row>
    <row r="2840" spans="1:6">
      <c r="A2840" s="32">
        <v>39591</v>
      </c>
      <c r="B2840">
        <v>878.09</v>
      </c>
      <c r="C2840">
        <v>885.35</v>
      </c>
      <c r="D2840">
        <v>875.59</v>
      </c>
      <c r="E2840">
        <v>875.59</v>
      </c>
      <c r="F2840" s="2">
        <v>9200000000</v>
      </c>
    </row>
    <row r="2841" spans="1:6">
      <c r="A2841" s="32">
        <v>39590</v>
      </c>
      <c r="B2841">
        <v>882.68</v>
      </c>
      <c r="C2841">
        <v>886.57</v>
      </c>
      <c r="D2841">
        <v>874.34</v>
      </c>
      <c r="E2841">
        <v>874.54</v>
      </c>
      <c r="F2841" s="2">
        <v>7000000000</v>
      </c>
    </row>
    <row r="2842" spans="1:6">
      <c r="A2842" s="32">
        <v>39589</v>
      </c>
      <c r="B2842">
        <v>870.67</v>
      </c>
      <c r="C2842">
        <v>884.19</v>
      </c>
      <c r="D2842">
        <v>869.65</v>
      </c>
      <c r="E2842">
        <v>884.19</v>
      </c>
      <c r="F2842" s="2">
        <v>5750000000</v>
      </c>
    </row>
    <row r="2843" spans="1:6">
      <c r="A2843" s="32">
        <v>39588</v>
      </c>
      <c r="B2843">
        <v>871.42</v>
      </c>
      <c r="C2843">
        <v>879.69</v>
      </c>
      <c r="D2843">
        <v>870.82</v>
      </c>
      <c r="E2843">
        <v>873.82</v>
      </c>
      <c r="F2843" s="2">
        <v>3190000000</v>
      </c>
    </row>
    <row r="2844" spans="1:6">
      <c r="A2844" s="32">
        <v>39584</v>
      </c>
      <c r="B2844">
        <v>860.65</v>
      </c>
      <c r="C2844">
        <v>872.65</v>
      </c>
      <c r="D2844">
        <v>859.75</v>
      </c>
      <c r="E2844">
        <v>870.33</v>
      </c>
      <c r="F2844" s="2">
        <v>3650000000</v>
      </c>
    </row>
    <row r="2845" spans="1:6">
      <c r="A2845" s="32">
        <v>39583</v>
      </c>
      <c r="B2845">
        <v>853.22</v>
      </c>
      <c r="C2845">
        <v>856</v>
      </c>
      <c r="D2845">
        <v>852.27</v>
      </c>
      <c r="E2845">
        <v>855.61</v>
      </c>
      <c r="F2845" s="2">
        <v>3590000000</v>
      </c>
    </row>
    <row r="2846" spans="1:6">
      <c r="A2846" s="32">
        <v>39582</v>
      </c>
      <c r="B2846">
        <v>842.67</v>
      </c>
      <c r="C2846">
        <v>848.94</v>
      </c>
      <c r="D2846">
        <v>837.92</v>
      </c>
      <c r="E2846">
        <v>848.94</v>
      </c>
      <c r="F2846" s="2">
        <v>3390000000</v>
      </c>
    </row>
    <row r="2847" spans="1:6">
      <c r="A2847" s="32">
        <v>39581</v>
      </c>
      <c r="B2847">
        <v>843.85</v>
      </c>
      <c r="C2847">
        <v>848.48</v>
      </c>
      <c r="D2847">
        <v>837.86</v>
      </c>
      <c r="E2847">
        <v>839.28</v>
      </c>
      <c r="F2847" s="2">
        <v>3680000000</v>
      </c>
    </row>
    <row r="2848" spans="1:6">
      <c r="A2848" s="32">
        <v>39580</v>
      </c>
      <c r="B2848">
        <v>846.87</v>
      </c>
      <c r="C2848">
        <v>847.73</v>
      </c>
      <c r="D2848">
        <v>841.85</v>
      </c>
      <c r="E2848">
        <v>842.22</v>
      </c>
      <c r="F2848" s="2">
        <v>3050000000</v>
      </c>
    </row>
    <row r="2849" spans="1:6">
      <c r="A2849" s="32">
        <v>39577</v>
      </c>
      <c r="B2849">
        <v>850.95</v>
      </c>
      <c r="C2849">
        <v>852.3</v>
      </c>
      <c r="D2849">
        <v>840.59</v>
      </c>
      <c r="E2849">
        <v>846.71</v>
      </c>
      <c r="F2849" s="2">
        <v>2850000000</v>
      </c>
    </row>
    <row r="2850" spans="1:6">
      <c r="A2850" s="32">
        <v>39576</v>
      </c>
      <c r="B2850">
        <v>849.47</v>
      </c>
      <c r="C2850">
        <v>856.81</v>
      </c>
      <c r="D2850">
        <v>846.96</v>
      </c>
      <c r="E2850">
        <v>850.17</v>
      </c>
      <c r="F2850" s="2">
        <v>3690000000</v>
      </c>
    </row>
    <row r="2851" spans="1:6">
      <c r="A2851" s="32">
        <v>39575</v>
      </c>
      <c r="B2851">
        <v>848.46</v>
      </c>
      <c r="C2851">
        <v>852.98</v>
      </c>
      <c r="D2851">
        <v>845.8</v>
      </c>
      <c r="E2851">
        <v>848.71</v>
      </c>
      <c r="F2851" s="2">
        <v>4290000000</v>
      </c>
    </row>
    <row r="2852" spans="1:6">
      <c r="A2852" s="32">
        <v>39574</v>
      </c>
      <c r="B2852">
        <v>845.36</v>
      </c>
      <c r="C2852">
        <v>848.28</v>
      </c>
      <c r="D2852">
        <v>843.28</v>
      </c>
      <c r="E2852">
        <v>845.83</v>
      </c>
      <c r="F2852" s="2">
        <v>4310000000</v>
      </c>
    </row>
    <row r="2853" spans="1:6">
      <c r="A2853" s="32">
        <v>39570</v>
      </c>
      <c r="B2853">
        <v>836.83</v>
      </c>
      <c r="C2853">
        <v>844.41</v>
      </c>
      <c r="D2853">
        <v>836.82</v>
      </c>
      <c r="E2853">
        <v>843.15</v>
      </c>
      <c r="F2853" s="2">
        <v>4240000000</v>
      </c>
    </row>
    <row r="2854" spans="1:6">
      <c r="A2854" s="32">
        <v>39568</v>
      </c>
      <c r="B2854">
        <v>832.74</v>
      </c>
      <c r="C2854">
        <v>834.02</v>
      </c>
      <c r="D2854">
        <v>831.1</v>
      </c>
      <c r="E2854">
        <v>832.45</v>
      </c>
      <c r="F2854" s="2">
        <v>4010000000</v>
      </c>
    </row>
    <row r="2855" spans="1:6">
      <c r="A2855" s="32">
        <v>39567</v>
      </c>
      <c r="B2855">
        <v>839.94</v>
      </c>
      <c r="C2855">
        <v>840.02</v>
      </c>
      <c r="D2855">
        <v>829.21</v>
      </c>
      <c r="E2855">
        <v>833.63</v>
      </c>
      <c r="F2855" s="2">
        <v>5450000000</v>
      </c>
    </row>
    <row r="2856" spans="1:6">
      <c r="A2856" s="32">
        <v>39566</v>
      </c>
      <c r="B2856">
        <v>836.18</v>
      </c>
      <c r="C2856">
        <v>839.51</v>
      </c>
      <c r="D2856">
        <v>833.28</v>
      </c>
      <c r="E2856">
        <v>836.42</v>
      </c>
      <c r="F2856" s="2">
        <v>3530000000</v>
      </c>
    </row>
    <row r="2857" spans="1:6">
      <c r="A2857" s="32">
        <v>39563</v>
      </c>
      <c r="B2857">
        <v>837.5</v>
      </c>
      <c r="C2857">
        <v>838.75</v>
      </c>
      <c r="D2857">
        <v>831.8</v>
      </c>
      <c r="E2857">
        <v>832.19</v>
      </c>
      <c r="F2857" s="2">
        <v>5430000000</v>
      </c>
    </row>
    <row r="2858" spans="1:6">
      <c r="A2858" s="32">
        <v>39562</v>
      </c>
      <c r="B2858">
        <v>839.51</v>
      </c>
      <c r="C2858">
        <v>843.59</v>
      </c>
      <c r="D2858">
        <v>834.31</v>
      </c>
      <c r="E2858">
        <v>834.31</v>
      </c>
      <c r="F2858" s="2">
        <v>5580000000</v>
      </c>
    </row>
    <row r="2859" spans="1:6">
      <c r="A2859" s="32">
        <v>39561</v>
      </c>
      <c r="B2859">
        <v>850.63</v>
      </c>
      <c r="C2859">
        <v>852.45</v>
      </c>
      <c r="D2859">
        <v>837.52</v>
      </c>
      <c r="E2859">
        <v>837.66</v>
      </c>
      <c r="F2859" s="2">
        <v>8480000000</v>
      </c>
    </row>
    <row r="2860" spans="1:6">
      <c r="A2860" s="32">
        <v>39560</v>
      </c>
      <c r="B2860">
        <v>843.62</v>
      </c>
      <c r="C2860">
        <v>850.02</v>
      </c>
      <c r="D2860">
        <v>840.49</v>
      </c>
      <c r="E2860">
        <v>850.02</v>
      </c>
      <c r="F2860" s="2">
        <v>5420000000</v>
      </c>
    </row>
    <row r="2861" spans="1:6">
      <c r="A2861" s="32">
        <v>39559</v>
      </c>
      <c r="B2861">
        <v>852.53</v>
      </c>
      <c r="C2861">
        <v>853.5</v>
      </c>
      <c r="D2861">
        <v>840.36</v>
      </c>
      <c r="E2861">
        <v>841.98</v>
      </c>
      <c r="F2861" s="2">
        <v>6960000000</v>
      </c>
    </row>
    <row r="2862" spans="1:6">
      <c r="A2862" s="32">
        <v>39556</v>
      </c>
      <c r="B2862">
        <v>846.26</v>
      </c>
      <c r="C2862">
        <v>846.67</v>
      </c>
      <c r="D2862">
        <v>839.93</v>
      </c>
      <c r="E2862">
        <v>845.4</v>
      </c>
      <c r="F2862" s="2">
        <v>5840000000</v>
      </c>
    </row>
    <row r="2863" spans="1:6">
      <c r="A2863" s="32">
        <v>39555</v>
      </c>
      <c r="B2863">
        <v>838.54</v>
      </c>
      <c r="C2863">
        <v>847.66</v>
      </c>
      <c r="D2863">
        <v>838.54</v>
      </c>
      <c r="E2863">
        <v>845.43</v>
      </c>
      <c r="F2863" s="2">
        <v>4620000000</v>
      </c>
    </row>
    <row r="2864" spans="1:6">
      <c r="A2864" s="32">
        <v>39554</v>
      </c>
      <c r="B2864">
        <v>827.17</v>
      </c>
      <c r="C2864">
        <v>835.13</v>
      </c>
      <c r="D2864">
        <v>826.08</v>
      </c>
      <c r="E2864">
        <v>833.38</v>
      </c>
      <c r="F2864" s="2">
        <v>2960000000</v>
      </c>
    </row>
    <row r="2865" spans="1:6">
      <c r="A2865" s="32">
        <v>39549</v>
      </c>
      <c r="B2865">
        <v>821.96</v>
      </c>
      <c r="C2865">
        <v>827.5</v>
      </c>
      <c r="D2865">
        <v>821.8</v>
      </c>
      <c r="E2865">
        <v>827.1</v>
      </c>
      <c r="F2865" s="2">
        <v>2930000000</v>
      </c>
    </row>
    <row r="2866" spans="1:6">
      <c r="A2866" s="32">
        <v>39548</v>
      </c>
      <c r="B2866">
        <v>826.25</v>
      </c>
      <c r="C2866">
        <v>826.76</v>
      </c>
      <c r="D2866">
        <v>820.98</v>
      </c>
      <c r="E2866">
        <v>820.98</v>
      </c>
      <c r="F2866" s="2">
        <v>4910000000</v>
      </c>
    </row>
    <row r="2867" spans="1:6">
      <c r="A2867" s="32">
        <v>39547</v>
      </c>
      <c r="B2867">
        <v>829.15</v>
      </c>
      <c r="C2867">
        <v>829.59</v>
      </c>
      <c r="D2867">
        <v>823.05</v>
      </c>
      <c r="E2867">
        <v>826.19</v>
      </c>
      <c r="F2867" s="2">
        <v>5870000000</v>
      </c>
    </row>
    <row r="2868" spans="1:6">
      <c r="A2868" s="32">
        <v>39546</v>
      </c>
      <c r="B2868">
        <v>825.97</v>
      </c>
      <c r="C2868">
        <v>827.84</v>
      </c>
      <c r="D2868">
        <v>824.66</v>
      </c>
      <c r="E2868">
        <v>826.85</v>
      </c>
      <c r="F2868" s="2">
        <v>5320000000</v>
      </c>
    </row>
    <row r="2869" spans="1:6">
      <c r="A2869" s="32">
        <v>39542</v>
      </c>
      <c r="B2869">
        <v>827.79</v>
      </c>
      <c r="C2869">
        <v>829.01</v>
      </c>
      <c r="D2869">
        <v>821.96</v>
      </c>
      <c r="E2869">
        <v>824.8</v>
      </c>
      <c r="F2869" s="2">
        <v>5220000000</v>
      </c>
    </row>
    <row r="2870" spans="1:6">
      <c r="A2870" s="32">
        <v>39541</v>
      </c>
      <c r="B2870">
        <v>824.36</v>
      </c>
      <c r="C2870">
        <v>827.44</v>
      </c>
      <c r="D2870">
        <v>824.08</v>
      </c>
      <c r="E2870">
        <v>826.68</v>
      </c>
      <c r="F2870" s="2">
        <v>5120000000</v>
      </c>
    </row>
    <row r="2871" spans="1:6">
      <c r="A2871" s="32">
        <v>39540</v>
      </c>
      <c r="B2871">
        <v>827.51</v>
      </c>
      <c r="C2871">
        <v>832.04</v>
      </c>
      <c r="D2871">
        <v>825.71</v>
      </c>
      <c r="E2871">
        <v>825.71</v>
      </c>
      <c r="F2871" s="2">
        <v>5880000000</v>
      </c>
    </row>
    <row r="2872" spans="1:6">
      <c r="A2872" s="32">
        <v>39539</v>
      </c>
      <c r="B2872">
        <v>819.71</v>
      </c>
      <c r="C2872">
        <v>823.36</v>
      </c>
      <c r="D2872">
        <v>816.72</v>
      </c>
      <c r="E2872">
        <v>823.36</v>
      </c>
      <c r="F2872" s="2">
        <v>2790000000</v>
      </c>
    </row>
    <row r="2873" spans="1:6">
      <c r="A2873" s="32">
        <v>39538</v>
      </c>
      <c r="B2873">
        <v>825.49</v>
      </c>
      <c r="C2873">
        <v>825.49</v>
      </c>
      <c r="D2873">
        <v>817.03</v>
      </c>
      <c r="E2873">
        <v>817.03</v>
      </c>
      <c r="F2873" s="2">
        <v>2850000000</v>
      </c>
    </row>
    <row r="2874" spans="1:6">
      <c r="A2874" s="32">
        <v>39535</v>
      </c>
      <c r="B2874">
        <v>824.85</v>
      </c>
      <c r="C2874">
        <v>827.24</v>
      </c>
      <c r="D2874">
        <v>820.8</v>
      </c>
      <c r="E2874">
        <v>825.17</v>
      </c>
      <c r="F2874" s="2">
        <v>2960000000</v>
      </c>
    </row>
    <row r="2875" spans="1:6">
      <c r="A2875" s="32">
        <v>39534</v>
      </c>
      <c r="B2875">
        <v>816.48</v>
      </c>
      <c r="C2875">
        <v>825.41</v>
      </c>
      <c r="D2875">
        <v>816.03</v>
      </c>
      <c r="E2875">
        <v>822.96</v>
      </c>
      <c r="F2875" s="2">
        <v>3100000000</v>
      </c>
    </row>
    <row r="2876" spans="1:6">
      <c r="A2876" s="32">
        <v>39533</v>
      </c>
      <c r="B2876">
        <v>820.65</v>
      </c>
      <c r="C2876">
        <v>820.65</v>
      </c>
      <c r="D2876">
        <v>813.3</v>
      </c>
      <c r="E2876">
        <v>817.57</v>
      </c>
      <c r="F2876" s="2">
        <v>3280000000</v>
      </c>
    </row>
    <row r="2877" spans="1:6">
      <c r="A2877" s="32">
        <v>39532</v>
      </c>
      <c r="B2877">
        <v>810.57</v>
      </c>
      <c r="C2877">
        <v>822.58</v>
      </c>
      <c r="D2877">
        <v>808.88</v>
      </c>
      <c r="E2877">
        <v>820.31</v>
      </c>
      <c r="F2877" s="2">
        <v>3280000000</v>
      </c>
    </row>
    <row r="2878" spans="1:6">
      <c r="A2878" s="32">
        <v>39531</v>
      </c>
      <c r="B2878">
        <v>805.46</v>
      </c>
      <c r="C2878">
        <v>807.28</v>
      </c>
      <c r="D2878">
        <v>799.46</v>
      </c>
      <c r="E2878">
        <v>807.28</v>
      </c>
      <c r="F2878" s="2">
        <v>1810000000</v>
      </c>
    </row>
    <row r="2879" spans="1:6">
      <c r="A2879" s="32">
        <v>39528</v>
      </c>
      <c r="B2879">
        <v>800.93</v>
      </c>
      <c r="C2879">
        <v>804.79</v>
      </c>
      <c r="D2879">
        <v>797.05</v>
      </c>
      <c r="E2879">
        <v>803.32</v>
      </c>
      <c r="F2879" s="2">
        <v>3130000000</v>
      </c>
    </row>
    <row r="2880" spans="1:6">
      <c r="A2880" s="32">
        <v>39527</v>
      </c>
      <c r="B2880">
        <v>799.63</v>
      </c>
      <c r="C2880">
        <v>801.64</v>
      </c>
      <c r="D2880">
        <v>796.23</v>
      </c>
      <c r="E2880">
        <v>798.11</v>
      </c>
      <c r="F2880" s="2">
        <v>2510000000</v>
      </c>
    </row>
    <row r="2881" spans="1:6">
      <c r="A2881" s="32">
        <v>39526</v>
      </c>
      <c r="B2881">
        <v>814.29</v>
      </c>
      <c r="C2881">
        <v>818.89</v>
      </c>
      <c r="D2881">
        <v>807.56</v>
      </c>
      <c r="E2881">
        <v>807.67</v>
      </c>
      <c r="F2881" s="2">
        <v>2790000000</v>
      </c>
    </row>
    <row r="2882" spans="1:6">
      <c r="A2882" s="32">
        <v>39525</v>
      </c>
      <c r="B2882">
        <v>801.5</v>
      </c>
      <c r="C2882">
        <v>812.32</v>
      </c>
      <c r="D2882">
        <v>798.91</v>
      </c>
      <c r="E2882">
        <v>812.32</v>
      </c>
      <c r="F2882" s="2">
        <v>2280000000</v>
      </c>
    </row>
    <row r="2883" spans="1:6">
      <c r="A2883" s="32">
        <v>39524</v>
      </c>
      <c r="B2883">
        <v>807.59</v>
      </c>
      <c r="C2883">
        <v>809.93</v>
      </c>
      <c r="D2883">
        <v>805.68</v>
      </c>
      <c r="E2883">
        <v>806.74</v>
      </c>
      <c r="F2883" s="2">
        <v>3300000000</v>
      </c>
    </row>
    <row r="2884" spans="1:6">
      <c r="A2884" s="32">
        <v>39521</v>
      </c>
      <c r="B2884">
        <v>818.93</v>
      </c>
      <c r="C2884">
        <v>822.06</v>
      </c>
      <c r="D2884">
        <v>816.18</v>
      </c>
      <c r="E2884">
        <v>818.04</v>
      </c>
      <c r="F2884" s="2">
        <v>3090000000</v>
      </c>
    </row>
    <row r="2885" spans="1:6">
      <c r="A2885" s="32">
        <v>39520</v>
      </c>
      <c r="B2885">
        <v>826.17</v>
      </c>
      <c r="C2885">
        <v>827.1</v>
      </c>
      <c r="D2885">
        <v>814.31</v>
      </c>
      <c r="E2885">
        <v>814.31</v>
      </c>
      <c r="F2885" s="2">
        <v>4560000000</v>
      </c>
    </row>
    <row r="2886" spans="1:6">
      <c r="A2886" s="32">
        <v>39519</v>
      </c>
      <c r="B2886">
        <v>825.82</v>
      </c>
      <c r="C2886">
        <v>833.12</v>
      </c>
      <c r="D2886">
        <v>825.53</v>
      </c>
      <c r="E2886">
        <v>827</v>
      </c>
      <c r="F2886" s="2">
        <v>3560000000</v>
      </c>
    </row>
    <row r="2887" spans="1:6">
      <c r="A2887" s="32">
        <v>39518</v>
      </c>
      <c r="B2887">
        <v>805.48</v>
      </c>
      <c r="C2887">
        <v>820.77</v>
      </c>
      <c r="D2887">
        <v>805.48</v>
      </c>
      <c r="E2887">
        <v>819.83</v>
      </c>
      <c r="F2887" s="2">
        <v>2370000000</v>
      </c>
    </row>
    <row r="2888" spans="1:6">
      <c r="A2888" s="32">
        <v>39517</v>
      </c>
      <c r="B2888">
        <v>813.2</v>
      </c>
      <c r="C2888">
        <v>815.18</v>
      </c>
      <c r="D2888">
        <v>805.68</v>
      </c>
      <c r="E2888">
        <v>806.65</v>
      </c>
      <c r="F2888" s="2">
        <v>1870000000</v>
      </c>
    </row>
    <row r="2889" spans="1:6">
      <c r="A2889" s="32">
        <v>39514</v>
      </c>
      <c r="B2889">
        <v>824.93</v>
      </c>
      <c r="C2889">
        <v>824.93</v>
      </c>
      <c r="D2889">
        <v>816.42</v>
      </c>
      <c r="E2889">
        <v>821.57</v>
      </c>
      <c r="F2889" s="2">
        <v>3120000000</v>
      </c>
    </row>
    <row r="2890" spans="1:6">
      <c r="A2890" s="32">
        <v>39513</v>
      </c>
      <c r="B2890">
        <v>831.11</v>
      </c>
      <c r="C2890">
        <v>833.41</v>
      </c>
      <c r="D2890">
        <v>827.55</v>
      </c>
      <c r="E2890">
        <v>827.71</v>
      </c>
      <c r="F2890" s="2">
        <v>2950000000</v>
      </c>
    </row>
    <row r="2891" spans="1:6">
      <c r="A2891" s="32">
        <v>39512</v>
      </c>
      <c r="B2891">
        <v>830.73</v>
      </c>
      <c r="C2891">
        <v>830.73</v>
      </c>
      <c r="D2891">
        <v>823.76</v>
      </c>
      <c r="E2891">
        <v>824.98</v>
      </c>
      <c r="F2891" s="2">
        <v>3600000000</v>
      </c>
    </row>
    <row r="2892" spans="1:6">
      <c r="A2892" s="32">
        <v>39511</v>
      </c>
      <c r="B2892">
        <v>845.86</v>
      </c>
      <c r="C2892">
        <v>849.91</v>
      </c>
      <c r="D2892">
        <v>831.26</v>
      </c>
      <c r="E2892">
        <v>831.41</v>
      </c>
      <c r="F2892" s="2">
        <v>3400000000</v>
      </c>
    </row>
    <row r="2893" spans="1:6">
      <c r="A2893" s="32">
        <v>39510</v>
      </c>
      <c r="B2893">
        <v>843.37</v>
      </c>
      <c r="C2893">
        <v>849.49</v>
      </c>
      <c r="D2893">
        <v>842</v>
      </c>
      <c r="E2893">
        <v>842.92</v>
      </c>
      <c r="F2893" s="2">
        <v>4530000000</v>
      </c>
    </row>
    <row r="2894" spans="1:6">
      <c r="A2894" s="32">
        <v>39507</v>
      </c>
      <c r="B2894">
        <v>839.9</v>
      </c>
      <c r="C2894">
        <v>850.18</v>
      </c>
      <c r="D2894">
        <v>836.3</v>
      </c>
      <c r="E2894">
        <v>845.76</v>
      </c>
      <c r="F2894" s="2">
        <v>3430000000</v>
      </c>
    </row>
    <row r="2895" spans="1:6">
      <c r="A2895" s="32">
        <v>39506</v>
      </c>
      <c r="B2895">
        <v>832.68</v>
      </c>
      <c r="C2895">
        <v>842.12</v>
      </c>
      <c r="D2895">
        <v>831</v>
      </c>
      <c r="E2895">
        <v>842.12</v>
      </c>
      <c r="F2895" s="2">
        <v>2820000000</v>
      </c>
    </row>
    <row r="2896" spans="1:6">
      <c r="A2896" s="32">
        <v>39505</v>
      </c>
      <c r="B2896">
        <v>839.49</v>
      </c>
      <c r="C2896">
        <v>840.09</v>
      </c>
      <c r="D2896">
        <v>832.04</v>
      </c>
      <c r="E2896">
        <v>832.04</v>
      </c>
      <c r="F2896" s="2">
        <v>2620000000</v>
      </c>
    </row>
    <row r="2897" spans="1:6">
      <c r="A2897" s="32">
        <v>39504</v>
      </c>
      <c r="B2897">
        <v>845.95</v>
      </c>
      <c r="C2897">
        <v>846.4</v>
      </c>
      <c r="D2897">
        <v>824.62</v>
      </c>
      <c r="E2897">
        <v>834.67</v>
      </c>
      <c r="F2897" s="2">
        <v>3400000000</v>
      </c>
    </row>
    <row r="2898" spans="1:6">
      <c r="A2898" s="32">
        <v>39503</v>
      </c>
      <c r="B2898">
        <v>834.73</v>
      </c>
      <c r="C2898">
        <v>840.23</v>
      </c>
      <c r="D2898">
        <v>834.2</v>
      </c>
      <c r="E2898">
        <v>838.74</v>
      </c>
      <c r="F2898" s="2">
        <v>2610000000</v>
      </c>
    </row>
    <row r="2899" spans="1:6">
      <c r="A2899" s="32">
        <v>39500</v>
      </c>
      <c r="B2899">
        <v>822.38</v>
      </c>
      <c r="C2899">
        <v>828.77</v>
      </c>
      <c r="D2899">
        <v>821.39</v>
      </c>
      <c r="E2899">
        <v>826.86</v>
      </c>
      <c r="F2899" s="2">
        <v>1570000000</v>
      </c>
    </row>
    <row r="2900" spans="1:6">
      <c r="A2900" s="32">
        <v>39498</v>
      </c>
      <c r="B2900">
        <v>841.14</v>
      </c>
      <c r="C2900">
        <v>841.14</v>
      </c>
      <c r="D2900">
        <v>822.55</v>
      </c>
      <c r="E2900">
        <v>827.13</v>
      </c>
      <c r="F2900" s="2">
        <v>2220000000</v>
      </c>
    </row>
    <row r="2901" spans="1:6">
      <c r="A2901" s="32">
        <v>39497</v>
      </c>
      <c r="B2901">
        <v>829.64</v>
      </c>
      <c r="C2901">
        <v>839.44</v>
      </c>
      <c r="D2901">
        <v>829.64</v>
      </c>
      <c r="E2901">
        <v>835.62</v>
      </c>
      <c r="F2901" s="2">
        <v>2540000000</v>
      </c>
    </row>
    <row r="2902" spans="1:6">
      <c r="A2902" s="32">
        <v>39496</v>
      </c>
      <c r="B2902">
        <v>830.69</v>
      </c>
      <c r="C2902">
        <v>830.79</v>
      </c>
      <c r="D2902">
        <v>821.85</v>
      </c>
      <c r="E2902">
        <v>824.99</v>
      </c>
      <c r="F2902" s="2">
        <v>2200000000</v>
      </c>
    </row>
    <row r="2903" spans="1:6">
      <c r="A2903" s="32">
        <v>39493</v>
      </c>
      <c r="B2903">
        <v>823.48</v>
      </c>
      <c r="C2903">
        <v>829.16</v>
      </c>
      <c r="D2903">
        <v>816.63</v>
      </c>
      <c r="E2903">
        <v>826.65</v>
      </c>
      <c r="F2903" s="2">
        <v>3690000000</v>
      </c>
    </row>
    <row r="2904" spans="1:6">
      <c r="A2904" s="32">
        <v>39492</v>
      </c>
      <c r="B2904">
        <v>839.34</v>
      </c>
      <c r="C2904">
        <v>844.83</v>
      </c>
      <c r="D2904">
        <v>829.52</v>
      </c>
      <c r="E2904">
        <v>832.11</v>
      </c>
      <c r="F2904" s="2">
        <v>3580000000</v>
      </c>
    </row>
    <row r="2905" spans="1:6">
      <c r="A2905" s="32">
        <v>39491</v>
      </c>
      <c r="B2905">
        <v>823.24</v>
      </c>
      <c r="C2905">
        <v>830.47</v>
      </c>
      <c r="D2905">
        <v>820.87</v>
      </c>
      <c r="E2905">
        <v>829.41</v>
      </c>
      <c r="F2905" s="2">
        <v>3710000000</v>
      </c>
    </row>
    <row r="2906" spans="1:6">
      <c r="A2906" s="32">
        <v>39490</v>
      </c>
      <c r="B2906">
        <v>810.6</v>
      </c>
      <c r="C2906">
        <v>820.54</v>
      </c>
      <c r="D2906">
        <v>807.84</v>
      </c>
      <c r="E2906">
        <v>817.49</v>
      </c>
      <c r="F2906" s="2">
        <v>3650000000</v>
      </c>
    </row>
    <row r="2907" spans="1:6">
      <c r="A2907" s="32">
        <v>39489</v>
      </c>
      <c r="B2907">
        <v>811.04</v>
      </c>
      <c r="C2907">
        <v>813.82</v>
      </c>
      <c r="D2907">
        <v>802.79</v>
      </c>
      <c r="E2907">
        <v>804.15</v>
      </c>
      <c r="F2907" s="2">
        <v>2850000000</v>
      </c>
    </row>
    <row r="2908" spans="1:6">
      <c r="A2908" s="32">
        <v>39486</v>
      </c>
      <c r="B2908">
        <v>795.86</v>
      </c>
      <c r="C2908">
        <v>806.47</v>
      </c>
      <c r="D2908">
        <v>795.86</v>
      </c>
      <c r="E2908">
        <v>806.44</v>
      </c>
      <c r="F2908" s="2">
        <v>3250000000</v>
      </c>
    </row>
    <row r="2909" spans="1:6">
      <c r="A2909" s="32">
        <v>39485</v>
      </c>
      <c r="B2909">
        <v>794.46</v>
      </c>
      <c r="C2909">
        <v>796.96</v>
      </c>
      <c r="D2909">
        <v>790.12</v>
      </c>
      <c r="E2909">
        <v>793.17</v>
      </c>
      <c r="F2909" s="2">
        <v>1920000000</v>
      </c>
    </row>
    <row r="2910" spans="1:6">
      <c r="A2910" s="32">
        <v>39484</v>
      </c>
      <c r="B2910">
        <v>792.28</v>
      </c>
      <c r="C2910">
        <v>796.21</v>
      </c>
      <c r="D2910">
        <v>787.87</v>
      </c>
      <c r="E2910">
        <v>794.63</v>
      </c>
      <c r="F2910" s="2">
        <v>2740000000</v>
      </c>
    </row>
    <row r="2911" spans="1:6">
      <c r="A2911" s="32">
        <v>39483</v>
      </c>
      <c r="B2911">
        <v>805.84</v>
      </c>
      <c r="C2911">
        <v>815.56</v>
      </c>
      <c r="D2911">
        <v>804.47</v>
      </c>
      <c r="E2911">
        <v>807.68</v>
      </c>
      <c r="F2911" s="2">
        <v>3780000000</v>
      </c>
    </row>
    <row r="2912" spans="1:6">
      <c r="A2912" s="32">
        <v>39482</v>
      </c>
      <c r="B2912">
        <v>825.02</v>
      </c>
      <c r="C2912">
        <v>828.79</v>
      </c>
      <c r="D2912">
        <v>809.64</v>
      </c>
      <c r="E2912">
        <v>811.56</v>
      </c>
      <c r="F2912" s="2">
        <v>4120000000</v>
      </c>
    </row>
    <row r="2913" spans="1:6">
      <c r="A2913" s="32">
        <v>39479</v>
      </c>
      <c r="B2913">
        <v>797.91</v>
      </c>
      <c r="C2913">
        <v>811.39</v>
      </c>
      <c r="D2913">
        <v>794.36</v>
      </c>
      <c r="E2913">
        <v>810.86</v>
      </c>
      <c r="F2913" s="2">
        <v>6540000000</v>
      </c>
    </row>
    <row r="2914" spans="1:6">
      <c r="A2914" s="32">
        <v>39478</v>
      </c>
      <c r="B2914">
        <v>764.53</v>
      </c>
      <c r="C2914">
        <v>787.74</v>
      </c>
      <c r="D2914">
        <v>760.75</v>
      </c>
      <c r="E2914">
        <v>784.23</v>
      </c>
      <c r="F2914" s="2">
        <v>3340000000</v>
      </c>
    </row>
    <row r="2915" spans="1:6">
      <c r="A2915" s="32">
        <v>39477</v>
      </c>
      <c r="B2915">
        <v>759.61</v>
      </c>
      <c r="C2915">
        <v>766.39</v>
      </c>
      <c r="D2915">
        <v>751.53</v>
      </c>
      <c r="E2915">
        <v>763.48</v>
      </c>
      <c r="F2915" s="2">
        <v>1990000000</v>
      </c>
    </row>
    <row r="2916" spans="1:6">
      <c r="A2916" s="32">
        <v>39476</v>
      </c>
      <c r="B2916">
        <v>753.95</v>
      </c>
      <c r="C2916">
        <v>756.87</v>
      </c>
      <c r="D2916">
        <v>749.39</v>
      </c>
      <c r="E2916">
        <v>754.87</v>
      </c>
      <c r="F2916" s="2">
        <v>1540000000</v>
      </c>
    </row>
    <row r="2917" spans="1:6">
      <c r="A2917" s="32">
        <v>39475</v>
      </c>
      <c r="B2917">
        <v>753.04</v>
      </c>
      <c r="C2917">
        <v>753.04</v>
      </c>
      <c r="D2917">
        <v>740.34</v>
      </c>
      <c r="E2917">
        <v>744.36</v>
      </c>
      <c r="F2917" s="2">
        <v>1310000000</v>
      </c>
    </row>
    <row r="2918" spans="1:6">
      <c r="A2918" s="32">
        <v>39472</v>
      </c>
      <c r="B2918">
        <v>741.2</v>
      </c>
      <c r="C2918">
        <v>762.82</v>
      </c>
      <c r="D2918">
        <v>738.38</v>
      </c>
      <c r="E2918">
        <v>759.72</v>
      </c>
      <c r="F2918" s="2">
        <v>2230000000</v>
      </c>
    </row>
    <row r="2919" spans="1:6">
      <c r="A2919" s="32">
        <v>39471</v>
      </c>
      <c r="B2919">
        <v>743.71</v>
      </c>
      <c r="C2919">
        <v>750.01</v>
      </c>
      <c r="D2919">
        <v>728.58</v>
      </c>
      <c r="E2919">
        <v>728.58</v>
      </c>
      <c r="F2919" s="2">
        <v>2980000000</v>
      </c>
    </row>
    <row r="2920" spans="1:6">
      <c r="A2920" s="32">
        <v>39470</v>
      </c>
      <c r="B2920">
        <v>759.43</v>
      </c>
      <c r="C2920">
        <v>759.82</v>
      </c>
      <c r="D2920">
        <v>739.47</v>
      </c>
      <c r="E2920">
        <v>740.65</v>
      </c>
      <c r="F2920" s="2">
        <v>2560000000</v>
      </c>
    </row>
    <row r="2921" spans="1:6">
      <c r="A2921" s="32">
        <v>39469</v>
      </c>
      <c r="B2921">
        <v>747.18</v>
      </c>
      <c r="C2921">
        <v>754.16</v>
      </c>
      <c r="D2921">
        <v>730.69</v>
      </c>
      <c r="E2921">
        <v>741.54</v>
      </c>
      <c r="F2921" s="2">
        <v>2180000000</v>
      </c>
    </row>
    <row r="2922" spans="1:6">
      <c r="A2922" s="32">
        <v>39468</v>
      </c>
      <c r="B2922">
        <v>791.15</v>
      </c>
      <c r="C2922">
        <v>802.77</v>
      </c>
      <c r="D2922">
        <v>766.53</v>
      </c>
      <c r="E2922">
        <v>766.53</v>
      </c>
      <c r="F2922" s="2">
        <v>2300000000</v>
      </c>
    </row>
    <row r="2923" spans="1:6">
      <c r="A2923" s="32">
        <v>39465</v>
      </c>
      <c r="B2923">
        <v>778.51</v>
      </c>
      <c r="C2923">
        <v>795.2</v>
      </c>
      <c r="D2923">
        <v>778.51</v>
      </c>
      <c r="E2923">
        <v>789.67</v>
      </c>
      <c r="F2923" s="2">
        <v>2000000000</v>
      </c>
    </row>
    <row r="2924" spans="1:6">
      <c r="A2924" s="32">
        <v>39464</v>
      </c>
      <c r="B2924">
        <v>772.89</v>
      </c>
      <c r="C2924">
        <v>794.27</v>
      </c>
      <c r="D2924">
        <v>771.48</v>
      </c>
      <c r="E2924">
        <v>791.25</v>
      </c>
      <c r="F2924" s="2">
        <v>2010000000</v>
      </c>
    </row>
    <row r="2925" spans="1:6">
      <c r="A2925" s="32">
        <v>39463</v>
      </c>
      <c r="B2925">
        <v>762.78</v>
      </c>
      <c r="C2925">
        <v>773.8</v>
      </c>
      <c r="D2925">
        <v>757.65</v>
      </c>
      <c r="E2925">
        <v>773.8</v>
      </c>
      <c r="F2925" s="2">
        <v>1680000000</v>
      </c>
    </row>
    <row r="2926" spans="1:6">
      <c r="A2926" s="32">
        <v>39462</v>
      </c>
      <c r="B2926">
        <v>796.66</v>
      </c>
      <c r="C2926">
        <v>798.54</v>
      </c>
      <c r="D2926">
        <v>776.99</v>
      </c>
      <c r="E2926">
        <v>779.79</v>
      </c>
      <c r="F2926" s="2">
        <v>1590000000</v>
      </c>
    </row>
    <row r="2927" spans="1:6">
      <c r="A2927" s="32">
        <v>39461</v>
      </c>
      <c r="B2927">
        <v>792.16</v>
      </c>
      <c r="C2927">
        <v>794.29</v>
      </c>
      <c r="D2927">
        <v>786.7</v>
      </c>
      <c r="E2927">
        <v>791.15</v>
      </c>
      <c r="F2927" s="2">
        <v>1160000000</v>
      </c>
    </row>
    <row r="2928" spans="1:6">
      <c r="A2928" s="32">
        <v>39458</v>
      </c>
      <c r="B2928">
        <v>804.14</v>
      </c>
      <c r="C2928">
        <v>807.86</v>
      </c>
      <c r="D2928">
        <v>796.47</v>
      </c>
      <c r="E2928">
        <v>796.47</v>
      </c>
      <c r="F2928" s="2">
        <v>1810000000</v>
      </c>
    </row>
    <row r="2929" spans="1:6">
      <c r="A2929" s="32">
        <v>39457</v>
      </c>
      <c r="B2929">
        <v>817</v>
      </c>
      <c r="C2929">
        <v>817.86</v>
      </c>
      <c r="D2929">
        <v>800.18</v>
      </c>
      <c r="E2929">
        <v>800.18</v>
      </c>
      <c r="F2929" s="2">
        <v>1690000000</v>
      </c>
    </row>
    <row r="2930" spans="1:6">
      <c r="A2930" s="32">
        <v>39456</v>
      </c>
      <c r="B2930">
        <v>805.12</v>
      </c>
      <c r="C2930">
        <v>820.47</v>
      </c>
      <c r="D2930">
        <v>802.39</v>
      </c>
      <c r="E2930">
        <v>820.47</v>
      </c>
      <c r="F2930" s="2">
        <v>1860000000</v>
      </c>
    </row>
    <row r="2931" spans="1:6">
      <c r="A2931" s="32">
        <v>39455</v>
      </c>
      <c r="B2931">
        <v>813.56</v>
      </c>
      <c r="C2931">
        <v>814.85</v>
      </c>
      <c r="D2931">
        <v>805.71</v>
      </c>
      <c r="E2931">
        <v>811.69</v>
      </c>
      <c r="F2931" s="2">
        <v>1750000000</v>
      </c>
    </row>
    <row r="2932" spans="1:6">
      <c r="A2932" s="32">
        <v>39454</v>
      </c>
      <c r="B2932">
        <v>812.88</v>
      </c>
      <c r="C2932">
        <v>814.41</v>
      </c>
      <c r="D2932">
        <v>805.7</v>
      </c>
      <c r="E2932">
        <v>808.31</v>
      </c>
      <c r="F2932" s="2">
        <v>1750000000</v>
      </c>
    </row>
    <row r="2933" spans="1:6">
      <c r="A2933" s="32">
        <v>39451</v>
      </c>
      <c r="B2933">
        <v>830.66</v>
      </c>
      <c r="C2933">
        <v>839.58</v>
      </c>
      <c r="D2933">
        <v>821.71</v>
      </c>
      <c r="E2933">
        <v>821.71</v>
      </c>
      <c r="F2933" s="2">
        <v>2240000000</v>
      </c>
    </row>
    <row r="2934" spans="1:6">
      <c r="A2934" s="32">
        <v>39450</v>
      </c>
      <c r="B2934">
        <v>835.01</v>
      </c>
      <c r="C2934">
        <v>836.43</v>
      </c>
      <c r="D2934">
        <v>829.06</v>
      </c>
      <c r="E2934">
        <v>832.63</v>
      </c>
      <c r="F2934" s="2">
        <v>2200000000</v>
      </c>
    </row>
    <row r="2935" spans="1:6">
      <c r="A2935" s="32">
        <v>39449</v>
      </c>
      <c r="B2935">
        <v>858.74</v>
      </c>
      <c r="C2935">
        <v>860.69</v>
      </c>
      <c r="D2935">
        <v>842.97</v>
      </c>
      <c r="E2935">
        <v>842.97</v>
      </c>
      <c r="F2935" s="2">
        <v>1690000000</v>
      </c>
    </row>
    <row r="2936" spans="1:6">
      <c r="A2936" s="32">
        <v>39444</v>
      </c>
      <c r="B2936">
        <v>847.32</v>
      </c>
      <c r="C2936">
        <v>859.8</v>
      </c>
      <c r="D2936">
        <v>846.45</v>
      </c>
      <c r="E2936">
        <v>858.1</v>
      </c>
      <c r="F2936" s="2">
        <v>2480000000</v>
      </c>
    </row>
    <row r="2937" spans="1:6">
      <c r="A2937" s="32">
        <v>39443</v>
      </c>
      <c r="B2937">
        <v>844.57</v>
      </c>
      <c r="C2937">
        <v>852.22</v>
      </c>
      <c r="D2937">
        <v>837.47</v>
      </c>
      <c r="E2937">
        <v>852.06</v>
      </c>
      <c r="F2937" s="2">
        <v>2030000000</v>
      </c>
    </row>
    <row r="2938" spans="1:6">
      <c r="A2938" s="32">
        <v>39442</v>
      </c>
      <c r="B2938">
        <v>846.46</v>
      </c>
      <c r="C2938">
        <v>848.8</v>
      </c>
      <c r="D2938">
        <v>836.84</v>
      </c>
      <c r="E2938">
        <v>841.2</v>
      </c>
      <c r="F2938" s="2">
        <v>2130000000</v>
      </c>
    </row>
    <row r="2939" spans="1:6">
      <c r="A2939" s="32">
        <v>39441</v>
      </c>
      <c r="B2939">
        <v>821.27</v>
      </c>
      <c r="C2939">
        <v>843.35</v>
      </c>
      <c r="D2939">
        <v>817.69</v>
      </c>
      <c r="E2939">
        <v>843.28</v>
      </c>
      <c r="F2939" s="2">
        <v>3860000000</v>
      </c>
    </row>
    <row r="2940" spans="1:6">
      <c r="A2940" s="32">
        <v>39437</v>
      </c>
      <c r="B2940">
        <v>795.62</v>
      </c>
      <c r="C2940">
        <v>813.6</v>
      </c>
      <c r="D2940">
        <v>795.16</v>
      </c>
      <c r="E2940">
        <v>813.6</v>
      </c>
      <c r="F2940" s="2">
        <v>1820000000</v>
      </c>
    </row>
    <row r="2941" spans="1:6">
      <c r="A2941" s="32">
        <v>39436</v>
      </c>
      <c r="B2941">
        <v>805.86</v>
      </c>
      <c r="C2941">
        <v>807.38</v>
      </c>
      <c r="D2941">
        <v>790.87</v>
      </c>
      <c r="E2941">
        <v>791.71</v>
      </c>
      <c r="F2941" s="2">
        <v>1510000000</v>
      </c>
    </row>
    <row r="2942" spans="1:6">
      <c r="A2942" s="32">
        <v>39435</v>
      </c>
      <c r="B2942">
        <v>818.03</v>
      </c>
      <c r="C2942">
        <v>819.32</v>
      </c>
      <c r="D2942">
        <v>802.59</v>
      </c>
      <c r="E2942">
        <v>804.98</v>
      </c>
      <c r="F2942" s="2">
        <v>1600000000</v>
      </c>
    </row>
    <row r="2943" spans="1:6">
      <c r="A2943" s="32">
        <v>39434</v>
      </c>
      <c r="B2943">
        <v>815.08</v>
      </c>
      <c r="C2943">
        <v>824.62</v>
      </c>
      <c r="D2943">
        <v>813.36</v>
      </c>
      <c r="E2943">
        <v>813.9</v>
      </c>
      <c r="F2943" s="2">
        <v>1400000000</v>
      </c>
    </row>
    <row r="2944" spans="1:6">
      <c r="A2944" s="32">
        <v>39433</v>
      </c>
      <c r="B2944">
        <v>834.18</v>
      </c>
      <c r="C2944">
        <v>834.18</v>
      </c>
      <c r="D2944">
        <v>817.62</v>
      </c>
      <c r="E2944">
        <v>817.62</v>
      </c>
      <c r="F2944" s="2">
        <v>1440000000</v>
      </c>
    </row>
    <row r="2945" spans="1:6">
      <c r="A2945" s="32">
        <v>39430</v>
      </c>
      <c r="B2945">
        <v>834.16</v>
      </c>
      <c r="C2945">
        <v>843.99</v>
      </c>
      <c r="D2945">
        <v>834.12</v>
      </c>
      <c r="E2945">
        <v>836.4</v>
      </c>
      <c r="F2945" s="2">
        <v>1620000000</v>
      </c>
    </row>
    <row r="2946" spans="1:6">
      <c r="A2946" s="32">
        <v>39429</v>
      </c>
      <c r="B2946">
        <v>831.3</v>
      </c>
      <c r="C2946">
        <v>837.03</v>
      </c>
      <c r="D2946">
        <v>826.68</v>
      </c>
      <c r="E2946">
        <v>833.09</v>
      </c>
      <c r="F2946" s="2">
        <v>1740000000</v>
      </c>
    </row>
    <row r="2947" spans="1:6">
      <c r="A2947" s="32">
        <v>39428</v>
      </c>
      <c r="B2947">
        <v>832.49</v>
      </c>
      <c r="C2947">
        <v>834.67</v>
      </c>
      <c r="D2947">
        <v>829.8</v>
      </c>
      <c r="E2947">
        <v>834.09</v>
      </c>
      <c r="F2947" s="2">
        <v>1290000000</v>
      </c>
    </row>
    <row r="2948" spans="1:6">
      <c r="A2948" s="32">
        <v>39427</v>
      </c>
      <c r="B2948">
        <v>844.15</v>
      </c>
      <c r="C2948">
        <v>844.15</v>
      </c>
      <c r="D2948">
        <v>834.15</v>
      </c>
      <c r="E2948">
        <v>840.45</v>
      </c>
      <c r="F2948" s="2">
        <v>1130000000</v>
      </c>
    </row>
    <row r="2949" spans="1:6">
      <c r="A2949" s="32">
        <v>39423</v>
      </c>
      <c r="B2949">
        <v>854.93</v>
      </c>
      <c r="C2949">
        <v>855.58</v>
      </c>
      <c r="D2949">
        <v>838.62</v>
      </c>
      <c r="E2949">
        <v>841.39</v>
      </c>
      <c r="F2949" s="2">
        <v>1410000000</v>
      </c>
    </row>
    <row r="2950" spans="1:6">
      <c r="A2950" s="32">
        <v>39422</v>
      </c>
      <c r="B2950">
        <v>840.85</v>
      </c>
      <c r="C2950">
        <v>848.11</v>
      </c>
      <c r="D2950">
        <v>838.76</v>
      </c>
      <c r="E2950">
        <v>845.19</v>
      </c>
      <c r="F2950" s="2">
        <v>1610000000</v>
      </c>
    </row>
    <row r="2951" spans="1:6">
      <c r="A2951" s="32">
        <v>39420</v>
      </c>
      <c r="B2951">
        <v>830.43</v>
      </c>
      <c r="C2951">
        <v>834.15</v>
      </c>
      <c r="D2951">
        <v>823.94</v>
      </c>
      <c r="E2951">
        <v>833.34</v>
      </c>
      <c r="F2951" s="2">
        <v>1600000000</v>
      </c>
    </row>
    <row r="2952" spans="1:6">
      <c r="A2952" s="32">
        <v>39419</v>
      </c>
      <c r="B2952">
        <v>846.66</v>
      </c>
      <c r="C2952">
        <v>850.36</v>
      </c>
      <c r="D2952">
        <v>830.94</v>
      </c>
      <c r="E2952">
        <v>831.12</v>
      </c>
      <c r="F2952" s="2">
        <v>1420000000</v>
      </c>
    </row>
    <row r="2953" spans="1:6">
      <c r="A2953" s="32">
        <v>39416</v>
      </c>
      <c r="B2953">
        <v>845.29</v>
      </c>
      <c r="C2953">
        <v>851.39</v>
      </c>
      <c r="D2953">
        <v>838.85</v>
      </c>
      <c r="E2953">
        <v>846.44</v>
      </c>
      <c r="F2953" s="2">
        <v>2110000000</v>
      </c>
    </row>
    <row r="2954" spans="1:6">
      <c r="A2954" s="32">
        <v>39415</v>
      </c>
      <c r="B2954">
        <v>832.16</v>
      </c>
      <c r="C2954">
        <v>844.8</v>
      </c>
      <c r="D2954">
        <v>832.01</v>
      </c>
      <c r="E2954">
        <v>844.8</v>
      </c>
      <c r="F2954" s="2">
        <v>2540000000</v>
      </c>
    </row>
    <row r="2955" spans="1:6">
      <c r="A2955" s="32">
        <v>39414</v>
      </c>
      <c r="B2955">
        <v>824.02</v>
      </c>
      <c r="C2955">
        <v>830.49</v>
      </c>
      <c r="D2955">
        <v>820.52</v>
      </c>
      <c r="E2955">
        <v>820.52</v>
      </c>
      <c r="F2955" s="2">
        <v>1840000000</v>
      </c>
    </row>
    <row r="2956" spans="1:6">
      <c r="A2956" s="32">
        <v>39413</v>
      </c>
      <c r="B2956">
        <v>824.51</v>
      </c>
      <c r="C2956">
        <v>827.29</v>
      </c>
      <c r="D2956">
        <v>820.9</v>
      </c>
      <c r="E2956">
        <v>822.99</v>
      </c>
      <c r="F2956" s="2">
        <v>1360000000</v>
      </c>
    </row>
    <row r="2957" spans="1:6">
      <c r="A2957" s="32">
        <v>39412</v>
      </c>
      <c r="B2957">
        <v>830.13</v>
      </c>
      <c r="C2957">
        <v>836.96</v>
      </c>
      <c r="D2957">
        <v>829.32</v>
      </c>
      <c r="E2957">
        <v>832.78</v>
      </c>
      <c r="F2957" s="2">
        <v>1810000000</v>
      </c>
    </row>
    <row r="2958" spans="1:6">
      <c r="A2958" s="32">
        <v>39409</v>
      </c>
      <c r="B2958">
        <v>813.43</v>
      </c>
      <c r="C2958">
        <v>825.49</v>
      </c>
      <c r="D2958">
        <v>807.38</v>
      </c>
      <c r="E2958">
        <v>824.25</v>
      </c>
      <c r="F2958" s="2">
        <v>2220000000</v>
      </c>
    </row>
    <row r="2959" spans="1:6">
      <c r="A2959" s="32">
        <v>39408</v>
      </c>
      <c r="B2959">
        <v>808</v>
      </c>
      <c r="C2959">
        <v>816.54</v>
      </c>
      <c r="D2959">
        <v>796.94</v>
      </c>
      <c r="E2959">
        <v>808.82</v>
      </c>
      <c r="F2959" s="2">
        <v>1890000000</v>
      </c>
    </row>
    <row r="2960" spans="1:6">
      <c r="A2960" s="32">
        <v>39407</v>
      </c>
      <c r="B2960">
        <v>821.27</v>
      </c>
      <c r="C2960">
        <v>828.66</v>
      </c>
      <c r="D2960">
        <v>807.58</v>
      </c>
      <c r="E2960">
        <v>807.58</v>
      </c>
      <c r="F2960" s="2">
        <v>2080000000</v>
      </c>
    </row>
    <row r="2961" spans="1:6">
      <c r="A2961" s="32">
        <v>39406</v>
      </c>
      <c r="B2961">
        <v>826.07</v>
      </c>
      <c r="C2961">
        <v>836.82</v>
      </c>
      <c r="D2961">
        <v>812.17</v>
      </c>
      <c r="E2961">
        <v>830.05</v>
      </c>
      <c r="F2961" s="2">
        <v>2910000000</v>
      </c>
    </row>
    <row r="2962" spans="1:6">
      <c r="A2962" s="32">
        <v>39405</v>
      </c>
      <c r="B2962">
        <v>852.47</v>
      </c>
      <c r="C2962">
        <v>852.71</v>
      </c>
      <c r="D2962">
        <v>831.14</v>
      </c>
      <c r="E2962">
        <v>831.14</v>
      </c>
      <c r="F2962" s="2">
        <v>3270000000</v>
      </c>
    </row>
    <row r="2963" spans="1:6">
      <c r="A2963" s="32">
        <v>39402</v>
      </c>
      <c r="B2963">
        <v>850.5</v>
      </c>
      <c r="C2963">
        <v>851</v>
      </c>
      <c r="D2963">
        <v>845.38</v>
      </c>
      <c r="E2963">
        <v>849.07</v>
      </c>
      <c r="F2963" s="2">
        <v>1930000000</v>
      </c>
    </row>
    <row r="2964" spans="1:6">
      <c r="A2964" s="32">
        <v>39401</v>
      </c>
      <c r="B2964">
        <v>861.73</v>
      </c>
      <c r="C2964">
        <v>863.4</v>
      </c>
      <c r="D2964">
        <v>853.35</v>
      </c>
      <c r="E2964">
        <v>855.52</v>
      </c>
      <c r="F2964" s="2">
        <v>1860000000</v>
      </c>
    </row>
    <row r="2965" spans="1:6">
      <c r="A2965" s="32">
        <v>39400</v>
      </c>
      <c r="B2965">
        <v>866.63</v>
      </c>
      <c r="C2965">
        <v>869.55</v>
      </c>
      <c r="D2965">
        <v>861.23</v>
      </c>
      <c r="E2965">
        <v>861.51</v>
      </c>
      <c r="F2965" s="2">
        <v>2610000000</v>
      </c>
    </row>
    <row r="2966" spans="1:6">
      <c r="A2966" s="32">
        <v>39399</v>
      </c>
      <c r="B2966">
        <v>860.98</v>
      </c>
      <c r="C2966">
        <v>864.07</v>
      </c>
      <c r="D2966">
        <v>852.23</v>
      </c>
      <c r="E2966">
        <v>857.66</v>
      </c>
      <c r="F2966" s="2">
        <v>2380000000</v>
      </c>
    </row>
    <row r="2967" spans="1:6">
      <c r="A2967" s="32">
        <v>39398</v>
      </c>
      <c r="B2967">
        <v>865.44</v>
      </c>
      <c r="C2967">
        <v>865.64</v>
      </c>
      <c r="D2967">
        <v>856.56</v>
      </c>
      <c r="E2967">
        <v>861.93</v>
      </c>
      <c r="F2967" s="2">
        <v>1460000000</v>
      </c>
    </row>
    <row r="2968" spans="1:6">
      <c r="A2968" s="32">
        <v>39395</v>
      </c>
      <c r="B2968">
        <v>873.81</v>
      </c>
      <c r="C2968">
        <v>878.54</v>
      </c>
      <c r="D2968">
        <v>871.82</v>
      </c>
      <c r="E2968">
        <v>874.64</v>
      </c>
      <c r="F2968" s="2">
        <v>1580000000</v>
      </c>
    </row>
    <row r="2969" spans="1:6">
      <c r="A2969" s="32">
        <v>39394</v>
      </c>
      <c r="B2969">
        <v>873.7</v>
      </c>
      <c r="C2969">
        <v>873.7</v>
      </c>
      <c r="D2969">
        <v>864.66</v>
      </c>
      <c r="E2969">
        <v>873.64</v>
      </c>
      <c r="F2969" s="2">
        <v>1420000000</v>
      </c>
    </row>
    <row r="2970" spans="1:6">
      <c r="A2970" s="32">
        <v>39393</v>
      </c>
      <c r="B2970">
        <v>892.58</v>
      </c>
      <c r="C2970">
        <v>893.69</v>
      </c>
      <c r="D2970">
        <v>880.27</v>
      </c>
      <c r="E2970">
        <v>880.27</v>
      </c>
      <c r="F2970" s="2">
        <v>1480000000</v>
      </c>
    </row>
    <row r="2971" spans="1:6">
      <c r="A2971" s="32">
        <v>39392</v>
      </c>
      <c r="B2971">
        <v>874.48</v>
      </c>
      <c r="C2971">
        <v>886.31</v>
      </c>
      <c r="D2971">
        <v>871.85</v>
      </c>
      <c r="E2971">
        <v>886.31</v>
      </c>
      <c r="F2971" s="2">
        <v>1290000000</v>
      </c>
    </row>
    <row r="2972" spans="1:6">
      <c r="A2972" s="32">
        <v>39391</v>
      </c>
      <c r="B2972">
        <v>892.82</v>
      </c>
      <c r="C2972">
        <v>892.87</v>
      </c>
      <c r="D2972">
        <v>871.82</v>
      </c>
      <c r="E2972">
        <v>872.86</v>
      </c>
      <c r="F2972" s="2">
        <v>1350000000</v>
      </c>
    </row>
    <row r="2973" spans="1:6">
      <c r="A2973" s="32">
        <v>39388</v>
      </c>
      <c r="B2973">
        <v>892.33</v>
      </c>
      <c r="C2973">
        <v>898.1</v>
      </c>
      <c r="D2973">
        <v>888.36</v>
      </c>
      <c r="E2973">
        <v>894.34</v>
      </c>
      <c r="F2973" s="2">
        <v>1650000000</v>
      </c>
    </row>
    <row r="2974" spans="1:6">
      <c r="A2974" s="32">
        <v>39387</v>
      </c>
      <c r="B2974">
        <v>913.31</v>
      </c>
      <c r="C2974">
        <v>924.7</v>
      </c>
      <c r="D2974">
        <v>902.08</v>
      </c>
      <c r="E2974">
        <v>902.73</v>
      </c>
      <c r="F2974" s="2">
        <v>2260000000</v>
      </c>
    </row>
    <row r="2975" spans="1:6">
      <c r="A2975" s="32">
        <v>39386</v>
      </c>
      <c r="B2975">
        <v>898.39</v>
      </c>
      <c r="C2975">
        <v>911.64</v>
      </c>
      <c r="D2975">
        <v>894.02</v>
      </c>
      <c r="E2975">
        <v>907.28</v>
      </c>
      <c r="F2975" s="2">
        <v>2380000000</v>
      </c>
    </row>
    <row r="2976" spans="1:6">
      <c r="A2976" s="32">
        <v>39385</v>
      </c>
      <c r="B2976">
        <v>914.12</v>
      </c>
      <c r="C2976">
        <v>918.11</v>
      </c>
      <c r="D2976">
        <v>904.55</v>
      </c>
      <c r="E2976">
        <v>906.66</v>
      </c>
      <c r="F2976" s="2">
        <v>1940000000</v>
      </c>
    </row>
    <row r="2977" spans="1:6">
      <c r="A2977" s="32">
        <v>39384</v>
      </c>
      <c r="B2977">
        <v>909.25</v>
      </c>
      <c r="C2977">
        <v>916.06</v>
      </c>
      <c r="D2977">
        <v>905.85</v>
      </c>
      <c r="E2977">
        <v>915.03</v>
      </c>
      <c r="F2977" s="2">
        <v>1560000000</v>
      </c>
    </row>
    <row r="2978" spans="1:6">
      <c r="A2978" s="32">
        <v>39381</v>
      </c>
      <c r="B2978">
        <v>900.67</v>
      </c>
      <c r="C2978">
        <v>911.6</v>
      </c>
      <c r="D2978">
        <v>894.57</v>
      </c>
      <c r="E2978">
        <v>894.57</v>
      </c>
      <c r="F2978" s="2">
        <v>1960000000</v>
      </c>
    </row>
    <row r="2979" spans="1:6">
      <c r="A2979" s="32">
        <v>39380</v>
      </c>
      <c r="B2979">
        <v>869.9</v>
      </c>
      <c r="C2979">
        <v>893.45</v>
      </c>
      <c r="D2979">
        <v>864.25</v>
      </c>
      <c r="E2979">
        <v>893.45</v>
      </c>
      <c r="F2979" s="2">
        <v>1520000000</v>
      </c>
    </row>
    <row r="2980" spans="1:6">
      <c r="A2980" s="32">
        <v>39379</v>
      </c>
      <c r="B2980">
        <v>872.39</v>
      </c>
      <c r="C2980">
        <v>875.81</v>
      </c>
      <c r="D2980">
        <v>865.03</v>
      </c>
      <c r="E2980">
        <v>866.03</v>
      </c>
      <c r="F2980" s="2">
        <v>1540000000</v>
      </c>
    </row>
    <row r="2981" spans="1:6">
      <c r="A2981" s="32">
        <v>39377</v>
      </c>
      <c r="B2981">
        <v>871.82</v>
      </c>
      <c r="C2981">
        <v>871.82</v>
      </c>
      <c r="D2981">
        <v>857.66</v>
      </c>
      <c r="E2981">
        <v>860.09</v>
      </c>
      <c r="F2981" s="2">
        <v>1240000000</v>
      </c>
    </row>
    <row r="2982" spans="1:6">
      <c r="A2982" s="32">
        <v>39374</v>
      </c>
      <c r="B2982">
        <v>883.21</v>
      </c>
      <c r="C2982">
        <v>883.21</v>
      </c>
      <c r="D2982">
        <v>868.77</v>
      </c>
      <c r="E2982">
        <v>875.83</v>
      </c>
      <c r="F2982" s="2">
        <v>1590000000</v>
      </c>
    </row>
    <row r="2983" spans="1:6">
      <c r="A2983" s="32">
        <v>39373</v>
      </c>
      <c r="B2983">
        <v>888.49</v>
      </c>
      <c r="C2983">
        <v>889.19</v>
      </c>
      <c r="D2983">
        <v>876.75</v>
      </c>
      <c r="E2983">
        <v>876.75</v>
      </c>
      <c r="F2983" s="2">
        <v>1920000000</v>
      </c>
    </row>
    <row r="2984" spans="1:6">
      <c r="A2984" s="32">
        <v>39372</v>
      </c>
      <c r="B2984">
        <v>887.77</v>
      </c>
      <c r="C2984">
        <v>892.27</v>
      </c>
      <c r="D2984">
        <v>879.04</v>
      </c>
      <c r="E2984">
        <v>884.53</v>
      </c>
      <c r="F2984" s="2">
        <v>2310000000</v>
      </c>
    </row>
    <row r="2985" spans="1:6">
      <c r="A2985" s="32">
        <v>39371</v>
      </c>
      <c r="B2985">
        <v>904.76</v>
      </c>
      <c r="C2985">
        <v>908.83</v>
      </c>
      <c r="D2985">
        <v>892.88</v>
      </c>
      <c r="E2985">
        <v>894.53</v>
      </c>
      <c r="F2985" s="2">
        <v>2740000000</v>
      </c>
    </row>
    <row r="2986" spans="1:6">
      <c r="A2986" s="32">
        <v>39370</v>
      </c>
      <c r="B2986">
        <v>891.57</v>
      </c>
      <c r="C2986">
        <v>900.28</v>
      </c>
      <c r="D2986">
        <v>887.18</v>
      </c>
      <c r="E2986">
        <v>897.1</v>
      </c>
      <c r="F2986" s="2">
        <v>2040000000</v>
      </c>
    </row>
    <row r="2987" spans="1:6">
      <c r="A2987" s="32">
        <v>39367</v>
      </c>
      <c r="B2987">
        <v>890.08</v>
      </c>
      <c r="C2987">
        <v>893.01</v>
      </c>
      <c r="D2987">
        <v>880.77</v>
      </c>
      <c r="E2987">
        <v>887.02</v>
      </c>
      <c r="F2987" s="2">
        <v>2600000000</v>
      </c>
    </row>
    <row r="2988" spans="1:6">
      <c r="A2988" s="32">
        <v>39366</v>
      </c>
      <c r="B2988">
        <v>879.37</v>
      </c>
      <c r="C2988">
        <v>891.27</v>
      </c>
      <c r="D2988">
        <v>876.12</v>
      </c>
      <c r="E2988">
        <v>889.06</v>
      </c>
      <c r="F2988" s="2">
        <v>3060000000</v>
      </c>
    </row>
    <row r="2989" spans="1:6">
      <c r="A2989" s="32">
        <v>39365</v>
      </c>
      <c r="B2989">
        <v>874.53</v>
      </c>
      <c r="C2989">
        <v>879.51</v>
      </c>
      <c r="D2989">
        <v>871.58</v>
      </c>
      <c r="E2989">
        <v>875.1</v>
      </c>
      <c r="F2989" s="2">
        <v>3430000000</v>
      </c>
    </row>
    <row r="2990" spans="1:6">
      <c r="A2990" s="32">
        <v>39364</v>
      </c>
      <c r="B2990">
        <v>863.91</v>
      </c>
      <c r="C2990">
        <v>868.84</v>
      </c>
      <c r="D2990">
        <v>861.11</v>
      </c>
      <c r="E2990">
        <v>867.59</v>
      </c>
      <c r="F2990" s="2">
        <v>2500000000</v>
      </c>
    </row>
    <row r="2991" spans="1:6">
      <c r="A2991" s="32">
        <v>39363</v>
      </c>
      <c r="B2991">
        <v>858.84</v>
      </c>
      <c r="C2991">
        <v>864.01</v>
      </c>
      <c r="D2991">
        <v>858.49</v>
      </c>
      <c r="E2991">
        <v>863.16</v>
      </c>
      <c r="F2991" s="2">
        <v>1780000000</v>
      </c>
    </row>
    <row r="2992" spans="1:6">
      <c r="A2992" s="32">
        <v>39360</v>
      </c>
      <c r="B2992">
        <v>851.94</v>
      </c>
      <c r="C2992">
        <v>856.91</v>
      </c>
      <c r="D2992">
        <v>851.89</v>
      </c>
      <c r="E2992">
        <v>852.33</v>
      </c>
      <c r="F2992" s="2">
        <v>1810000000</v>
      </c>
    </row>
    <row r="2993" spans="1:6">
      <c r="A2993" s="32">
        <v>39359</v>
      </c>
      <c r="B2993">
        <v>847.96</v>
      </c>
      <c r="C2993">
        <v>851.14</v>
      </c>
      <c r="D2993">
        <v>843.49</v>
      </c>
      <c r="E2993">
        <v>848.95</v>
      </c>
      <c r="F2993" s="2">
        <v>1740000000</v>
      </c>
    </row>
    <row r="2994" spans="1:6">
      <c r="A2994" s="32">
        <v>39358</v>
      </c>
      <c r="B2994">
        <v>855.43</v>
      </c>
      <c r="C2994">
        <v>858.84</v>
      </c>
      <c r="D2994">
        <v>850</v>
      </c>
      <c r="E2994">
        <v>850.58</v>
      </c>
      <c r="F2994" s="2">
        <v>2440000000</v>
      </c>
    </row>
    <row r="2995" spans="1:6">
      <c r="A2995" s="32">
        <v>39357</v>
      </c>
      <c r="B2995">
        <v>859.41</v>
      </c>
      <c r="C2995">
        <v>862.28</v>
      </c>
      <c r="D2995">
        <v>853.43</v>
      </c>
      <c r="E2995">
        <v>853.43</v>
      </c>
      <c r="F2995" s="2">
        <v>2810000000</v>
      </c>
    </row>
    <row r="2996" spans="1:6">
      <c r="A2996" s="32">
        <v>39356</v>
      </c>
      <c r="B2996">
        <v>844.93</v>
      </c>
      <c r="C2996">
        <v>855.35</v>
      </c>
      <c r="D2996">
        <v>842.98</v>
      </c>
      <c r="E2996">
        <v>852.47</v>
      </c>
      <c r="F2996" s="2">
        <v>1580000000</v>
      </c>
    </row>
    <row r="2997" spans="1:6">
      <c r="A2997" s="32">
        <v>39353</v>
      </c>
      <c r="B2997">
        <v>846.93</v>
      </c>
      <c r="C2997">
        <v>849.18</v>
      </c>
      <c r="D2997">
        <v>841.74</v>
      </c>
      <c r="E2997">
        <v>845.5</v>
      </c>
      <c r="F2997" s="2">
        <v>2240000000</v>
      </c>
    </row>
    <row r="2998" spans="1:6">
      <c r="A2998" s="32">
        <v>39352</v>
      </c>
      <c r="B2998">
        <v>845.89</v>
      </c>
      <c r="C2998">
        <v>847.43</v>
      </c>
      <c r="D2998">
        <v>840.22</v>
      </c>
      <c r="E2998">
        <v>843.05</v>
      </c>
      <c r="F2998" s="2">
        <v>2980000000</v>
      </c>
    </row>
    <row r="2999" spans="1:6">
      <c r="A2999" s="32">
        <v>39351</v>
      </c>
      <c r="B2999">
        <v>836.78</v>
      </c>
      <c r="C2999">
        <v>845.03</v>
      </c>
      <c r="D2999">
        <v>831.48</v>
      </c>
      <c r="E2999">
        <v>844.4</v>
      </c>
      <c r="F2999" s="2">
        <v>2430000000</v>
      </c>
    </row>
    <row r="3000" spans="1:6">
      <c r="A3000" s="32">
        <v>39350</v>
      </c>
      <c r="B3000">
        <v>834.77</v>
      </c>
      <c r="C3000">
        <v>835.18</v>
      </c>
      <c r="D3000">
        <v>828.03</v>
      </c>
      <c r="E3000">
        <v>835.18</v>
      </c>
      <c r="F3000" s="2">
        <v>2060000000</v>
      </c>
    </row>
    <row r="3001" spans="1:6">
      <c r="A3001" s="32">
        <v>39349</v>
      </c>
      <c r="B3001">
        <v>835.87</v>
      </c>
      <c r="C3001">
        <v>842.7</v>
      </c>
      <c r="D3001">
        <v>831.39</v>
      </c>
      <c r="E3001">
        <v>836.51</v>
      </c>
      <c r="F3001" s="2">
        <v>2660000000</v>
      </c>
    </row>
    <row r="3002" spans="1:6">
      <c r="A3002" s="32">
        <v>39346</v>
      </c>
      <c r="B3002">
        <v>817.68</v>
      </c>
      <c r="C3002">
        <v>831.51</v>
      </c>
      <c r="D3002">
        <v>817.68</v>
      </c>
      <c r="E3002">
        <v>831.51</v>
      </c>
      <c r="F3002" s="2">
        <v>2570000000</v>
      </c>
    </row>
    <row r="3003" spans="1:6">
      <c r="A3003" s="32">
        <v>39345</v>
      </c>
      <c r="B3003">
        <v>814.34</v>
      </c>
      <c r="C3003">
        <v>817.69</v>
      </c>
      <c r="D3003">
        <v>813.27</v>
      </c>
      <c r="E3003">
        <v>815.43</v>
      </c>
      <c r="F3003" s="2">
        <v>1430000000</v>
      </c>
    </row>
    <row r="3004" spans="1:6">
      <c r="A3004" s="32">
        <v>39344</v>
      </c>
      <c r="B3004">
        <v>811.11</v>
      </c>
      <c r="C3004">
        <v>816.12</v>
      </c>
      <c r="D3004">
        <v>811.04</v>
      </c>
      <c r="E3004">
        <v>811.79</v>
      </c>
      <c r="F3004" s="2">
        <v>2140000000</v>
      </c>
    </row>
    <row r="3005" spans="1:6">
      <c r="A3005" s="32">
        <v>39343</v>
      </c>
      <c r="B3005">
        <v>802.09</v>
      </c>
      <c r="C3005">
        <v>805.89</v>
      </c>
      <c r="D3005">
        <v>800.45</v>
      </c>
      <c r="E3005">
        <v>802.54</v>
      </c>
      <c r="F3005" s="2">
        <v>1160000000</v>
      </c>
    </row>
    <row r="3006" spans="1:6">
      <c r="A3006" s="32">
        <v>39342</v>
      </c>
      <c r="B3006">
        <v>811.9</v>
      </c>
      <c r="C3006">
        <v>812.05</v>
      </c>
      <c r="D3006">
        <v>801.89</v>
      </c>
      <c r="E3006">
        <v>802.65</v>
      </c>
      <c r="F3006" s="2">
        <v>1100000000</v>
      </c>
    </row>
    <row r="3007" spans="1:6">
      <c r="A3007" s="32">
        <v>39339</v>
      </c>
      <c r="B3007">
        <v>810.42</v>
      </c>
      <c r="C3007">
        <v>816.82</v>
      </c>
      <c r="D3007">
        <v>810.19</v>
      </c>
      <c r="E3007">
        <v>811.95</v>
      </c>
      <c r="F3007" s="2">
        <v>1490000000</v>
      </c>
    </row>
    <row r="3008" spans="1:6">
      <c r="A3008" s="32">
        <v>39338</v>
      </c>
      <c r="B3008">
        <v>803.27</v>
      </c>
      <c r="C3008">
        <v>808.51</v>
      </c>
      <c r="D3008">
        <v>802.79</v>
      </c>
      <c r="E3008">
        <v>807.1</v>
      </c>
      <c r="F3008" s="2">
        <v>1140000000</v>
      </c>
    </row>
    <row r="3009" spans="1:6">
      <c r="A3009" s="32">
        <v>39337</v>
      </c>
      <c r="B3009">
        <v>807.39</v>
      </c>
      <c r="C3009">
        <v>808.06</v>
      </c>
      <c r="D3009">
        <v>801.91</v>
      </c>
      <c r="E3009">
        <v>802</v>
      </c>
      <c r="F3009" s="2">
        <v>1230000000</v>
      </c>
    </row>
    <row r="3010" spans="1:6">
      <c r="A3010" s="32">
        <v>39336</v>
      </c>
      <c r="B3010">
        <v>800.53</v>
      </c>
      <c r="C3010">
        <v>804.33</v>
      </c>
      <c r="D3010">
        <v>796.09</v>
      </c>
      <c r="E3010">
        <v>801.54</v>
      </c>
      <c r="F3010" s="2">
        <v>1670000000</v>
      </c>
    </row>
    <row r="3011" spans="1:6">
      <c r="A3011" s="32">
        <v>39335</v>
      </c>
      <c r="B3011">
        <v>798.72</v>
      </c>
      <c r="C3011">
        <v>798.95</v>
      </c>
      <c r="D3011">
        <v>790.49</v>
      </c>
      <c r="E3011">
        <v>796.85</v>
      </c>
      <c r="F3011" s="2">
        <v>1080000000</v>
      </c>
    </row>
    <row r="3012" spans="1:6">
      <c r="A3012" s="32">
        <v>39332</v>
      </c>
      <c r="B3012">
        <v>812.33</v>
      </c>
      <c r="C3012">
        <v>812.5</v>
      </c>
      <c r="D3012">
        <v>798.2</v>
      </c>
      <c r="E3012">
        <v>801.46</v>
      </c>
      <c r="F3012" s="2">
        <v>1700000000</v>
      </c>
    </row>
    <row r="3013" spans="1:6">
      <c r="A3013" s="32">
        <v>39331</v>
      </c>
      <c r="B3013">
        <v>812.66</v>
      </c>
      <c r="C3013">
        <v>815.16</v>
      </c>
      <c r="D3013">
        <v>809.31</v>
      </c>
      <c r="E3013">
        <v>809.82</v>
      </c>
      <c r="F3013" s="2">
        <v>1390000000</v>
      </c>
    </row>
    <row r="3014" spans="1:6">
      <c r="A3014" s="32">
        <v>39330</v>
      </c>
      <c r="B3014">
        <v>817.42</v>
      </c>
      <c r="C3014">
        <v>818.26</v>
      </c>
      <c r="D3014">
        <v>811.93</v>
      </c>
      <c r="E3014">
        <v>814.5</v>
      </c>
      <c r="F3014" s="2">
        <v>1930000000</v>
      </c>
    </row>
    <row r="3015" spans="1:6">
      <c r="A3015" s="32">
        <v>39329</v>
      </c>
      <c r="B3015">
        <v>818.43</v>
      </c>
      <c r="C3015">
        <v>818.43</v>
      </c>
      <c r="D3015">
        <v>810.37</v>
      </c>
      <c r="E3015">
        <v>810.86</v>
      </c>
      <c r="F3015" s="2">
        <v>2120000000</v>
      </c>
    </row>
    <row r="3016" spans="1:6">
      <c r="A3016" s="32">
        <v>39328</v>
      </c>
      <c r="B3016">
        <v>810.9</v>
      </c>
      <c r="C3016">
        <v>820.19</v>
      </c>
      <c r="D3016">
        <v>806.39</v>
      </c>
      <c r="E3016">
        <v>820.19</v>
      </c>
      <c r="F3016" s="2">
        <v>2240000000</v>
      </c>
    </row>
    <row r="3017" spans="1:6">
      <c r="A3017" s="32">
        <v>39325</v>
      </c>
      <c r="B3017">
        <v>794.24</v>
      </c>
      <c r="C3017">
        <v>813.21</v>
      </c>
      <c r="D3017">
        <v>792</v>
      </c>
      <c r="E3017">
        <v>813.21</v>
      </c>
      <c r="F3017" s="2">
        <v>2850000000</v>
      </c>
    </row>
    <row r="3018" spans="1:6">
      <c r="A3018" s="32">
        <v>39324</v>
      </c>
      <c r="B3018">
        <v>798.05</v>
      </c>
      <c r="C3018">
        <v>800.4</v>
      </c>
      <c r="D3018">
        <v>791.51</v>
      </c>
      <c r="E3018">
        <v>791.58</v>
      </c>
      <c r="F3018" s="2">
        <v>2180000000</v>
      </c>
    </row>
    <row r="3019" spans="1:6">
      <c r="A3019" s="32">
        <v>39323</v>
      </c>
      <c r="B3019">
        <v>782.56</v>
      </c>
      <c r="C3019">
        <v>792.04</v>
      </c>
      <c r="D3019">
        <v>773.89</v>
      </c>
      <c r="E3019">
        <v>792.04</v>
      </c>
      <c r="F3019" s="2">
        <v>1910000000</v>
      </c>
    </row>
    <row r="3020" spans="1:6">
      <c r="A3020" s="32">
        <v>39322</v>
      </c>
      <c r="B3020">
        <v>791.23</v>
      </c>
      <c r="C3020">
        <v>791.23</v>
      </c>
      <c r="D3020">
        <v>784.18</v>
      </c>
      <c r="E3020">
        <v>788.21</v>
      </c>
      <c r="F3020" s="2">
        <v>1280000000</v>
      </c>
    </row>
    <row r="3021" spans="1:6">
      <c r="A3021" s="32">
        <v>39321</v>
      </c>
      <c r="B3021">
        <v>796.73</v>
      </c>
      <c r="C3021">
        <v>799.1</v>
      </c>
      <c r="D3021">
        <v>790.54</v>
      </c>
      <c r="E3021">
        <v>791.17</v>
      </c>
      <c r="F3021" s="2">
        <v>1710000000</v>
      </c>
    </row>
    <row r="3022" spans="1:6">
      <c r="A3022" s="32">
        <v>39318</v>
      </c>
      <c r="B3022">
        <v>786.3</v>
      </c>
      <c r="C3022">
        <v>791.55</v>
      </c>
      <c r="D3022">
        <v>783.7</v>
      </c>
      <c r="E3022">
        <v>790.72</v>
      </c>
      <c r="F3022" s="2">
        <v>1980000000</v>
      </c>
    </row>
    <row r="3023" spans="1:6">
      <c r="A3023" s="32">
        <v>39317</v>
      </c>
      <c r="B3023">
        <v>793.28</v>
      </c>
      <c r="C3023">
        <v>797.07</v>
      </c>
      <c r="D3023">
        <v>787.47</v>
      </c>
      <c r="E3023">
        <v>791.5</v>
      </c>
      <c r="F3023" s="2">
        <v>2970000000</v>
      </c>
    </row>
    <row r="3024" spans="1:6">
      <c r="A3024" s="32">
        <v>39316</v>
      </c>
      <c r="B3024">
        <v>772.93</v>
      </c>
      <c r="C3024">
        <v>785.47</v>
      </c>
      <c r="D3024">
        <v>767.34</v>
      </c>
      <c r="E3024">
        <v>784.43</v>
      </c>
      <c r="F3024" s="2">
        <v>2260000000</v>
      </c>
    </row>
    <row r="3025" spans="1:6">
      <c r="A3025" s="32">
        <v>39315</v>
      </c>
      <c r="B3025">
        <v>795.77</v>
      </c>
      <c r="C3025">
        <v>797.13</v>
      </c>
      <c r="D3025">
        <v>764.4</v>
      </c>
      <c r="E3025">
        <v>764.4</v>
      </c>
      <c r="F3025" s="2">
        <v>2680000000</v>
      </c>
    </row>
    <row r="3026" spans="1:6">
      <c r="A3026" s="32">
        <v>39314</v>
      </c>
      <c r="B3026">
        <v>765.31</v>
      </c>
      <c r="C3026">
        <v>792.02</v>
      </c>
      <c r="D3026">
        <v>765.31</v>
      </c>
      <c r="E3026">
        <v>792.02</v>
      </c>
      <c r="F3026" s="2">
        <v>3180000000</v>
      </c>
    </row>
    <row r="3027" spans="1:6">
      <c r="A3027" s="32">
        <v>39311</v>
      </c>
      <c r="B3027">
        <v>755.93</v>
      </c>
      <c r="C3027">
        <v>758.42</v>
      </c>
      <c r="D3027">
        <v>732.78</v>
      </c>
      <c r="E3027">
        <v>758.42</v>
      </c>
      <c r="F3027" s="2">
        <v>3230000000</v>
      </c>
    </row>
    <row r="3028" spans="1:6">
      <c r="A3028" s="32">
        <v>39310</v>
      </c>
      <c r="B3028">
        <v>756.01</v>
      </c>
      <c r="C3028">
        <v>756.01</v>
      </c>
      <c r="D3028">
        <v>739.66</v>
      </c>
      <c r="E3028">
        <v>750.69</v>
      </c>
      <c r="F3028" s="2">
        <v>3150000000</v>
      </c>
    </row>
    <row r="3029" spans="1:6">
      <c r="A3029" s="32">
        <v>39309</v>
      </c>
      <c r="B3029">
        <v>783.78</v>
      </c>
      <c r="C3029">
        <v>785.55</v>
      </c>
      <c r="D3029">
        <v>773.92</v>
      </c>
      <c r="E3029">
        <v>773.92</v>
      </c>
      <c r="F3029" s="2">
        <v>2140000000</v>
      </c>
    </row>
    <row r="3030" spans="1:6">
      <c r="A3030" s="32">
        <v>39308</v>
      </c>
      <c r="B3030">
        <v>801.86</v>
      </c>
      <c r="C3030">
        <v>803.02</v>
      </c>
      <c r="D3030">
        <v>791.33</v>
      </c>
      <c r="E3030">
        <v>793.82</v>
      </c>
      <c r="F3030" s="2">
        <v>1950000000</v>
      </c>
    </row>
    <row r="3031" spans="1:6">
      <c r="A3031" s="32">
        <v>39304</v>
      </c>
      <c r="B3031">
        <v>789.93</v>
      </c>
      <c r="C3031">
        <v>804.84</v>
      </c>
      <c r="D3031">
        <v>789.93</v>
      </c>
      <c r="E3031">
        <v>804.84</v>
      </c>
      <c r="F3031" s="2">
        <v>2510000000</v>
      </c>
    </row>
    <row r="3032" spans="1:6">
      <c r="A3032" s="32">
        <v>39303</v>
      </c>
      <c r="B3032">
        <v>837.56</v>
      </c>
      <c r="C3032">
        <v>842.51</v>
      </c>
      <c r="D3032">
        <v>811.82</v>
      </c>
      <c r="E3032">
        <v>811.83</v>
      </c>
      <c r="F3032" s="2">
        <v>3550000000</v>
      </c>
    </row>
    <row r="3033" spans="1:6">
      <c r="A3033" s="32">
        <v>39302</v>
      </c>
      <c r="B3033">
        <v>816.18</v>
      </c>
      <c r="C3033">
        <v>831.64</v>
      </c>
      <c r="D3033">
        <v>816.18</v>
      </c>
      <c r="E3033">
        <v>831.64</v>
      </c>
      <c r="F3033" s="2">
        <v>2880000000</v>
      </c>
    </row>
    <row r="3034" spans="1:6">
      <c r="A3034" s="32">
        <v>39301</v>
      </c>
      <c r="B3034">
        <v>822.6</v>
      </c>
      <c r="C3034">
        <v>823.25</v>
      </c>
      <c r="D3034">
        <v>805.9</v>
      </c>
      <c r="E3034">
        <v>814.4</v>
      </c>
      <c r="F3034" s="2">
        <v>3100000000</v>
      </c>
    </row>
    <row r="3035" spans="1:6">
      <c r="A3035" s="32">
        <v>39300</v>
      </c>
      <c r="B3035">
        <v>819.65</v>
      </c>
      <c r="C3035">
        <v>821.79</v>
      </c>
      <c r="D3035">
        <v>813.14</v>
      </c>
      <c r="E3035">
        <v>815.87</v>
      </c>
      <c r="F3035" s="2">
        <v>3260000000</v>
      </c>
    </row>
    <row r="3036" spans="1:6">
      <c r="A3036" s="32">
        <v>39297</v>
      </c>
      <c r="B3036">
        <v>836.02</v>
      </c>
      <c r="C3036">
        <v>841.83</v>
      </c>
      <c r="D3036">
        <v>831.91</v>
      </c>
      <c r="E3036">
        <v>837.73</v>
      </c>
      <c r="F3036" s="2">
        <v>3180000000</v>
      </c>
    </row>
    <row r="3037" spans="1:6">
      <c r="A3037" s="32">
        <v>39296</v>
      </c>
      <c r="B3037">
        <v>843.18</v>
      </c>
      <c r="C3037">
        <v>844.75</v>
      </c>
      <c r="D3037">
        <v>820.03</v>
      </c>
      <c r="E3037">
        <v>830.29</v>
      </c>
      <c r="F3037" s="2">
        <v>2640000000</v>
      </c>
    </row>
    <row r="3038" spans="1:6">
      <c r="A3038" s="32">
        <v>39295</v>
      </c>
      <c r="B3038">
        <v>856.05</v>
      </c>
      <c r="C3038">
        <v>859.42</v>
      </c>
      <c r="D3038">
        <v>832.79</v>
      </c>
      <c r="E3038">
        <v>833.47</v>
      </c>
      <c r="F3038" s="2">
        <v>3190000000</v>
      </c>
    </row>
    <row r="3039" spans="1:6">
      <c r="A3039" s="32">
        <v>39294</v>
      </c>
      <c r="B3039">
        <v>867.83</v>
      </c>
      <c r="C3039">
        <v>869.85</v>
      </c>
      <c r="D3039">
        <v>854.99</v>
      </c>
      <c r="E3039">
        <v>859.76</v>
      </c>
      <c r="F3039" s="2">
        <v>2740000000</v>
      </c>
    </row>
    <row r="3040" spans="1:6">
      <c r="A3040" s="32">
        <v>39290</v>
      </c>
      <c r="B3040">
        <v>866.04</v>
      </c>
      <c r="C3040">
        <v>871.54</v>
      </c>
      <c r="D3040">
        <v>854.07</v>
      </c>
      <c r="E3040">
        <v>863.58</v>
      </c>
      <c r="F3040" s="2">
        <v>3880000000</v>
      </c>
    </row>
    <row r="3041" spans="1:6">
      <c r="A3041" s="32">
        <v>39289</v>
      </c>
      <c r="B3041">
        <v>888.11</v>
      </c>
      <c r="C3041">
        <v>895.63</v>
      </c>
      <c r="D3041">
        <v>876.05</v>
      </c>
      <c r="E3041">
        <v>884.16</v>
      </c>
      <c r="F3041" s="2">
        <v>4280000000</v>
      </c>
    </row>
    <row r="3042" spans="1:6">
      <c r="A3042" s="32">
        <v>39288</v>
      </c>
      <c r="B3042">
        <v>876.43</v>
      </c>
      <c r="C3042">
        <v>891.33</v>
      </c>
      <c r="D3042">
        <v>875.69</v>
      </c>
      <c r="E3042">
        <v>883.65</v>
      </c>
      <c r="F3042" s="2">
        <v>5730000000</v>
      </c>
    </row>
    <row r="3043" spans="1:6">
      <c r="A3043" s="32">
        <v>39287</v>
      </c>
      <c r="B3043">
        <v>870.58</v>
      </c>
      <c r="C3043">
        <v>884.64</v>
      </c>
      <c r="D3043">
        <v>870.58</v>
      </c>
      <c r="E3043">
        <v>880.95</v>
      </c>
      <c r="F3043" s="2">
        <v>6700000000</v>
      </c>
    </row>
    <row r="3044" spans="1:6">
      <c r="A3044" s="32">
        <v>39286</v>
      </c>
      <c r="B3044">
        <v>843.13</v>
      </c>
      <c r="C3044">
        <v>862.62</v>
      </c>
      <c r="D3044">
        <v>840.33</v>
      </c>
      <c r="E3044">
        <v>862.62</v>
      </c>
      <c r="F3044" s="2">
        <v>2980000000</v>
      </c>
    </row>
    <row r="3045" spans="1:6">
      <c r="A3045" s="32">
        <v>39283</v>
      </c>
      <c r="B3045">
        <v>850.51</v>
      </c>
      <c r="C3045">
        <v>856.15</v>
      </c>
      <c r="D3045">
        <v>849.14</v>
      </c>
      <c r="E3045">
        <v>850.54</v>
      </c>
      <c r="F3045" s="2">
        <v>3430000000</v>
      </c>
    </row>
    <row r="3046" spans="1:6">
      <c r="A3046" s="32">
        <v>39282</v>
      </c>
      <c r="B3046">
        <v>847.9</v>
      </c>
      <c r="C3046">
        <v>848.91</v>
      </c>
      <c r="D3046">
        <v>840.55</v>
      </c>
      <c r="E3046">
        <v>847.26</v>
      </c>
      <c r="F3046" s="2">
        <v>3840000000</v>
      </c>
    </row>
    <row r="3047" spans="1:6">
      <c r="A3047" s="32">
        <v>39281</v>
      </c>
      <c r="B3047">
        <v>855.4</v>
      </c>
      <c r="C3047">
        <v>864.76</v>
      </c>
      <c r="D3047">
        <v>849.56</v>
      </c>
      <c r="E3047">
        <v>849.56</v>
      </c>
      <c r="F3047" s="2">
        <v>5860000000</v>
      </c>
    </row>
    <row r="3048" spans="1:6">
      <c r="A3048" s="32">
        <v>39280</v>
      </c>
      <c r="B3048">
        <v>856.75</v>
      </c>
      <c r="C3048">
        <v>861.91</v>
      </c>
      <c r="D3048">
        <v>848.97</v>
      </c>
      <c r="E3048">
        <v>856.91</v>
      </c>
      <c r="F3048" s="2">
        <v>5350000000</v>
      </c>
    </row>
    <row r="3049" spans="1:6">
      <c r="A3049" s="32">
        <v>39279</v>
      </c>
      <c r="B3049">
        <v>860.34</v>
      </c>
      <c r="C3049">
        <v>868.7</v>
      </c>
      <c r="D3049">
        <v>852.22</v>
      </c>
      <c r="E3049">
        <v>857.08</v>
      </c>
      <c r="F3049" s="2">
        <v>6280000000</v>
      </c>
    </row>
    <row r="3050" spans="1:6">
      <c r="A3050" s="32">
        <v>39276</v>
      </c>
      <c r="B3050">
        <v>847.47</v>
      </c>
      <c r="C3050">
        <v>861.77</v>
      </c>
      <c r="D3050">
        <v>847.47</v>
      </c>
      <c r="E3050">
        <v>859.14</v>
      </c>
      <c r="F3050" s="2">
        <v>7700000000</v>
      </c>
    </row>
    <row r="3051" spans="1:6">
      <c r="A3051" s="32">
        <v>39275</v>
      </c>
      <c r="B3051">
        <v>851.86</v>
      </c>
      <c r="C3051">
        <v>852.77</v>
      </c>
      <c r="D3051">
        <v>837.84</v>
      </c>
      <c r="E3051">
        <v>843.87</v>
      </c>
      <c r="F3051" s="2">
        <v>5560000000</v>
      </c>
    </row>
    <row r="3052" spans="1:6">
      <c r="A3052" s="32">
        <v>39274</v>
      </c>
      <c r="B3052">
        <v>850.57</v>
      </c>
      <c r="C3052">
        <v>861.01</v>
      </c>
      <c r="D3052">
        <v>846.28</v>
      </c>
      <c r="E3052">
        <v>846.28</v>
      </c>
      <c r="F3052" s="2">
        <v>6180000000</v>
      </c>
    </row>
    <row r="3053" spans="1:6">
      <c r="A3053" s="32">
        <v>39273</v>
      </c>
      <c r="B3053">
        <v>844.07</v>
      </c>
      <c r="C3053">
        <v>858.58</v>
      </c>
      <c r="D3053">
        <v>837.98</v>
      </c>
      <c r="E3053">
        <v>858.45</v>
      </c>
      <c r="F3053" s="2">
        <v>7720000000</v>
      </c>
    </row>
    <row r="3054" spans="1:6">
      <c r="A3054" s="32">
        <v>39272</v>
      </c>
      <c r="B3054">
        <v>841.52</v>
      </c>
      <c r="C3054">
        <v>850.31</v>
      </c>
      <c r="D3054">
        <v>840.71</v>
      </c>
      <c r="E3054">
        <v>844.19</v>
      </c>
      <c r="F3054" s="2">
        <v>6900000000</v>
      </c>
    </row>
    <row r="3055" spans="1:6">
      <c r="A3055" s="32">
        <v>39269</v>
      </c>
      <c r="B3055">
        <v>823.39</v>
      </c>
      <c r="C3055">
        <v>832.55</v>
      </c>
      <c r="D3055">
        <v>817.78</v>
      </c>
      <c r="E3055">
        <v>832.38</v>
      </c>
      <c r="F3055" s="2">
        <v>5420000000</v>
      </c>
    </row>
    <row r="3056" spans="1:6">
      <c r="A3056" s="32">
        <v>39268</v>
      </c>
      <c r="B3056">
        <v>827.96</v>
      </c>
      <c r="C3056">
        <v>833.27</v>
      </c>
      <c r="D3056">
        <v>818.01</v>
      </c>
      <c r="E3056">
        <v>823.93</v>
      </c>
      <c r="F3056" s="2">
        <v>5480000000</v>
      </c>
    </row>
    <row r="3057" spans="1:6">
      <c r="A3057" s="32">
        <v>39267</v>
      </c>
      <c r="B3057">
        <v>814.62</v>
      </c>
      <c r="C3057">
        <v>829.57</v>
      </c>
      <c r="D3057">
        <v>811.89</v>
      </c>
      <c r="E3057">
        <v>825.45</v>
      </c>
      <c r="F3057" s="2">
        <v>6200000000</v>
      </c>
    </row>
    <row r="3058" spans="1:6">
      <c r="A3058" s="32">
        <v>39266</v>
      </c>
      <c r="B3058">
        <v>797.14</v>
      </c>
      <c r="C3058">
        <v>818.98</v>
      </c>
      <c r="D3058">
        <v>797.14</v>
      </c>
      <c r="E3058">
        <v>813.52</v>
      </c>
      <c r="F3058" s="2">
        <v>6510000000</v>
      </c>
    </row>
    <row r="3059" spans="1:6">
      <c r="A3059" s="32">
        <v>39265</v>
      </c>
      <c r="B3059">
        <v>779.94</v>
      </c>
      <c r="C3059">
        <v>793.08</v>
      </c>
      <c r="D3059">
        <v>778.81</v>
      </c>
      <c r="E3059">
        <v>792.71</v>
      </c>
      <c r="F3059" s="2">
        <v>3360000000</v>
      </c>
    </row>
    <row r="3060" spans="1:6">
      <c r="A3060" s="32">
        <v>39262</v>
      </c>
      <c r="B3060">
        <v>779.73</v>
      </c>
      <c r="C3060">
        <v>780.41</v>
      </c>
      <c r="D3060">
        <v>775.68</v>
      </c>
      <c r="E3060">
        <v>776.79</v>
      </c>
      <c r="F3060" s="2">
        <v>3240000000</v>
      </c>
    </row>
    <row r="3061" spans="1:6">
      <c r="A3061" s="32">
        <v>39261</v>
      </c>
      <c r="B3061">
        <v>772.73</v>
      </c>
      <c r="C3061">
        <v>777.68</v>
      </c>
      <c r="D3061">
        <v>772.14</v>
      </c>
      <c r="E3061">
        <v>777.68</v>
      </c>
      <c r="F3061" s="2">
        <v>3640000000</v>
      </c>
    </row>
    <row r="3062" spans="1:6">
      <c r="A3062" s="32">
        <v>39260</v>
      </c>
      <c r="B3062">
        <v>766.89</v>
      </c>
      <c r="C3062">
        <v>772.97</v>
      </c>
      <c r="D3062">
        <v>766.76</v>
      </c>
      <c r="E3062">
        <v>771</v>
      </c>
      <c r="F3062" s="2">
        <v>2320000000</v>
      </c>
    </row>
    <row r="3063" spans="1:6">
      <c r="A3063" s="32">
        <v>39259</v>
      </c>
      <c r="B3063">
        <v>766.57</v>
      </c>
      <c r="C3063">
        <v>768.72</v>
      </c>
      <c r="D3063">
        <v>763.96</v>
      </c>
      <c r="E3063">
        <v>766.97</v>
      </c>
      <c r="F3063" s="2">
        <v>1970000000</v>
      </c>
    </row>
    <row r="3064" spans="1:6">
      <c r="A3064" s="32">
        <v>39258</v>
      </c>
      <c r="B3064">
        <v>771.88</v>
      </c>
      <c r="C3064">
        <v>774.98</v>
      </c>
      <c r="D3064">
        <v>764.12</v>
      </c>
      <c r="E3064">
        <v>764.12</v>
      </c>
      <c r="F3064" s="2">
        <v>2520000000</v>
      </c>
    </row>
    <row r="3065" spans="1:6">
      <c r="A3065" s="32">
        <v>39255</v>
      </c>
      <c r="B3065">
        <v>778.78</v>
      </c>
      <c r="C3065">
        <v>778.94</v>
      </c>
      <c r="D3065">
        <v>772.05</v>
      </c>
      <c r="E3065">
        <v>772.05</v>
      </c>
      <c r="F3065" s="2">
        <v>4410000000</v>
      </c>
    </row>
    <row r="3066" spans="1:6">
      <c r="A3066" s="32">
        <v>39254</v>
      </c>
      <c r="B3066">
        <v>775.05</v>
      </c>
      <c r="C3066">
        <v>778.97</v>
      </c>
      <c r="D3066">
        <v>771.73</v>
      </c>
      <c r="E3066">
        <v>776.2</v>
      </c>
      <c r="F3066" s="2">
        <v>5990000000</v>
      </c>
    </row>
    <row r="3067" spans="1:6">
      <c r="A3067" s="32">
        <v>39253</v>
      </c>
      <c r="B3067">
        <v>765.93</v>
      </c>
      <c r="C3067">
        <v>777.72</v>
      </c>
      <c r="D3067">
        <v>765.27</v>
      </c>
      <c r="E3067">
        <v>777.1</v>
      </c>
      <c r="F3067" s="2">
        <v>3710000000</v>
      </c>
    </row>
    <row r="3068" spans="1:6">
      <c r="A3068" s="32">
        <v>39252</v>
      </c>
      <c r="B3068">
        <v>766.67</v>
      </c>
      <c r="C3068">
        <v>769.43</v>
      </c>
      <c r="D3068">
        <v>761.9</v>
      </c>
      <c r="E3068">
        <v>763.78</v>
      </c>
      <c r="F3068" s="2">
        <v>3680000000</v>
      </c>
    </row>
    <row r="3069" spans="1:6">
      <c r="A3069" s="32">
        <v>39251</v>
      </c>
      <c r="B3069">
        <v>757.75</v>
      </c>
      <c r="C3069">
        <v>766.2</v>
      </c>
      <c r="D3069">
        <v>757.21</v>
      </c>
      <c r="E3069">
        <v>766.2</v>
      </c>
      <c r="F3069" s="2">
        <v>3450000000</v>
      </c>
    </row>
    <row r="3070" spans="1:6">
      <c r="A3070" s="32">
        <v>39248</v>
      </c>
      <c r="B3070">
        <v>738.03</v>
      </c>
      <c r="C3070">
        <v>744.25</v>
      </c>
      <c r="D3070">
        <v>737.71</v>
      </c>
      <c r="E3070">
        <v>744.25</v>
      </c>
      <c r="F3070" s="2">
        <v>2640000000</v>
      </c>
    </row>
    <row r="3071" spans="1:6">
      <c r="A3071" s="32">
        <v>39247</v>
      </c>
      <c r="B3071">
        <v>732.54</v>
      </c>
      <c r="C3071">
        <v>737.67</v>
      </c>
      <c r="D3071">
        <v>732.13</v>
      </c>
      <c r="E3071">
        <v>734.93</v>
      </c>
      <c r="F3071" s="2">
        <v>1860000000</v>
      </c>
    </row>
    <row r="3072" spans="1:6">
      <c r="A3072" s="32">
        <v>39246</v>
      </c>
      <c r="B3072">
        <v>740.67</v>
      </c>
      <c r="C3072">
        <v>740.67</v>
      </c>
      <c r="D3072">
        <v>726.6</v>
      </c>
      <c r="E3072">
        <v>726.6</v>
      </c>
      <c r="F3072" s="2">
        <v>2610000000</v>
      </c>
    </row>
    <row r="3073" spans="1:6">
      <c r="A3073" s="32">
        <v>39245</v>
      </c>
      <c r="B3073">
        <v>753.78</v>
      </c>
      <c r="C3073">
        <v>753.78</v>
      </c>
      <c r="D3073">
        <v>743.42</v>
      </c>
      <c r="E3073">
        <v>743.42</v>
      </c>
      <c r="F3073" s="2">
        <v>2660000000</v>
      </c>
    </row>
    <row r="3074" spans="1:6">
      <c r="A3074" s="32">
        <v>39244</v>
      </c>
      <c r="B3074">
        <v>752.08</v>
      </c>
      <c r="C3074">
        <v>754.42</v>
      </c>
      <c r="D3074">
        <v>744.67</v>
      </c>
      <c r="E3074">
        <v>754.15</v>
      </c>
      <c r="F3074" s="2">
        <v>2310000000</v>
      </c>
    </row>
    <row r="3075" spans="1:6">
      <c r="A3075" s="32">
        <v>39241</v>
      </c>
      <c r="B3075">
        <v>750.75</v>
      </c>
      <c r="C3075">
        <v>757.24</v>
      </c>
      <c r="D3075">
        <v>750.75</v>
      </c>
      <c r="E3075">
        <v>752</v>
      </c>
      <c r="F3075" s="2">
        <v>3190000000</v>
      </c>
    </row>
    <row r="3076" spans="1:6">
      <c r="A3076" s="32">
        <v>39240</v>
      </c>
      <c r="B3076">
        <v>757.42</v>
      </c>
      <c r="C3076">
        <v>760.65</v>
      </c>
      <c r="D3076">
        <v>753.83</v>
      </c>
      <c r="E3076">
        <v>758.83</v>
      </c>
      <c r="F3076" s="2">
        <v>4240000000</v>
      </c>
    </row>
    <row r="3077" spans="1:6">
      <c r="A3077" s="32">
        <v>39239</v>
      </c>
      <c r="B3077">
        <v>759.43</v>
      </c>
      <c r="C3077">
        <v>766.89</v>
      </c>
      <c r="D3077">
        <v>756.77</v>
      </c>
      <c r="E3077">
        <v>759.42</v>
      </c>
      <c r="F3077" s="2">
        <v>3770000000</v>
      </c>
    </row>
    <row r="3078" spans="1:6">
      <c r="A3078" s="32">
        <v>39238</v>
      </c>
      <c r="B3078">
        <v>773.1</v>
      </c>
      <c r="C3078">
        <v>773.99</v>
      </c>
      <c r="D3078">
        <v>758.8</v>
      </c>
      <c r="E3078">
        <v>760.59</v>
      </c>
      <c r="F3078" s="2">
        <v>4260000000</v>
      </c>
    </row>
    <row r="3079" spans="1:6">
      <c r="A3079" s="32">
        <v>39237</v>
      </c>
      <c r="B3079">
        <v>757.35</v>
      </c>
      <c r="C3079">
        <v>775.41</v>
      </c>
      <c r="D3079">
        <v>757.35</v>
      </c>
      <c r="E3079">
        <v>770.61</v>
      </c>
      <c r="F3079" s="2">
        <v>5170000000</v>
      </c>
    </row>
    <row r="3080" spans="1:6">
      <c r="A3080" s="32">
        <v>39234</v>
      </c>
      <c r="B3080">
        <v>742.31</v>
      </c>
      <c r="C3080">
        <v>754.76</v>
      </c>
      <c r="D3080">
        <v>741.28</v>
      </c>
      <c r="E3080">
        <v>753.93</v>
      </c>
      <c r="F3080" s="2">
        <v>4970000000</v>
      </c>
    </row>
    <row r="3081" spans="1:6">
      <c r="A3081" s="32">
        <v>39232</v>
      </c>
      <c r="B3081">
        <v>726.55</v>
      </c>
      <c r="C3081">
        <v>739.36</v>
      </c>
      <c r="D3081">
        <v>725.59</v>
      </c>
      <c r="E3081">
        <v>737.4</v>
      </c>
      <c r="F3081" s="2">
        <v>2520000000</v>
      </c>
    </row>
    <row r="3082" spans="1:6">
      <c r="A3082" s="32">
        <v>39231</v>
      </c>
      <c r="B3082">
        <v>728.42</v>
      </c>
      <c r="C3082">
        <v>733.27</v>
      </c>
      <c r="D3082">
        <v>725.5</v>
      </c>
      <c r="E3082">
        <v>727.79</v>
      </c>
      <c r="F3082" s="2">
        <v>2630000000</v>
      </c>
    </row>
    <row r="3083" spans="1:6">
      <c r="A3083" s="32">
        <v>39230</v>
      </c>
      <c r="B3083">
        <v>720.91</v>
      </c>
      <c r="C3083">
        <v>728</v>
      </c>
      <c r="D3083">
        <v>720.27</v>
      </c>
      <c r="E3083">
        <v>727.93</v>
      </c>
      <c r="F3083" s="2">
        <v>1750000000</v>
      </c>
    </row>
    <row r="3084" spans="1:6">
      <c r="A3084" s="32">
        <v>39227</v>
      </c>
      <c r="B3084">
        <v>717.74</v>
      </c>
      <c r="C3084">
        <v>723.83</v>
      </c>
      <c r="D3084">
        <v>716.38</v>
      </c>
      <c r="E3084">
        <v>719.14</v>
      </c>
      <c r="F3084" s="2">
        <v>2220000000</v>
      </c>
    </row>
    <row r="3085" spans="1:6">
      <c r="A3085" s="32">
        <v>39226</v>
      </c>
      <c r="B3085">
        <v>731.08</v>
      </c>
      <c r="C3085">
        <v>731.18</v>
      </c>
      <c r="D3085">
        <v>719.56</v>
      </c>
      <c r="E3085">
        <v>720.72</v>
      </c>
      <c r="F3085" s="2">
        <v>1960000000</v>
      </c>
    </row>
    <row r="3086" spans="1:6">
      <c r="A3086" s="32">
        <v>39225</v>
      </c>
      <c r="B3086">
        <v>734.83</v>
      </c>
      <c r="C3086">
        <v>736.18</v>
      </c>
      <c r="D3086">
        <v>730.04</v>
      </c>
      <c r="E3086">
        <v>731.22</v>
      </c>
      <c r="F3086" s="2">
        <v>2280000000</v>
      </c>
    </row>
    <row r="3087" spans="1:6">
      <c r="A3087" s="32">
        <v>39224</v>
      </c>
      <c r="B3087">
        <v>729.99</v>
      </c>
      <c r="C3087">
        <v>737.15</v>
      </c>
      <c r="D3087">
        <v>729.99</v>
      </c>
      <c r="E3087">
        <v>732.77</v>
      </c>
      <c r="F3087" s="2">
        <v>3230000000</v>
      </c>
    </row>
    <row r="3088" spans="1:6">
      <c r="A3088" s="32">
        <v>39223</v>
      </c>
      <c r="B3088">
        <v>732.15</v>
      </c>
      <c r="C3088">
        <v>733.78</v>
      </c>
      <c r="D3088">
        <v>725.72</v>
      </c>
      <c r="E3088">
        <v>728.22</v>
      </c>
      <c r="F3088" s="2">
        <v>2140000000</v>
      </c>
    </row>
    <row r="3089" spans="1:6">
      <c r="A3089" s="32">
        <v>39220</v>
      </c>
      <c r="B3089">
        <v>729.13</v>
      </c>
      <c r="C3089">
        <v>733.1</v>
      </c>
      <c r="D3089">
        <v>727.81</v>
      </c>
      <c r="E3089">
        <v>728.76</v>
      </c>
      <c r="F3089" s="2">
        <v>3880000000</v>
      </c>
    </row>
    <row r="3090" spans="1:6">
      <c r="A3090" s="32">
        <v>39219</v>
      </c>
      <c r="B3090">
        <v>725.78</v>
      </c>
      <c r="C3090">
        <v>726.78</v>
      </c>
      <c r="D3090">
        <v>720.57</v>
      </c>
      <c r="E3090">
        <v>724.37</v>
      </c>
      <c r="F3090" s="2">
        <v>2860000000</v>
      </c>
    </row>
    <row r="3091" spans="1:6">
      <c r="A3091" s="32">
        <v>39218</v>
      </c>
      <c r="B3091">
        <v>715.01</v>
      </c>
      <c r="C3091">
        <v>723.84</v>
      </c>
      <c r="D3091">
        <v>714.91</v>
      </c>
      <c r="E3091">
        <v>721.66</v>
      </c>
      <c r="F3091" s="2">
        <v>2500000000</v>
      </c>
    </row>
    <row r="3092" spans="1:6">
      <c r="A3092" s="32">
        <v>39217</v>
      </c>
      <c r="B3092">
        <v>713.6</v>
      </c>
      <c r="C3092">
        <v>714.6</v>
      </c>
      <c r="D3092">
        <v>711.04</v>
      </c>
      <c r="E3092">
        <v>713.27</v>
      </c>
      <c r="F3092" s="2">
        <v>1730000000</v>
      </c>
    </row>
    <row r="3093" spans="1:6">
      <c r="A3093" s="32">
        <v>39216</v>
      </c>
      <c r="B3093">
        <v>710.38</v>
      </c>
      <c r="C3093">
        <v>714.53</v>
      </c>
      <c r="D3093">
        <v>710.38</v>
      </c>
      <c r="E3093">
        <v>712.18</v>
      </c>
      <c r="F3093" s="2">
        <v>1990000000</v>
      </c>
    </row>
    <row r="3094" spans="1:6">
      <c r="A3094" s="32">
        <v>39213</v>
      </c>
      <c r="B3094">
        <v>705.28</v>
      </c>
      <c r="C3094">
        <v>708.19</v>
      </c>
      <c r="D3094">
        <v>703.11</v>
      </c>
      <c r="E3094">
        <v>706.9</v>
      </c>
      <c r="F3094" s="2">
        <v>2220000000</v>
      </c>
    </row>
    <row r="3095" spans="1:6">
      <c r="A3095" s="32">
        <v>39212</v>
      </c>
      <c r="B3095">
        <v>706.84</v>
      </c>
      <c r="C3095">
        <v>710.01</v>
      </c>
      <c r="D3095">
        <v>705.83</v>
      </c>
      <c r="E3095">
        <v>707.19</v>
      </c>
      <c r="F3095" s="2">
        <v>2170000000</v>
      </c>
    </row>
    <row r="3096" spans="1:6">
      <c r="A3096" s="32">
        <v>39211</v>
      </c>
      <c r="B3096">
        <v>715.55</v>
      </c>
      <c r="C3096">
        <v>716.04</v>
      </c>
      <c r="D3096">
        <v>704.79</v>
      </c>
      <c r="E3096">
        <v>706.29</v>
      </c>
      <c r="F3096" s="2">
        <v>1780000000</v>
      </c>
    </row>
    <row r="3097" spans="1:6">
      <c r="A3097" s="32">
        <v>39210</v>
      </c>
      <c r="B3097">
        <v>717.24</v>
      </c>
      <c r="C3097">
        <v>717.93</v>
      </c>
      <c r="D3097">
        <v>712.87</v>
      </c>
      <c r="E3097">
        <v>712.87</v>
      </c>
      <c r="F3097" s="2">
        <v>1810000000</v>
      </c>
    </row>
    <row r="3098" spans="1:6">
      <c r="A3098" s="32">
        <v>39206</v>
      </c>
      <c r="B3098">
        <v>712.41</v>
      </c>
      <c r="C3098">
        <v>716.44</v>
      </c>
      <c r="D3098">
        <v>710.13</v>
      </c>
      <c r="E3098">
        <v>716.44</v>
      </c>
      <c r="F3098" s="2">
        <v>2730000000</v>
      </c>
    </row>
    <row r="3099" spans="1:6">
      <c r="A3099" s="32">
        <v>39205</v>
      </c>
      <c r="B3099">
        <v>708.04</v>
      </c>
      <c r="C3099">
        <v>713.64</v>
      </c>
      <c r="D3099">
        <v>708.04</v>
      </c>
      <c r="E3099">
        <v>709.91</v>
      </c>
      <c r="F3099" s="2">
        <v>3620000000</v>
      </c>
    </row>
    <row r="3100" spans="1:6">
      <c r="A3100" s="32">
        <v>39204</v>
      </c>
      <c r="B3100">
        <v>700.1</v>
      </c>
      <c r="C3100">
        <v>706.36</v>
      </c>
      <c r="D3100">
        <v>700.1</v>
      </c>
      <c r="E3100">
        <v>705.47</v>
      </c>
      <c r="F3100" s="2">
        <v>1930000000</v>
      </c>
    </row>
    <row r="3101" spans="1:6">
      <c r="A3101" s="32">
        <v>39202</v>
      </c>
      <c r="B3101">
        <v>695.3</v>
      </c>
      <c r="C3101">
        <v>699.16</v>
      </c>
      <c r="D3101">
        <v>694.25</v>
      </c>
      <c r="E3101">
        <v>699.16</v>
      </c>
      <c r="F3101" s="2">
        <v>1430000000</v>
      </c>
    </row>
    <row r="3102" spans="1:6">
      <c r="A3102" s="32">
        <v>39199</v>
      </c>
      <c r="B3102">
        <v>692.35</v>
      </c>
      <c r="C3102">
        <v>695.11</v>
      </c>
      <c r="D3102">
        <v>691.63</v>
      </c>
      <c r="E3102">
        <v>695.11</v>
      </c>
      <c r="F3102" s="2">
        <v>1280000000</v>
      </c>
    </row>
    <row r="3103" spans="1:6">
      <c r="A3103" s="32">
        <v>39198</v>
      </c>
      <c r="B3103">
        <v>692.99</v>
      </c>
      <c r="C3103">
        <v>695.91</v>
      </c>
      <c r="D3103">
        <v>690.79</v>
      </c>
      <c r="E3103">
        <v>690.79</v>
      </c>
      <c r="F3103" s="2">
        <v>1590000000</v>
      </c>
    </row>
    <row r="3104" spans="1:6">
      <c r="A3104" s="32">
        <v>39197</v>
      </c>
      <c r="B3104">
        <v>686.56</v>
      </c>
      <c r="C3104">
        <v>691.48</v>
      </c>
      <c r="D3104">
        <v>686.56</v>
      </c>
      <c r="E3104">
        <v>690.3</v>
      </c>
      <c r="F3104" s="2">
        <v>1880000000</v>
      </c>
    </row>
    <row r="3105" spans="1:6">
      <c r="A3105" s="32">
        <v>39196</v>
      </c>
      <c r="B3105">
        <v>686.43</v>
      </c>
      <c r="C3105">
        <v>688.33</v>
      </c>
      <c r="D3105">
        <v>685.48</v>
      </c>
      <c r="E3105">
        <v>685.48</v>
      </c>
      <c r="F3105" s="2">
        <v>2030000000</v>
      </c>
    </row>
    <row r="3106" spans="1:6">
      <c r="A3106" s="32">
        <v>39195</v>
      </c>
      <c r="B3106">
        <v>689.34</v>
      </c>
      <c r="C3106">
        <v>690.53</v>
      </c>
      <c r="D3106">
        <v>685.16</v>
      </c>
      <c r="E3106">
        <v>686.18</v>
      </c>
      <c r="F3106" s="2">
        <v>1470000000</v>
      </c>
    </row>
    <row r="3107" spans="1:6">
      <c r="A3107" s="32">
        <v>39192</v>
      </c>
      <c r="B3107">
        <v>687.92</v>
      </c>
      <c r="C3107">
        <v>690.2</v>
      </c>
      <c r="D3107">
        <v>687.11</v>
      </c>
      <c r="E3107">
        <v>687.53</v>
      </c>
      <c r="F3107" s="2">
        <v>1120000000</v>
      </c>
    </row>
    <row r="3108" spans="1:6">
      <c r="A3108" s="32">
        <v>39191</v>
      </c>
      <c r="B3108">
        <v>691.31</v>
      </c>
      <c r="C3108">
        <v>691.31</v>
      </c>
      <c r="D3108">
        <v>686.48</v>
      </c>
      <c r="E3108">
        <v>687.23</v>
      </c>
      <c r="F3108" s="2">
        <v>1100000000</v>
      </c>
    </row>
    <row r="3109" spans="1:6">
      <c r="A3109" s="32">
        <v>39190</v>
      </c>
      <c r="B3109">
        <v>694.98</v>
      </c>
      <c r="C3109">
        <v>696.16</v>
      </c>
      <c r="D3109">
        <v>691.18</v>
      </c>
      <c r="E3109">
        <v>692.27</v>
      </c>
      <c r="F3109" s="2">
        <v>1090000000</v>
      </c>
    </row>
    <row r="3110" spans="1:6">
      <c r="A3110" s="32">
        <v>39189</v>
      </c>
      <c r="B3110">
        <v>693.09</v>
      </c>
      <c r="C3110">
        <v>696.24</v>
      </c>
      <c r="D3110">
        <v>693.09</v>
      </c>
      <c r="E3110">
        <v>695.03</v>
      </c>
      <c r="F3110" s="2">
        <v>897450000</v>
      </c>
    </row>
    <row r="3111" spans="1:6">
      <c r="A3111" s="32">
        <v>39184</v>
      </c>
      <c r="B3111">
        <v>694.34</v>
      </c>
      <c r="C3111">
        <v>694.36</v>
      </c>
      <c r="D3111">
        <v>690.94</v>
      </c>
      <c r="E3111">
        <v>692.46</v>
      </c>
      <c r="F3111" s="2">
        <v>785640000</v>
      </c>
    </row>
    <row r="3112" spans="1:6">
      <c r="A3112" s="32">
        <v>39183</v>
      </c>
      <c r="B3112">
        <v>689.67</v>
      </c>
      <c r="C3112">
        <v>695.1</v>
      </c>
      <c r="D3112">
        <v>689.67</v>
      </c>
      <c r="E3112">
        <v>695.1</v>
      </c>
      <c r="F3112" s="2">
        <v>1030000000</v>
      </c>
    </row>
    <row r="3113" spans="1:6">
      <c r="A3113" s="32">
        <v>39182</v>
      </c>
      <c r="B3113">
        <v>688.23</v>
      </c>
      <c r="C3113">
        <v>690.3</v>
      </c>
      <c r="D3113">
        <v>687.43</v>
      </c>
      <c r="E3113">
        <v>689.48</v>
      </c>
      <c r="F3113" s="2">
        <v>1160000000</v>
      </c>
    </row>
    <row r="3114" spans="1:6">
      <c r="A3114" s="32">
        <v>39181</v>
      </c>
      <c r="B3114">
        <v>693.13</v>
      </c>
      <c r="C3114">
        <v>693.25</v>
      </c>
      <c r="D3114">
        <v>687.74</v>
      </c>
      <c r="E3114">
        <v>688.55</v>
      </c>
      <c r="F3114" s="2">
        <v>1060000000</v>
      </c>
    </row>
    <row r="3115" spans="1:6">
      <c r="A3115" s="32">
        <v>39177</v>
      </c>
      <c r="B3115">
        <v>693.95</v>
      </c>
      <c r="C3115">
        <v>693.99</v>
      </c>
      <c r="D3115">
        <v>689.67</v>
      </c>
      <c r="E3115">
        <v>692.47</v>
      </c>
      <c r="F3115" s="2">
        <v>2870000000</v>
      </c>
    </row>
    <row r="3116" spans="1:6">
      <c r="A3116" s="32">
        <v>39176</v>
      </c>
      <c r="B3116">
        <v>690.7</v>
      </c>
      <c r="C3116">
        <v>695.99</v>
      </c>
      <c r="D3116">
        <v>690.34</v>
      </c>
      <c r="E3116">
        <v>693.54</v>
      </c>
      <c r="F3116" s="2">
        <v>2960000000</v>
      </c>
    </row>
    <row r="3117" spans="1:6">
      <c r="A3117" s="32">
        <v>39175</v>
      </c>
      <c r="B3117">
        <v>679.74</v>
      </c>
      <c r="C3117">
        <v>686.53</v>
      </c>
      <c r="D3117">
        <v>679.27</v>
      </c>
      <c r="E3117">
        <v>686.53</v>
      </c>
      <c r="F3117" s="2">
        <v>2880000000</v>
      </c>
    </row>
    <row r="3118" spans="1:6">
      <c r="A3118" s="32">
        <v>39174</v>
      </c>
      <c r="B3118">
        <v>675.19</v>
      </c>
      <c r="C3118">
        <v>681.28</v>
      </c>
      <c r="D3118">
        <v>675.19</v>
      </c>
      <c r="E3118">
        <v>679.62</v>
      </c>
      <c r="F3118" s="2">
        <v>1970000000</v>
      </c>
    </row>
    <row r="3119" spans="1:6">
      <c r="A3119" s="32">
        <v>39171</v>
      </c>
      <c r="B3119">
        <v>671.42</v>
      </c>
      <c r="C3119">
        <v>674.39</v>
      </c>
      <c r="D3119">
        <v>671.13</v>
      </c>
      <c r="E3119">
        <v>673.71</v>
      </c>
      <c r="F3119" s="2">
        <v>1220000000</v>
      </c>
    </row>
    <row r="3120" spans="1:6">
      <c r="A3120" s="32">
        <v>39170</v>
      </c>
      <c r="B3120">
        <v>667.22</v>
      </c>
      <c r="C3120">
        <v>671.62</v>
      </c>
      <c r="D3120">
        <v>666.3</v>
      </c>
      <c r="E3120">
        <v>671.62</v>
      </c>
      <c r="F3120" s="2">
        <v>985910000</v>
      </c>
    </row>
    <row r="3121" spans="1:6">
      <c r="A3121" s="32">
        <v>39169</v>
      </c>
      <c r="B3121">
        <v>679.47</v>
      </c>
      <c r="C3121">
        <v>679.47</v>
      </c>
      <c r="D3121">
        <v>667.9</v>
      </c>
      <c r="E3121">
        <v>669.04</v>
      </c>
      <c r="F3121" s="2">
        <v>1850000000</v>
      </c>
    </row>
    <row r="3122" spans="1:6">
      <c r="A3122" s="32">
        <v>39168</v>
      </c>
      <c r="B3122">
        <v>680</v>
      </c>
      <c r="C3122">
        <v>680.81</v>
      </c>
      <c r="D3122">
        <v>677.07</v>
      </c>
      <c r="E3122">
        <v>678.57</v>
      </c>
      <c r="F3122" s="2">
        <v>1200000000</v>
      </c>
    </row>
    <row r="3123" spans="1:6">
      <c r="A3123" s="32">
        <v>39167</v>
      </c>
      <c r="B3123">
        <v>678.46</v>
      </c>
      <c r="C3123">
        <v>680.87</v>
      </c>
      <c r="D3123">
        <v>676.77</v>
      </c>
      <c r="E3123">
        <v>679.04</v>
      </c>
      <c r="F3123" s="2">
        <v>1170000000</v>
      </c>
    </row>
    <row r="3124" spans="1:6">
      <c r="A3124" s="32">
        <v>39164</v>
      </c>
      <c r="B3124">
        <v>675.86</v>
      </c>
      <c r="C3124">
        <v>678.11</v>
      </c>
      <c r="D3124">
        <v>674.95</v>
      </c>
      <c r="E3124">
        <v>677.79</v>
      </c>
      <c r="F3124" s="2">
        <v>1680000000</v>
      </c>
    </row>
    <row r="3125" spans="1:6">
      <c r="A3125" s="32">
        <v>39163</v>
      </c>
      <c r="B3125">
        <v>672.83</v>
      </c>
      <c r="C3125">
        <v>674.99</v>
      </c>
      <c r="D3125">
        <v>671.99</v>
      </c>
      <c r="E3125">
        <v>674.84</v>
      </c>
      <c r="F3125" s="2">
        <v>1940000000</v>
      </c>
    </row>
    <row r="3126" spans="1:6">
      <c r="A3126" s="32">
        <v>39162</v>
      </c>
      <c r="B3126">
        <v>671.94</v>
      </c>
      <c r="C3126">
        <v>672.18</v>
      </c>
      <c r="D3126">
        <v>667.1</v>
      </c>
      <c r="E3126">
        <v>669.56</v>
      </c>
      <c r="F3126" s="2">
        <v>1700000000</v>
      </c>
    </row>
    <row r="3127" spans="1:6">
      <c r="A3127" s="32">
        <v>39161</v>
      </c>
      <c r="B3127">
        <v>672.72</v>
      </c>
      <c r="C3127">
        <v>672.99</v>
      </c>
      <c r="D3127">
        <v>668.52</v>
      </c>
      <c r="E3127">
        <v>671.76</v>
      </c>
      <c r="F3127" s="2">
        <v>1840000000</v>
      </c>
    </row>
    <row r="3128" spans="1:6">
      <c r="A3128" s="32">
        <v>39160</v>
      </c>
      <c r="B3128">
        <v>671.24</v>
      </c>
      <c r="C3128">
        <v>672.12</v>
      </c>
      <c r="D3128">
        <v>669.14</v>
      </c>
      <c r="E3128">
        <v>669.14</v>
      </c>
      <c r="F3128" s="2">
        <v>1580000000</v>
      </c>
    </row>
    <row r="3129" spans="1:6">
      <c r="A3129" s="32">
        <v>39157</v>
      </c>
      <c r="B3129">
        <v>673.45</v>
      </c>
      <c r="C3129">
        <v>674.61</v>
      </c>
      <c r="D3129">
        <v>671.05</v>
      </c>
      <c r="E3129">
        <v>671.05</v>
      </c>
      <c r="F3129" s="2">
        <v>1640000000</v>
      </c>
    </row>
    <row r="3130" spans="1:6">
      <c r="A3130" s="32">
        <v>39156</v>
      </c>
      <c r="B3130">
        <v>672.19</v>
      </c>
      <c r="C3130">
        <v>675.71</v>
      </c>
      <c r="D3130">
        <v>672.19</v>
      </c>
      <c r="E3130">
        <v>674.31</v>
      </c>
      <c r="F3130" s="2">
        <v>2130000000</v>
      </c>
    </row>
    <row r="3131" spans="1:6">
      <c r="A3131" s="32">
        <v>39155</v>
      </c>
      <c r="B3131">
        <v>671.32</v>
      </c>
      <c r="C3131">
        <v>673.53</v>
      </c>
      <c r="D3131">
        <v>668.76</v>
      </c>
      <c r="E3131">
        <v>670.62</v>
      </c>
      <c r="F3131" s="2">
        <v>1770000000</v>
      </c>
    </row>
    <row r="3132" spans="1:6">
      <c r="A3132" s="32">
        <v>39154</v>
      </c>
      <c r="B3132">
        <v>672.96</v>
      </c>
      <c r="C3132">
        <v>677.15</v>
      </c>
      <c r="D3132">
        <v>672.87</v>
      </c>
      <c r="E3132">
        <v>675.2</v>
      </c>
      <c r="F3132" s="2">
        <v>1560000000</v>
      </c>
    </row>
    <row r="3133" spans="1:6">
      <c r="A3133" s="32">
        <v>39153</v>
      </c>
      <c r="B3133">
        <v>672.5</v>
      </c>
      <c r="C3133">
        <v>675.31</v>
      </c>
      <c r="D3133">
        <v>671.54</v>
      </c>
      <c r="E3133">
        <v>672.36</v>
      </c>
      <c r="F3133" s="2">
        <v>1230000000</v>
      </c>
    </row>
    <row r="3134" spans="1:6">
      <c r="A3134" s="32">
        <v>39150</v>
      </c>
      <c r="B3134">
        <v>672.64</v>
      </c>
      <c r="C3134">
        <v>673.98</v>
      </c>
      <c r="D3134">
        <v>670.69</v>
      </c>
      <c r="E3134">
        <v>671.17</v>
      </c>
      <c r="F3134" s="2">
        <v>1200000000</v>
      </c>
    </row>
    <row r="3135" spans="1:6">
      <c r="A3135" s="32">
        <v>39149</v>
      </c>
      <c r="B3135">
        <v>671.65</v>
      </c>
      <c r="C3135">
        <v>673.15</v>
      </c>
      <c r="D3135">
        <v>671.03</v>
      </c>
      <c r="E3135">
        <v>671.98</v>
      </c>
      <c r="F3135" s="2">
        <v>1080000000</v>
      </c>
    </row>
    <row r="3136" spans="1:6">
      <c r="A3136" s="32">
        <v>39148</v>
      </c>
      <c r="B3136">
        <v>676.61</v>
      </c>
      <c r="C3136">
        <v>679.25</v>
      </c>
      <c r="D3136">
        <v>670.37</v>
      </c>
      <c r="E3136">
        <v>670.37</v>
      </c>
      <c r="F3136" s="2">
        <v>1530000000</v>
      </c>
    </row>
    <row r="3137" spans="1:6">
      <c r="A3137" s="32">
        <v>39147</v>
      </c>
      <c r="B3137">
        <v>678.71</v>
      </c>
      <c r="C3137">
        <v>678.71</v>
      </c>
      <c r="D3137">
        <v>671</v>
      </c>
      <c r="E3137">
        <v>674.24</v>
      </c>
      <c r="F3137" s="2">
        <v>1490000000</v>
      </c>
    </row>
    <row r="3138" spans="1:6">
      <c r="A3138" s="32">
        <v>39143</v>
      </c>
      <c r="B3138">
        <v>680.61</v>
      </c>
      <c r="C3138">
        <v>683.58</v>
      </c>
      <c r="D3138">
        <v>677.92</v>
      </c>
      <c r="E3138">
        <v>679.02</v>
      </c>
      <c r="F3138" s="2">
        <v>2160000000</v>
      </c>
    </row>
    <row r="3139" spans="1:6">
      <c r="A3139" s="32">
        <v>39142</v>
      </c>
      <c r="B3139">
        <v>678.79</v>
      </c>
      <c r="C3139">
        <v>682.57</v>
      </c>
      <c r="D3139">
        <v>677.84</v>
      </c>
      <c r="E3139">
        <v>680.6</v>
      </c>
      <c r="F3139" s="2">
        <v>2370000000</v>
      </c>
    </row>
    <row r="3140" spans="1:6">
      <c r="A3140" s="32">
        <v>39141</v>
      </c>
      <c r="B3140">
        <v>667.46</v>
      </c>
      <c r="C3140">
        <v>677.13</v>
      </c>
      <c r="D3140">
        <v>665.04</v>
      </c>
      <c r="E3140">
        <v>677.13</v>
      </c>
      <c r="F3140" s="2">
        <v>2680000000</v>
      </c>
    </row>
    <row r="3141" spans="1:6">
      <c r="A3141" s="32">
        <v>39140</v>
      </c>
      <c r="B3141">
        <v>688.51</v>
      </c>
      <c r="C3141">
        <v>690.47</v>
      </c>
      <c r="D3141">
        <v>682.26</v>
      </c>
      <c r="E3141">
        <v>683.95</v>
      </c>
      <c r="F3141" s="2">
        <v>1810000000</v>
      </c>
    </row>
    <row r="3142" spans="1:6">
      <c r="A3142" s="32">
        <v>39139</v>
      </c>
      <c r="B3142">
        <v>692.08</v>
      </c>
      <c r="C3142">
        <v>692.42</v>
      </c>
      <c r="D3142">
        <v>686.04</v>
      </c>
      <c r="E3142">
        <v>688.7</v>
      </c>
      <c r="F3142" s="2">
        <v>1360000000</v>
      </c>
    </row>
    <row r="3143" spans="1:6">
      <c r="A3143" s="32">
        <v>39136</v>
      </c>
      <c r="B3143">
        <v>694.99</v>
      </c>
      <c r="C3143">
        <v>695.63</v>
      </c>
      <c r="D3143">
        <v>688.37</v>
      </c>
      <c r="E3143">
        <v>690.76</v>
      </c>
      <c r="F3143" s="2">
        <v>1970000000</v>
      </c>
    </row>
    <row r="3144" spans="1:6">
      <c r="A3144" s="32">
        <v>39135</v>
      </c>
      <c r="B3144">
        <v>693.27</v>
      </c>
      <c r="C3144">
        <v>698.86</v>
      </c>
      <c r="D3144">
        <v>693.27</v>
      </c>
      <c r="E3144">
        <v>693.61</v>
      </c>
      <c r="F3144" s="2">
        <v>2050000000</v>
      </c>
    </row>
    <row r="3145" spans="1:6">
      <c r="A3145" s="32">
        <v>39134</v>
      </c>
      <c r="B3145">
        <v>691.28</v>
      </c>
      <c r="C3145">
        <v>693.9</v>
      </c>
      <c r="D3145">
        <v>688.28</v>
      </c>
      <c r="E3145">
        <v>692.38</v>
      </c>
      <c r="F3145" s="2">
        <v>1700000000</v>
      </c>
    </row>
    <row r="3146" spans="1:6">
      <c r="A3146" s="32">
        <v>39133</v>
      </c>
      <c r="B3146">
        <v>686.48</v>
      </c>
      <c r="C3146">
        <v>691.44</v>
      </c>
      <c r="D3146">
        <v>686.48</v>
      </c>
      <c r="E3146">
        <v>690.67</v>
      </c>
      <c r="F3146" s="2">
        <v>1330000000</v>
      </c>
    </row>
    <row r="3147" spans="1:6">
      <c r="A3147" s="32">
        <v>39132</v>
      </c>
      <c r="B3147">
        <v>685.42</v>
      </c>
      <c r="C3147">
        <v>687.41</v>
      </c>
      <c r="D3147">
        <v>682.51</v>
      </c>
      <c r="E3147">
        <v>685.38</v>
      </c>
      <c r="F3147" s="2">
        <v>819920000</v>
      </c>
    </row>
    <row r="3148" spans="1:6">
      <c r="A3148" s="32">
        <v>39129</v>
      </c>
      <c r="B3148">
        <v>693.97</v>
      </c>
      <c r="C3148">
        <v>693.97</v>
      </c>
      <c r="D3148">
        <v>687.89</v>
      </c>
      <c r="E3148">
        <v>688.01</v>
      </c>
      <c r="F3148" s="2">
        <v>1170000000</v>
      </c>
    </row>
    <row r="3149" spans="1:6">
      <c r="A3149" s="32">
        <v>39128</v>
      </c>
      <c r="B3149">
        <v>698.12</v>
      </c>
      <c r="C3149">
        <v>701.85</v>
      </c>
      <c r="D3149">
        <v>693.86</v>
      </c>
      <c r="E3149">
        <v>693.86</v>
      </c>
      <c r="F3149" s="2">
        <v>2510000000</v>
      </c>
    </row>
    <row r="3150" spans="1:6">
      <c r="A3150" s="32">
        <v>39127</v>
      </c>
      <c r="B3150">
        <v>696.08</v>
      </c>
      <c r="C3150">
        <v>698.61</v>
      </c>
      <c r="D3150">
        <v>696.03</v>
      </c>
      <c r="E3150">
        <v>697.84</v>
      </c>
      <c r="F3150" s="2">
        <v>3020000000</v>
      </c>
    </row>
    <row r="3151" spans="1:6">
      <c r="A3151" s="32">
        <v>39126</v>
      </c>
      <c r="B3151">
        <v>698.59</v>
      </c>
      <c r="C3151">
        <v>698.59</v>
      </c>
      <c r="D3151">
        <v>690.27</v>
      </c>
      <c r="E3151">
        <v>692.48</v>
      </c>
      <c r="F3151" s="2">
        <v>2640000000</v>
      </c>
    </row>
    <row r="3152" spans="1:6">
      <c r="A3152" s="32">
        <v>39125</v>
      </c>
      <c r="B3152">
        <v>695.33</v>
      </c>
      <c r="C3152">
        <v>697.58</v>
      </c>
      <c r="D3152">
        <v>692.68</v>
      </c>
      <c r="E3152">
        <v>697.46</v>
      </c>
      <c r="F3152" s="2">
        <v>2250000000</v>
      </c>
    </row>
    <row r="3153" spans="1:6">
      <c r="A3153" s="32">
        <v>39122</v>
      </c>
      <c r="B3153">
        <v>694.96</v>
      </c>
      <c r="C3153">
        <v>697.83</v>
      </c>
      <c r="D3153">
        <v>691.76</v>
      </c>
      <c r="E3153">
        <v>695.27</v>
      </c>
      <c r="F3153" s="2">
        <v>2620000000</v>
      </c>
    </row>
    <row r="3154" spans="1:6">
      <c r="A3154" s="32">
        <v>39121</v>
      </c>
      <c r="B3154">
        <v>676.7</v>
      </c>
      <c r="C3154">
        <v>692.89</v>
      </c>
      <c r="D3154">
        <v>676.7</v>
      </c>
      <c r="E3154">
        <v>691.28</v>
      </c>
      <c r="F3154" s="2">
        <v>3450000000</v>
      </c>
    </row>
    <row r="3155" spans="1:6">
      <c r="A3155" s="32">
        <v>39120</v>
      </c>
      <c r="B3155">
        <v>676.07</v>
      </c>
      <c r="C3155">
        <v>679</v>
      </c>
      <c r="D3155">
        <v>675.08</v>
      </c>
      <c r="E3155">
        <v>675.33</v>
      </c>
      <c r="F3155" s="2">
        <v>2180000000</v>
      </c>
    </row>
    <row r="3156" spans="1:6">
      <c r="A3156" s="32">
        <v>39119</v>
      </c>
      <c r="B3156">
        <v>677.36</v>
      </c>
      <c r="C3156">
        <v>677.42</v>
      </c>
      <c r="D3156">
        <v>671.77</v>
      </c>
      <c r="E3156">
        <v>673.63</v>
      </c>
      <c r="F3156" s="2">
        <v>2330000000</v>
      </c>
    </row>
    <row r="3157" spans="1:6">
      <c r="A3157" s="32">
        <v>39118</v>
      </c>
      <c r="B3157">
        <v>673.88</v>
      </c>
      <c r="C3157">
        <v>676.77</v>
      </c>
      <c r="D3157">
        <v>670.72</v>
      </c>
      <c r="E3157">
        <v>674.42</v>
      </c>
      <c r="F3157" s="2">
        <v>2770000000</v>
      </c>
    </row>
    <row r="3158" spans="1:6">
      <c r="A3158" s="32">
        <v>39115</v>
      </c>
      <c r="B3158">
        <v>659.77</v>
      </c>
      <c r="C3158">
        <v>671.08</v>
      </c>
      <c r="D3158">
        <v>659.77</v>
      </c>
      <c r="E3158">
        <v>670.6</v>
      </c>
      <c r="F3158" s="2">
        <v>4190000000</v>
      </c>
    </row>
    <row r="3159" spans="1:6">
      <c r="A3159" s="32">
        <v>39114</v>
      </c>
      <c r="B3159">
        <v>655.96</v>
      </c>
      <c r="C3159">
        <v>659.98</v>
      </c>
      <c r="D3159">
        <v>655.96</v>
      </c>
      <c r="E3159">
        <v>657</v>
      </c>
      <c r="F3159" s="2">
        <v>2550000000</v>
      </c>
    </row>
    <row r="3160" spans="1:6">
      <c r="A3160" s="32">
        <v>39113</v>
      </c>
      <c r="B3160">
        <v>654.98</v>
      </c>
      <c r="C3160">
        <v>656.78</v>
      </c>
      <c r="D3160">
        <v>652.94000000000005</v>
      </c>
      <c r="E3160">
        <v>654.04</v>
      </c>
      <c r="F3160" s="2">
        <v>2320000000</v>
      </c>
    </row>
    <row r="3161" spans="1:6">
      <c r="A3161" s="32">
        <v>39112</v>
      </c>
      <c r="B3161">
        <v>653.42999999999995</v>
      </c>
      <c r="C3161">
        <v>655</v>
      </c>
      <c r="D3161">
        <v>650.11</v>
      </c>
      <c r="E3161">
        <v>653.49</v>
      </c>
      <c r="F3161" s="2">
        <v>2180000000</v>
      </c>
    </row>
    <row r="3162" spans="1:6">
      <c r="A3162" s="32">
        <v>39111</v>
      </c>
      <c r="B3162">
        <v>658.95</v>
      </c>
      <c r="C3162">
        <v>660.57</v>
      </c>
      <c r="D3162">
        <v>653.64</v>
      </c>
      <c r="E3162">
        <v>653.91999999999996</v>
      </c>
      <c r="F3162" s="2">
        <v>2500000000</v>
      </c>
    </row>
    <row r="3163" spans="1:6">
      <c r="A3163" s="32">
        <v>39108</v>
      </c>
      <c r="B3163">
        <v>658.24</v>
      </c>
      <c r="C3163">
        <v>660.12</v>
      </c>
      <c r="D3163">
        <v>655.87</v>
      </c>
      <c r="E3163">
        <v>657.65</v>
      </c>
      <c r="F3163" s="2">
        <v>2550000000</v>
      </c>
    </row>
    <row r="3164" spans="1:6">
      <c r="A3164" s="32">
        <v>39107</v>
      </c>
      <c r="B3164">
        <v>660.69</v>
      </c>
      <c r="C3164">
        <v>662.13</v>
      </c>
      <c r="D3164">
        <v>658.74</v>
      </c>
      <c r="E3164">
        <v>660.71</v>
      </c>
      <c r="F3164" s="2">
        <v>2840000000</v>
      </c>
    </row>
    <row r="3165" spans="1:6">
      <c r="A3165" s="32">
        <v>39106</v>
      </c>
      <c r="B3165">
        <v>656.62</v>
      </c>
      <c r="C3165">
        <v>657.63</v>
      </c>
      <c r="D3165">
        <v>653.08000000000004</v>
      </c>
      <c r="E3165">
        <v>657.16</v>
      </c>
      <c r="F3165" s="2">
        <v>2000000000</v>
      </c>
    </row>
    <row r="3166" spans="1:6">
      <c r="A3166" s="32">
        <v>39105</v>
      </c>
      <c r="B3166">
        <v>651.41</v>
      </c>
      <c r="C3166">
        <v>651.99</v>
      </c>
      <c r="D3166">
        <v>647.35</v>
      </c>
      <c r="E3166">
        <v>650.76</v>
      </c>
      <c r="F3166" s="2">
        <v>2020000000</v>
      </c>
    </row>
    <row r="3167" spans="1:6">
      <c r="A3167" s="32">
        <v>39104</v>
      </c>
      <c r="B3167">
        <v>660.09</v>
      </c>
      <c r="C3167">
        <v>661.03</v>
      </c>
      <c r="D3167">
        <v>654.01</v>
      </c>
      <c r="E3167">
        <v>655.12</v>
      </c>
      <c r="F3167" s="2">
        <v>2590000000</v>
      </c>
    </row>
    <row r="3168" spans="1:6">
      <c r="A3168" s="32">
        <v>39101</v>
      </c>
      <c r="B3168">
        <v>655.41</v>
      </c>
      <c r="C3168">
        <v>660.09</v>
      </c>
      <c r="D3168">
        <v>653.96</v>
      </c>
      <c r="E3168">
        <v>658.17</v>
      </c>
      <c r="F3168" s="2">
        <v>2250000000</v>
      </c>
    </row>
    <row r="3169" spans="1:6">
      <c r="A3169" s="32">
        <v>39100</v>
      </c>
      <c r="B3169">
        <v>653.74</v>
      </c>
      <c r="C3169">
        <v>655.41</v>
      </c>
      <c r="D3169">
        <v>650.23</v>
      </c>
      <c r="E3169">
        <v>654.89</v>
      </c>
      <c r="F3169" s="2">
        <v>1890000000</v>
      </c>
    </row>
    <row r="3170" spans="1:6">
      <c r="A3170" s="32">
        <v>39099</v>
      </c>
      <c r="B3170">
        <v>654.89</v>
      </c>
      <c r="C3170">
        <v>658.1</v>
      </c>
      <c r="D3170">
        <v>650.63</v>
      </c>
      <c r="E3170">
        <v>651.47</v>
      </c>
      <c r="F3170" s="2">
        <v>2410000000</v>
      </c>
    </row>
    <row r="3171" spans="1:6">
      <c r="A3171" s="32">
        <v>39098</v>
      </c>
      <c r="B3171">
        <v>657.85</v>
      </c>
      <c r="C3171">
        <v>660.91</v>
      </c>
      <c r="D3171">
        <v>652.75</v>
      </c>
      <c r="E3171">
        <v>655.9</v>
      </c>
      <c r="F3171" s="2">
        <v>3150000000</v>
      </c>
    </row>
    <row r="3172" spans="1:6">
      <c r="A3172" s="32">
        <v>39097</v>
      </c>
      <c r="B3172">
        <v>648.66</v>
      </c>
      <c r="C3172">
        <v>656.97</v>
      </c>
      <c r="D3172">
        <v>648.19000000000005</v>
      </c>
      <c r="E3172">
        <v>656.31</v>
      </c>
      <c r="F3172" s="2">
        <v>2380000000</v>
      </c>
    </row>
    <row r="3173" spans="1:6">
      <c r="A3173" s="32">
        <v>39094</v>
      </c>
      <c r="B3173">
        <v>647.14</v>
      </c>
      <c r="C3173">
        <v>648.48</v>
      </c>
      <c r="D3173">
        <v>641.91</v>
      </c>
      <c r="E3173">
        <v>645.71</v>
      </c>
      <c r="F3173" s="2">
        <v>2900000000</v>
      </c>
    </row>
    <row r="3174" spans="1:6">
      <c r="A3174" s="32">
        <v>39093</v>
      </c>
      <c r="B3174">
        <v>625.65</v>
      </c>
      <c r="C3174">
        <v>639.47</v>
      </c>
      <c r="D3174">
        <v>625.65</v>
      </c>
      <c r="E3174">
        <v>637.63</v>
      </c>
      <c r="F3174" s="2">
        <v>2940000000</v>
      </c>
    </row>
    <row r="3175" spans="1:6">
      <c r="A3175" s="32">
        <v>39092</v>
      </c>
      <c r="B3175">
        <v>609.83000000000004</v>
      </c>
      <c r="C3175">
        <v>622.27</v>
      </c>
      <c r="D3175">
        <v>608.14</v>
      </c>
      <c r="E3175">
        <v>622.27</v>
      </c>
      <c r="F3175" s="2">
        <v>2130000000</v>
      </c>
    </row>
    <row r="3176" spans="1:6">
      <c r="A3176" s="32">
        <v>39091</v>
      </c>
      <c r="B3176">
        <v>633.15</v>
      </c>
      <c r="C3176">
        <v>636.59</v>
      </c>
      <c r="D3176">
        <v>615.66</v>
      </c>
      <c r="E3176">
        <v>616.75</v>
      </c>
      <c r="F3176" s="2">
        <v>2880000000</v>
      </c>
    </row>
    <row r="3177" spans="1:6">
      <c r="A3177" s="32">
        <v>39090</v>
      </c>
      <c r="B3177">
        <v>625.38</v>
      </c>
      <c r="C3177">
        <v>639.13</v>
      </c>
      <c r="D3177">
        <v>621.25</v>
      </c>
      <c r="E3177">
        <v>633.82000000000005</v>
      </c>
      <c r="F3177" s="2">
        <v>1890000000</v>
      </c>
    </row>
    <row r="3178" spans="1:6">
      <c r="A3178" s="32">
        <v>39087</v>
      </c>
      <c r="B3178">
        <v>644.16999999999996</v>
      </c>
      <c r="C3178">
        <v>644.16999999999996</v>
      </c>
      <c r="D3178">
        <v>626.85</v>
      </c>
      <c r="E3178">
        <v>628.19000000000005</v>
      </c>
      <c r="F3178" s="2">
        <v>2360000000</v>
      </c>
    </row>
    <row r="3179" spans="1:6">
      <c r="A3179" s="32">
        <v>39086</v>
      </c>
      <c r="B3179">
        <v>658.4</v>
      </c>
      <c r="C3179">
        <v>660.3</v>
      </c>
      <c r="D3179">
        <v>648.22</v>
      </c>
      <c r="E3179">
        <v>648.22</v>
      </c>
      <c r="F3179" s="2">
        <v>1970000000</v>
      </c>
    </row>
    <row r="3180" spans="1:6">
      <c r="A3180" s="32">
        <v>39085</v>
      </c>
      <c r="B3180">
        <v>677.55</v>
      </c>
      <c r="C3180">
        <v>677.55</v>
      </c>
      <c r="D3180">
        <v>653.14</v>
      </c>
      <c r="E3180">
        <v>659.25</v>
      </c>
      <c r="F3180" s="2">
        <v>2080000000</v>
      </c>
    </row>
    <row r="3181" spans="1:6">
      <c r="A3181" s="32">
        <v>39080</v>
      </c>
      <c r="B3181">
        <v>680.63</v>
      </c>
      <c r="C3181">
        <v>681.14</v>
      </c>
      <c r="D3181">
        <v>672.81</v>
      </c>
      <c r="E3181">
        <v>679.84</v>
      </c>
      <c r="F3181" s="2">
        <v>1360000000</v>
      </c>
    </row>
    <row r="3182" spans="1:6">
      <c r="A3182" s="32">
        <v>39079</v>
      </c>
      <c r="B3182">
        <v>688.66</v>
      </c>
      <c r="C3182">
        <v>689.86</v>
      </c>
      <c r="D3182">
        <v>676.77</v>
      </c>
      <c r="E3182">
        <v>680.36</v>
      </c>
      <c r="F3182" s="2">
        <v>3390000000</v>
      </c>
    </row>
    <row r="3183" spans="1:6">
      <c r="A3183" s="32">
        <v>39078</v>
      </c>
      <c r="B3183">
        <v>688.52</v>
      </c>
      <c r="C3183">
        <v>690.61</v>
      </c>
      <c r="D3183">
        <v>687.88</v>
      </c>
      <c r="E3183">
        <v>687.88</v>
      </c>
      <c r="F3183" s="2">
        <v>1420000000</v>
      </c>
    </row>
    <row r="3184" spans="1:6">
      <c r="A3184" s="32">
        <v>39077</v>
      </c>
      <c r="B3184">
        <v>684.25</v>
      </c>
      <c r="C3184">
        <v>688.72</v>
      </c>
      <c r="D3184">
        <v>684.11</v>
      </c>
      <c r="E3184">
        <v>688.72</v>
      </c>
      <c r="F3184" s="2">
        <v>1400000000</v>
      </c>
    </row>
    <row r="3185" spans="1:6">
      <c r="A3185" s="32">
        <v>39076</v>
      </c>
      <c r="B3185">
        <v>680.19</v>
      </c>
      <c r="C3185">
        <v>684.32</v>
      </c>
      <c r="D3185">
        <v>677.1</v>
      </c>
      <c r="E3185">
        <v>684.32</v>
      </c>
      <c r="F3185" s="2">
        <v>1310000000</v>
      </c>
    </row>
    <row r="3186" spans="1:6">
      <c r="A3186" s="32">
        <v>39073</v>
      </c>
      <c r="B3186">
        <v>674.45</v>
      </c>
      <c r="C3186">
        <v>680.31</v>
      </c>
      <c r="D3186">
        <v>671.29</v>
      </c>
      <c r="E3186">
        <v>680.31</v>
      </c>
      <c r="F3186" s="2">
        <v>3070000000</v>
      </c>
    </row>
    <row r="3187" spans="1:6">
      <c r="A3187" s="32">
        <v>39072</v>
      </c>
      <c r="B3187">
        <v>690.57</v>
      </c>
      <c r="C3187">
        <v>690.57</v>
      </c>
      <c r="D3187">
        <v>671.4</v>
      </c>
      <c r="E3187">
        <v>676.1</v>
      </c>
      <c r="F3187" s="2">
        <v>5370000000</v>
      </c>
    </row>
    <row r="3188" spans="1:6">
      <c r="A3188" s="32">
        <v>39071</v>
      </c>
      <c r="B3188">
        <v>637.73</v>
      </c>
      <c r="C3188">
        <v>691.55</v>
      </c>
      <c r="D3188">
        <v>637.73</v>
      </c>
      <c r="E3188">
        <v>691.55</v>
      </c>
      <c r="F3188" s="2">
        <v>5780000000</v>
      </c>
    </row>
    <row r="3189" spans="1:6">
      <c r="A3189" s="32">
        <v>39070</v>
      </c>
      <c r="B3189">
        <v>721.85</v>
      </c>
      <c r="C3189">
        <v>721.85</v>
      </c>
      <c r="D3189">
        <v>587.91999999999996</v>
      </c>
      <c r="E3189">
        <v>622.14</v>
      </c>
      <c r="F3189" s="2">
        <v>7070000000</v>
      </c>
    </row>
    <row r="3190" spans="1:6">
      <c r="A3190" s="32">
        <v>39069</v>
      </c>
      <c r="B3190">
        <v>736.48</v>
      </c>
      <c r="C3190">
        <v>737.66</v>
      </c>
      <c r="D3190">
        <v>728.58</v>
      </c>
      <c r="E3190">
        <v>730.55</v>
      </c>
      <c r="F3190" s="2">
        <v>1560000000</v>
      </c>
    </row>
    <row r="3191" spans="1:6">
      <c r="A3191" s="32">
        <v>39066</v>
      </c>
      <c r="B3191">
        <v>737.47</v>
      </c>
      <c r="C3191">
        <v>737.47</v>
      </c>
      <c r="D3191">
        <v>730.73</v>
      </c>
      <c r="E3191">
        <v>736.29</v>
      </c>
      <c r="F3191" s="2">
        <v>1830000000</v>
      </c>
    </row>
    <row r="3192" spans="1:6">
      <c r="A3192" s="32">
        <v>39065</v>
      </c>
      <c r="B3192">
        <v>735.43</v>
      </c>
      <c r="C3192">
        <v>738.27</v>
      </c>
      <c r="D3192">
        <v>728.56</v>
      </c>
      <c r="E3192">
        <v>732.4</v>
      </c>
      <c r="F3192" s="2">
        <v>2470000000</v>
      </c>
    </row>
    <row r="3193" spans="1:6">
      <c r="A3193" s="32">
        <v>39064</v>
      </c>
      <c r="B3193">
        <v>738.75</v>
      </c>
      <c r="C3193">
        <v>739.54</v>
      </c>
      <c r="D3193">
        <v>734.79</v>
      </c>
      <c r="E3193">
        <v>734.98</v>
      </c>
      <c r="F3193" s="2">
        <v>2350000000</v>
      </c>
    </row>
    <row r="3194" spans="1:6">
      <c r="A3194" s="32">
        <v>39063</v>
      </c>
      <c r="B3194">
        <v>741.38</v>
      </c>
      <c r="C3194">
        <v>741.87</v>
      </c>
      <c r="D3194">
        <v>736.83</v>
      </c>
      <c r="E3194">
        <v>738.25</v>
      </c>
      <c r="F3194" s="2">
        <v>2050000000</v>
      </c>
    </row>
    <row r="3195" spans="1:6">
      <c r="A3195" s="32">
        <v>39059</v>
      </c>
      <c r="B3195">
        <v>746</v>
      </c>
      <c r="C3195">
        <v>746</v>
      </c>
      <c r="D3195">
        <v>739</v>
      </c>
      <c r="E3195">
        <v>740.94</v>
      </c>
      <c r="F3195" s="2">
        <v>2430000000</v>
      </c>
    </row>
    <row r="3196" spans="1:6">
      <c r="A3196" s="32">
        <v>39058</v>
      </c>
      <c r="B3196">
        <v>745.96</v>
      </c>
      <c r="C3196">
        <v>748.98</v>
      </c>
      <c r="D3196">
        <v>744.38</v>
      </c>
      <c r="E3196">
        <v>745.54</v>
      </c>
      <c r="F3196" s="2">
        <v>3810000000</v>
      </c>
    </row>
    <row r="3197" spans="1:6">
      <c r="A3197" s="32">
        <v>39057</v>
      </c>
      <c r="B3197">
        <v>742.98</v>
      </c>
      <c r="C3197">
        <v>747.24</v>
      </c>
      <c r="D3197">
        <v>742.64</v>
      </c>
      <c r="E3197">
        <v>746.16</v>
      </c>
      <c r="F3197" s="2">
        <v>2670000000</v>
      </c>
    </row>
    <row r="3198" spans="1:6">
      <c r="A3198" s="32">
        <v>39055</v>
      </c>
      <c r="B3198">
        <v>742.55</v>
      </c>
      <c r="C3198">
        <v>742.55</v>
      </c>
      <c r="D3198">
        <v>738.04</v>
      </c>
      <c r="E3198">
        <v>742.45</v>
      </c>
      <c r="F3198" s="2">
        <v>1830000000</v>
      </c>
    </row>
    <row r="3199" spans="1:6">
      <c r="A3199" s="32">
        <v>39052</v>
      </c>
      <c r="B3199">
        <v>741.62</v>
      </c>
      <c r="C3199">
        <v>742.99</v>
      </c>
      <c r="D3199">
        <v>738.82</v>
      </c>
      <c r="E3199">
        <v>741.38</v>
      </c>
      <c r="F3199" s="2">
        <v>2290000000</v>
      </c>
    </row>
    <row r="3200" spans="1:6">
      <c r="A3200" s="32">
        <v>39051</v>
      </c>
      <c r="B3200">
        <v>737.26</v>
      </c>
      <c r="C3200">
        <v>742.3</v>
      </c>
      <c r="D3200">
        <v>737.26</v>
      </c>
      <c r="E3200">
        <v>739.06</v>
      </c>
      <c r="F3200" s="2">
        <v>3640000000</v>
      </c>
    </row>
    <row r="3201" spans="1:6">
      <c r="A3201" s="32">
        <v>39050</v>
      </c>
      <c r="B3201">
        <v>730.41</v>
      </c>
      <c r="C3201">
        <v>735.92</v>
      </c>
      <c r="D3201">
        <v>729.69</v>
      </c>
      <c r="E3201">
        <v>735.76</v>
      </c>
      <c r="F3201" s="2">
        <v>2710000000</v>
      </c>
    </row>
    <row r="3202" spans="1:6">
      <c r="A3202" s="32">
        <v>39049</v>
      </c>
      <c r="B3202">
        <v>734.5</v>
      </c>
      <c r="C3202">
        <v>734.5</v>
      </c>
      <c r="D3202">
        <v>727.33</v>
      </c>
      <c r="E3202">
        <v>727.33</v>
      </c>
      <c r="F3202" s="2">
        <v>2900000000</v>
      </c>
    </row>
    <row r="3203" spans="1:6">
      <c r="A3203" s="32">
        <v>39048</v>
      </c>
      <c r="B3203">
        <v>724.29</v>
      </c>
      <c r="C3203">
        <v>734.66</v>
      </c>
      <c r="D3203">
        <v>724.29</v>
      </c>
      <c r="E3203">
        <v>734.66</v>
      </c>
      <c r="F3203" s="2">
        <v>2130000000</v>
      </c>
    </row>
    <row r="3204" spans="1:6">
      <c r="A3204" s="32">
        <v>39045</v>
      </c>
      <c r="B3204">
        <v>728.61</v>
      </c>
      <c r="C3204">
        <v>728.61</v>
      </c>
      <c r="D3204">
        <v>722.35</v>
      </c>
      <c r="E3204">
        <v>723.87</v>
      </c>
      <c r="F3204" s="2">
        <v>2650000000</v>
      </c>
    </row>
    <row r="3205" spans="1:6">
      <c r="A3205" s="32">
        <v>39044</v>
      </c>
      <c r="B3205">
        <v>729.24</v>
      </c>
      <c r="C3205">
        <v>730.33</v>
      </c>
      <c r="D3205">
        <v>726.6</v>
      </c>
      <c r="E3205">
        <v>728.92</v>
      </c>
      <c r="F3205" s="2">
        <v>3380000000</v>
      </c>
    </row>
    <row r="3206" spans="1:6">
      <c r="A3206" s="32">
        <v>39043</v>
      </c>
      <c r="B3206">
        <v>726.75</v>
      </c>
      <c r="C3206">
        <v>731</v>
      </c>
      <c r="D3206">
        <v>726.72</v>
      </c>
      <c r="E3206">
        <v>729.43</v>
      </c>
      <c r="F3206" s="2">
        <v>4050000000</v>
      </c>
    </row>
    <row r="3207" spans="1:6">
      <c r="A3207" s="32">
        <v>39042</v>
      </c>
      <c r="B3207">
        <v>726.15</v>
      </c>
      <c r="C3207">
        <v>728.57</v>
      </c>
      <c r="D3207">
        <v>723.23</v>
      </c>
      <c r="E3207">
        <v>724.64</v>
      </c>
      <c r="F3207" s="2">
        <v>4360000000</v>
      </c>
    </row>
    <row r="3208" spans="1:6">
      <c r="A3208" s="32">
        <v>39041</v>
      </c>
      <c r="B3208">
        <v>734.04</v>
      </c>
      <c r="C3208">
        <v>734.77</v>
      </c>
      <c r="D3208">
        <v>723.67</v>
      </c>
      <c r="E3208">
        <v>726.37</v>
      </c>
      <c r="F3208" s="2">
        <v>4190000000</v>
      </c>
    </row>
    <row r="3209" spans="1:6">
      <c r="A3209" s="32">
        <v>39038</v>
      </c>
      <c r="B3209">
        <v>732.06</v>
      </c>
      <c r="C3209">
        <v>734.47</v>
      </c>
      <c r="D3209">
        <v>729.98</v>
      </c>
      <c r="E3209">
        <v>733.92</v>
      </c>
      <c r="F3209" s="2">
        <v>4230000000</v>
      </c>
    </row>
    <row r="3210" spans="1:6">
      <c r="A3210" s="32">
        <v>39037</v>
      </c>
      <c r="B3210">
        <v>735.93</v>
      </c>
      <c r="C3210">
        <v>735.93</v>
      </c>
      <c r="D3210">
        <v>730.85</v>
      </c>
      <c r="E3210">
        <v>733.14</v>
      </c>
      <c r="F3210" s="2">
        <v>4410000000</v>
      </c>
    </row>
    <row r="3211" spans="1:6">
      <c r="A3211" s="32">
        <v>39036</v>
      </c>
      <c r="B3211">
        <v>733.55</v>
      </c>
      <c r="C3211">
        <v>735.8</v>
      </c>
      <c r="D3211">
        <v>729.95</v>
      </c>
      <c r="E3211">
        <v>734.05</v>
      </c>
      <c r="F3211" s="2">
        <v>4510000000</v>
      </c>
    </row>
    <row r="3212" spans="1:6">
      <c r="A3212" s="32">
        <v>39035</v>
      </c>
      <c r="B3212">
        <v>740.53</v>
      </c>
      <c r="C3212">
        <v>741.74</v>
      </c>
      <c r="D3212">
        <v>733.26</v>
      </c>
      <c r="E3212">
        <v>733.87</v>
      </c>
      <c r="F3212" s="2">
        <v>3920000000</v>
      </c>
    </row>
    <row r="3213" spans="1:6">
      <c r="A3213" s="32">
        <v>39034</v>
      </c>
      <c r="B3213">
        <v>739.93</v>
      </c>
      <c r="C3213">
        <v>741.38</v>
      </c>
      <c r="D3213">
        <v>736.83</v>
      </c>
      <c r="E3213">
        <v>736.83</v>
      </c>
      <c r="F3213" s="2">
        <v>3600000000</v>
      </c>
    </row>
    <row r="3214" spans="1:6">
      <c r="A3214" s="32">
        <v>39031</v>
      </c>
      <c r="B3214">
        <v>746.16</v>
      </c>
      <c r="C3214">
        <v>746.94</v>
      </c>
      <c r="D3214">
        <v>738.89</v>
      </c>
      <c r="E3214">
        <v>740.42</v>
      </c>
      <c r="F3214" s="2">
        <v>5740000000</v>
      </c>
    </row>
    <row r="3215" spans="1:6">
      <c r="A3215" s="32">
        <v>39030</v>
      </c>
      <c r="B3215">
        <v>740.15</v>
      </c>
      <c r="C3215">
        <v>745.97</v>
      </c>
      <c r="D3215">
        <v>740.15</v>
      </c>
      <c r="E3215">
        <v>743.85</v>
      </c>
      <c r="F3215" s="2">
        <v>6070000000</v>
      </c>
    </row>
    <row r="3216" spans="1:6">
      <c r="A3216" s="32">
        <v>39029</v>
      </c>
      <c r="B3216">
        <v>740.25</v>
      </c>
      <c r="C3216">
        <v>741.96</v>
      </c>
      <c r="D3216">
        <v>736.14</v>
      </c>
      <c r="E3216">
        <v>738.93</v>
      </c>
      <c r="F3216" s="2">
        <v>4400000000</v>
      </c>
    </row>
    <row r="3217" spans="1:6">
      <c r="A3217" s="32">
        <v>39028</v>
      </c>
      <c r="B3217">
        <v>740.2</v>
      </c>
      <c r="C3217">
        <v>743.31</v>
      </c>
      <c r="D3217">
        <v>738.74</v>
      </c>
      <c r="E3217">
        <v>738.9</v>
      </c>
      <c r="F3217" s="2">
        <v>4610000000</v>
      </c>
    </row>
    <row r="3218" spans="1:6">
      <c r="A3218" s="32">
        <v>39027</v>
      </c>
      <c r="B3218">
        <v>732.47</v>
      </c>
      <c r="C3218">
        <v>736.24</v>
      </c>
      <c r="D3218">
        <v>731.73</v>
      </c>
      <c r="E3218">
        <v>734.9</v>
      </c>
      <c r="F3218" s="2">
        <v>2800000000</v>
      </c>
    </row>
    <row r="3219" spans="1:6">
      <c r="A3219" s="32">
        <v>39024</v>
      </c>
      <c r="B3219">
        <v>729.94</v>
      </c>
      <c r="C3219">
        <v>732.7</v>
      </c>
      <c r="D3219">
        <v>728.06</v>
      </c>
      <c r="E3219">
        <v>732.3</v>
      </c>
      <c r="F3219" s="2">
        <v>3820000000</v>
      </c>
    </row>
    <row r="3220" spans="1:6">
      <c r="A3220" s="32">
        <v>39023</v>
      </c>
      <c r="B3220">
        <v>731.2</v>
      </c>
      <c r="C3220">
        <v>731.8</v>
      </c>
      <c r="D3220">
        <v>728.21</v>
      </c>
      <c r="E3220">
        <v>729.03</v>
      </c>
      <c r="F3220" s="2">
        <v>3500000000</v>
      </c>
    </row>
    <row r="3221" spans="1:6">
      <c r="A3221" s="32">
        <v>39022</v>
      </c>
      <c r="B3221">
        <v>723.15</v>
      </c>
      <c r="C3221">
        <v>731.43</v>
      </c>
      <c r="D3221">
        <v>723.15</v>
      </c>
      <c r="E3221">
        <v>730.87</v>
      </c>
      <c r="F3221" s="2">
        <v>2590000000</v>
      </c>
    </row>
    <row r="3222" spans="1:6">
      <c r="A3222" s="32">
        <v>39021</v>
      </c>
      <c r="B3222">
        <v>719.56</v>
      </c>
      <c r="C3222">
        <v>724.97</v>
      </c>
      <c r="D3222">
        <v>718.78</v>
      </c>
      <c r="E3222">
        <v>722.46</v>
      </c>
      <c r="F3222" s="2">
        <v>2020000000</v>
      </c>
    </row>
    <row r="3223" spans="1:6">
      <c r="A3223" s="32">
        <v>39020</v>
      </c>
      <c r="B3223">
        <v>724.14</v>
      </c>
      <c r="C3223">
        <v>724.14</v>
      </c>
      <c r="D3223">
        <v>718.47</v>
      </c>
      <c r="E3223">
        <v>718.74</v>
      </c>
      <c r="F3223" s="2">
        <v>1790000000</v>
      </c>
    </row>
    <row r="3224" spans="1:6">
      <c r="A3224" s="32">
        <v>39017</v>
      </c>
      <c r="B3224">
        <v>728.37</v>
      </c>
      <c r="C3224">
        <v>729.37</v>
      </c>
      <c r="D3224">
        <v>724.07</v>
      </c>
      <c r="E3224">
        <v>725.77</v>
      </c>
      <c r="F3224" s="2">
        <v>2720000000</v>
      </c>
    </row>
    <row r="3225" spans="1:6">
      <c r="A3225" s="32">
        <v>39016</v>
      </c>
      <c r="B3225">
        <v>735.36</v>
      </c>
      <c r="C3225">
        <v>738.42</v>
      </c>
      <c r="D3225">
        <v>728.49</v>
      </c>
      <c r="E3225">
        <v>728.49</v>
      </c>
      <c r="F3225" s="2">
        <v>3290000000</v>
      </c>
    </row>
    <row r="3226" spans="1:6">
      <c r="A3226" s="32">
        <v>39015</v>
      </c>
      <c r="B3226">
        <v>729.05</v>
      </c>
      <c r="C3226">
        <v>733.63</v>
      </c>
      <c r="D3226">
        <v>727.63</v>
      </c>
      <c r="E3226">
        <v>732.8</v>
      </c>
      <c r="F3226" s="2">
        <v>3570000000</v>
      </c>
    </row>
    <row r="3227" spans="1:6">
      <c r="A3227" s="32">
        <v>39014</v>
      </c>
      <c r="B3227">
        <v>725.9</v>
      </c>
      <c r="C3227">
        <v>728.63</v>
      </c>
      <c r="D3227">
        <v>724.42</v>
      </c>
      <c r="E3227">
        <v>728.53</v>
      </c>
      <c r="F3227" s="2">
        <v>2470000000</v>
      </c>
    </row>
    <row r="3228" spans="1:6">
      <c r="A3228" s="32">
        <v>39010</v>
      </c>
      <c r="B3228">
        <v>723.82</v>
      </c>
      <c r="C3228">
        <v>726.59</v>
      </c>
      <c r="D3228">
        <v>723.21</v>
      </c>
      <c r="E3228">
        <v>724.98</v>
      </c>
      <c r="F3228" s="2">
        <v>2410000000</v>
      </c>
    </row>
    <row r="3229" spans="1:6">
      <c r="A3229" s="32">
        <v>39009</v>
      </c>
      <c r="B3229">
        <v>721.08</v>
      </c>
      <c r="C3229">
        <v>724</v>
      </c>
      <c r="D3229">
        <v>719.88</v>
      </c>
      <c r="E3229">
        <v>720.87</v>
      </c>
      <c r="F3229" s="2">
        <v>2890000000</v>
      </c>
    </row>
    <row r="3230" spans="1:6">
      <c r="A3230" s="32">
        <v>39008</v>
      </c>
      <c r="B3230">
        <v>709.72</v>
      </c>
      <c r="C3230">
        <v>718.74</v>
      </c>
      <c r="D3230">
        <v>709.72</v>
      </c>
      <c r="E3230">
        <v>718.74</v>
      </c>
      <c r="F3230" s="2">
        <v>2660000000</v>
      </c>
    </row>
    <row r="3231" spans="1:6">
      <c r="A3231" s="32">
        <v>39007</v>
      </c>
      <c r="B3231">
        <v>716.61</v>
      </c>
      <c r="C3231">
        <v>718.15</v>
      </c>
      <c r="D3231">
        <v>710.74</v>
      </c>
      <c r="E3231">
        <v>710.74</v>
      </c>
      <c r="F3231" s="2">
        <v>2720000000</v>
      </c>
    </row>
    <row r="3232" spans="1:6">
      <c r="A3232" s="32">
        <v>39006</v>
      </c>
      <c r="B3232">
        <v>715.68</v>
      </c>
      <c r="C3232">
        <v>718.88</v>
      </c>
      <c r="D3232">
        <v>715.34</v>
      </c>
      <c r="E3232">
        <v>717.11</v>
      </c>
      <c r="F3232" s="2">
        <v>2570000000</v>
      </c>
    </row>
    <row r="3233" spans="1:6">
      <c r="A3233" s="32">
        <v>39003</v>
      </c>
      <c r="B3233">
        <v>712.34</v>
      </c>
      <c r="C3233">
        <v>715.13</v>
      </c>
      <c r="D3233">
        <v>709.95</v>
      </c>
      <c r="E3233">
        <v>712.05</v>
      </c>
      <c r="F3233" s="2">
        <v>3110000000</v>
      </c>
    </row>
    <row r="3234" spans="1:6">
      <c r="A3234" s="32">
        <v>39002</v>
      </c>
      <c r="B3234">
        <v>698.53</v>
      </c>
      <c r="C3234">
        <v>710.51</v>
      </c>
      <c r="D3234">
        <v>698.51</v>
      </c>
      <c r="E3234">
        <v>709.67</v>
      </c>
      <c r="F3234" s="2">
        <v>2870000000</v>
      </c>
    </row>
    <row r="3235" spans="1:6">
      <c r="A3235" s="32">
        <v>39001</v>
      </c>
      <c r="B3235">
        <v>699.16</v>
      </c>
      <c r="C3235">
        <v>700.5</v>
      </c>
      <c r="D3235">
        <v>697.04</v>
      </c>
      <c r="E3235">
        <v>697.82</v>
      </c>
      <c r="F3235" s="2">
        <v>2130000000</v>
      </c>
    </row>
    <row r="3236" spans="1:6">
      <c r="A3236" s="32">
        <v>39000</v>
      </c>
      <c r="B3236">
        <v>694.31</v>
      </c>
      <c r="C3236">
        <v>699.16</v>
      </c>
      <c r="D3236">
        <v>694.31</v>
      </c>
      <c r="E3236">
        <v>699.16</v>
      </c>
      <c r="F3236" s="2">
        <v>2010000000</v>
      </c>
    </row>
    <row r="3237" spans="1:6">
      <c r="A3237" s="32">
        <v>38999</v>
      </c>
      <c r="B3237">
        <v>695.53</v>
      </c>
      <c r="C3237">
        <v>695.59</v>
      </c>
      <c r="D3237">
        <v>689.8</v>
      </c>
      <c r="E3237">
        <v>692.26</v>
      </c>
      <c r="F3237" s="2">
        <v>1730000000</v>
      </c>
    </row>
    <row r="3238" spans="1:6">
      <c r="A3238" s="32">
        <v>38996</v>
      </c>
      <c r="B3238">
        <v>696.69</v>
      </c>
      <c r="C3238">
        <v>696.85</v>
      </c>
      <c r="D3238">
        <v>692.2</v>
      </c>
      <c r="E3238">
        <v>694.6</v>
      </c>
      <c r="F3238" s="2">
        <v>2050000000</v>
      </c>
    </row>
    <row r="3239" spans="1:6">
      <c r="A3239" s="32">
        <v>38995</v>
      </c>
      <c r="B3239">
        <v>692.18</v>
      </c>
      <c r="C3239">
        <v>696.28</v>
      </c>
      <c r="D3239">
        <v>690.44</v>
      </c>
      <c r="E3239">
        <v>695.72</v>
      </c>
      <c r="F3239" s="2">
        <v>2930000000</v>
      </c>
    </row>
    <row r="3240" spans="1:6">
      <c r="A3240" s="32">
        <v>38994</v>
      </c>
      <c r="B3240">
        <v>680.29</v>
      </c>
      <c r="C3240">
        <v>687.96</v>
      </c>
      <c r="D3240">
        <v>679.34</v>
      </c>
      <c r="E3240">
        <v>687.96</v>
      </c>
      <c r="F3240" s="2">
        <v>2490000000</v>
      </c>
    </row>
    <row r="3241" spans="1:6">
      <c r="A3241" s="32">
        <v>38993</v>
      </c>
      <c r="B3241">
        <v>682.04</v>
      </c>
      <c r="C3241">
        <v>685.73</v>
      </c>
      <c r="D3241">
        <v>681.04</v>
      </c>
      <c r="E3241">
        <v>681.84</v>
      </c>
      <c r="F3241" s="2">
        <v>2310000000</v>
      </c>
    </row>
    <row r="3242" spans="1:6">
      <c r="A3242" s="32">
        <v>38992</v>
      </c>
      <c r="B3242">
        <v>687.68</v>
      </c>
      <c r="C3242">
        <v>688.06</v>
      </c>
      <c r="D3242">
        <v>680.94</v>
      </c>
      <c r="E3242">
        <v>683.84</v>
      </c>
      <c r="F3242" s="2">
        <v>2040000000</v>
      </c>
    </row>
    <row r="3243" spans="1:6">
      <c r="A3243" s="32">
        <v>38989</v>
      </c>
      <c r="B3243">
        <v>689.31</v>
      </c>
      <c r="C3243">
        <v>690.48</v>
      </c>
      <c r="D3243">
        <v>686.1</v>
      </c>
      <c r="E3243">
        <v>686.1</v>
      </c>
      <c r="F3243" s="2">
        <v>2370000000</v>
      </c>
    </row>
    <row r="3244" spans="1:6">
      <c r="A3244" s="32">
        <v>38988</v>
      </c>
      <c r="B3244">
        <v>696.97</v>
      </c>
      <c r="C3244">
        <v>697.05</v>
      </c>
      <c r="D3244">
        <v>687.72</v>
      </c>
      <c r="E3244">
        <v>687.9</v>
      </c>
      <c r="F3244" s="2">
        <v>2280000000</v>
      </c>
    </row>
    <row r="3245" spans="1:6">
      <c r="A3245" s="32">
        <v>38987</v>
      </c>
      <c r="B3245">
        <v>689.51</v>
      </c>
      <c r="C3245">
        <v>694.8</v>
      </c>
      <c r="D3245">
        <v>689.51</v>
      </c>
      <c r="E3245">
        <v>693.03</v>
      </c>
      <c r="F3245" s="2">
        <v>3360000000</v>
      </c>
    </row>
    <row r="3246" spans="1:6">
      <c r="A3246" s="32">
        <v>38986</v>
      </c>
      <c r="B3246">
        <v>689.24</v>
      </c>
      <c r="C3246">
        <v>690.62</v>
      </c>
      <c r="D3246">
        <v>684.9</v>
      </c>
      <c r="E3246">
        <v>688.63</v>
      </c>
      <c r="F3246" s="2">
        <v>3050000000</v>
      </c>
    </row>
    <row r="3247" spans="1:6">
      <c r="A3247" s="32">
        <v>38985</v>
      </c>
      <c r="B3247">
        <v>679.37</v>
      </c>
      <c r="C3247">
        <v>686.74</v>
      </c>
      <c r="D3247">
        <v>679.09</v>
      </c>
      <c r="E3247">
        <v>686.74</v>
      </c>
      <c r="F3247" s="2">
        <v>2930000000</v>
      </c>
    </row>
    <row r="3248" spans="1:6">
      <c r="A3248" s="32">
        <v>38982</v>
      </c>
      <c r="B3248">
        <v>692.91</v>
      </c>
      <c r="C3248">
        <v>694.62</v>
      </c>
      <c r="D3248">
        <v>673.85</v>
      </c>
      <c r="E3248">
        <v>681.71</v>
      </c>
      <c r="F3248" s="2">
        <v>5350000000</v>
      </c>
    </row>
    <row r="3249" spans="1:6">
      <c r="A3249" s="32">
        <v>38981</v>
      </c>
      <c r="B3249">
        <v>702.05</v>
      </c>
      <c r="C3249">
        <v>702.05</v>
      </c>
      <c r="D3249">
        <v>673</v>
      </c>
      <c r="E3249">
        <v>692.57</v>
      </c>
      <c r="F3249" s="2">
        <v>7540000000</v>
      </c>
    </row>
    <row r="3250" spans="1:6">
      <c r="A3250" s="32">
        <v>38979</v>
      </c>
      <c r="B3250">
        <v>706.59</v>
      </c>
      <c r="C3250">
        <v>708.83</v>
      </c>
      <c r="D3250">
        <v>702.56</v>
      </c>
      <c r="E3250">
        <v>702.56</v>
      </c>
      <c r="F3250" s="2">
        <v>3840000000</v>
      </c>
    </row>
    <row r="3251" spans="1:6">
      <c r="A3251" s="32">
        <v>38978</v>
      </c>
      <c r="B3251">
        <v>699.55</v>
      </c>
      <c r="C3251">
        <v>705.89</v>
      </c>
      <c r="D3251">
        <v>695.06</v>
      </c>
      <c r="E3251">
        <v>705.89</v>
      </c>
      <c r="F3251" s="2">
        <v>3780000000</v>
      </c>
    </row>
    <row r="3252" spans="1:6">
      <c r="A3252" s="32">
        <v>38975</v>
      </c>
      <c r="B3252">
        <v>702.44</v>
      </c>
      <c r="C3252">
        <v>704.51</v>
      </c>
      <c r="D3252">
        <v>700.26</v>
      </c>
      <c r="E3252">
        <v>700.61</v>
      </c>
      <c r="F3252" s="2">
        <v>4640000000</v>
      </c>
    </row>
    <row r="3253" spans="1:6">
      <c r="A3253" s="32">
        <v>38974</v>
      </c>
      <c r="B3253">
        <v>702.68</v>
      </c>
      <c r="C3253">
        <v>707.76</v>
      </c>
      <c r="D3253">
        <v>701.97</v>
      </c>
      <c r="E3253">
        <v>701.97</v>
      </c>
      <c r="F3253" s="2">
        <v>5110000000</v>
      </c>
    </row>
    <row r="3254" spans="1:6">
      <c r="A3254" s="32">
        <v>38973</v>
      </c>
      <c r="B3254">
        <v>690.46</v>
      </c>
      <c r="C3254">
        <v>700.3</v>
      </c>
      <c r="D3254">
        <v>690.42</v>
      </c>
      <c r="E3254">
        <v>698.19</v>
      </c>
      <c r="F3254" s="2">
        <v>5020000000</v>
      </c>
    </row>
    <row r="3255" spans="1:6">
      <c r="A3255" s="32">
        <v>38972</v>
      </c>
      <c r="B3255">
        <v>686.65</v>
      </c>
      <c r="C3255">
        <v>690.17</v>
      </c>
      <c r="D3255">
        <v>683.73</v>
      </c>
      <c r="E3255">
        <v>687.76</v>
      </c>
      <c r="F3255" s="2">
        <v>3750000000</v>
      </c>
    </row>
    <row r="3256" spans="1:6">
      <c r="A3256" s="32">
        <v>38971</v>
      </c>
      <c r="B3256">
        <v>692.15</v>
      </c>
      <c r="C3256">
        <v>692.36</v>
      </c>
      <c r="D3256">
        <v>686.03</v>
      </c>
      <c r="E3256">
        <v>686.03</v>
      </c>
      <c r="F3256" s="2">
        <v>3220000000</v>
      </c>
    </row>
    <row r="3257" spans="1:6">
      <c r="A3257" s="32">
        <v>38968</v>
      </c>
      <c r="B3257">
        <v>691.04</v>
      </c>
      <c r="C3257">
        <v>692.8</v>
      </c>
      <c r="D3257">
        <v>683.26</v>
      </c>
      <c r="E3257">
        <v>692.46</v>
      </c>
      <c r="F3257" s="2">
        <v>3170000000</v>
      </c>
    </row>
    <row r="3258" spans="1:6">
      <c r="A3258" s="32">
        <v>38967</v>
      </c>
      <c r="B3258">
        <v>694.05</v>
      </c>
      <c r="C3258">
        <v>694.28</v>
      </c>
      <c r="D3258">
        <v>690.66</v>
      </c>
      <c r="E3258">
        <v>692.56</v>
      </c>
      <c r="F3258" s="2">
        <v>1680000000</v>
      </c>
    </row>
    <row r="3259" spans="1:6">
      <c r="A3259" s="32">
        <v>38966</v>
      </c>
      <c r="B3259">
        <v>702.06</v>
      </c>
      <c r="C3259">
        <v>704</v>
      </c>
      <c r="D3259">
        <v>700.26</v>
      </c>
      <c r="E3259">
        <v>701.96</v>
      </c>
      <c r="F3259" s="2">
        <v>1960000000</v>
      </c>
    </row>
    <row r="3260" spans="1:6">
      <c r="A3260" s="32">
        <v>38965</v>
      </c>
      <c r="B3260">
        <v>701.47</v>
      </c>
      <c r="C3260">
        <v>704.47</v>
      </c>
      <c r="D3260">
        <v>700.18</v>
      </c>
      <c r="E3260">
        <v>701.1</v>
      </c>
      <c r="F3260" s="2">
        <v>2340000000</v>
      </c>
    </row>
    <row r="3261" spans="1:6">
      <c r="A3261" s="32">
        <v>38964</v>
      </c>
      <c r="B3261">
        <v>699.5</v>
      </c>
      <c r="C3261">
        <v>704.08</v>
      </c>
      <c r="D3261">
        <v>699.5</v>
      </c>
      <c r="E3261">
        <v>703.53</v>
      </c>
      <c r="F3261" s="2">
        <v>2350000000</v>
      </c>
    </row>
    <row r="3262" spans="1:6">
      <c r="A3262" s="32">
        <v>38961</v>
      </c>
      <c r="B3262">
        <v>690.05</v>
      </c>
      <c r="C3262">
        <v>698.57</v>
      </c>
      <c r="D3262">
        <v>689.64</v>
      </c>
      <c r="E3262">
        <v>696.44</v>
      </c>
      <c r="F3262" s="2">
        <v>3090000000</v>
      </c>
    </row>
    <row r="3263" spans="1:6">
      <c r="A3263" s="32">
        <v>38960</v>
      </c>
      <c r="B3263">
        <v>687.43</v>
      </c>
      <c r="C3263">
        <v>692.28</v>
      </c>
      <c r="D3263">
        <v>685.9</v>
      </c>
      <c r="E3263">
        <v>690.9</v>
      </c>
      <c r="F3263" s="2">
        <v>2380000000</v>
      </c>
    </row>
    <row r="3264" spans="1:6">
      <c r="A3264" s="32">
        <v>38959</v>
      </c>
      <c r="B3264">
        <v>686.46</v>
      </c>
      <c r="C3264">
        <v>686.97</v>
      </c>
      <c r="D3264">
        <v>682.05</v>
      </c>
      <c r="E3264">
        <v>684.51</v>
      </c>
      <c r="F3264" s="2">
        <v>2030000000</v>
      </c>
    </row>
    <row r="3265" spans="1:6">
      <c r="A3265" s="32">
        <v>38958</v>
      </c>
      <c r="B3265">
        <v>684.24</v>
      </c>
      <c r="C3265">
        <v>687.74</v>
      </c>
      <c r="D3265">
        <v>684.24</v>
      </c>
      <c r="E3265">
        <v>686.24</v>
      </c>
      <c r="F3265" s="2">
        <v>1600000000</v>
      </c>
    </row>
    <row r="3266" spans="1:6">
      <c r="A3266" s="32">
        <v>38957</v>
      </c>
      <c r="B3266">
        <v>690.22</v>
      </c>
      <c r="C3266">
        <v>690.22</v>
      </c>
      <c r="D3266">
        <v>681.82</v>
      </c>
      <c r="E3266">
        <v>682.07</v>
      </c>
      <c r="F3266" s="2">
        <v>1250000000</v>
      </c>
    </row>
    <row r="3267" spans="1:6">
      <c r="A3267" s="32">
        <v>38954</v>
      </c>
      <c r="B3267">
        <v>689.39</v>
      </c>
      <c r="C3267">
        <v>694.32</v>
      </c>
      <c r="D3267">
        <v>688.94</v>
      </c>
      <c r="E3267">
        <v>689.13</v>
      </c>
      <c r="F3267" s="2">
        <v>1600000000</v>
      </c>
    </row>
    <row r="3268" spans="1:6">
      <c r="A3268" s="32">
        <v>38953</v>
      </c>
      <c r="B3268">
        <v>695.24</v>
      </c>
      <c r="C3268">
        <v>695.24</v>
      </c>
      <c r="D3268">
        <v>688.05</v>
      </c>
      <c r="E3268">
        <v>692.17</v>
      </c>
      <c r="F3268" s="2">
        <v>1650000000</v>
      </c>
    </row>
    <row r="3269" spans="1:6">
      <c r="A3269" s="32">
        <v>38952</v>
      </c>
      <c r="B3269">
        <v>705.9</v>
      </c>
      <c r="C3269">
        <v>705.9</v>
      </c>
      <c r="D3269">
        <v>697.99</v>
      </c>
      <c r="E3269">
        <v>698.01</v>
      </c>
      <c r="F3269" s="2">
        <v>2640000000</v>
      </c>
    </row>
    <row r="3270" spans="1:6">
      <c r="A3270" s="32">
        <v>38951</v>
      </c>
      <c r="B3270">
        <v>705.94</v>
      </c>
      <c r="C3270">
        <v>707.92</v>
      </c>
      <c r="D3270">
        <v>703.35</v>
      </c>
      <c r="E3270">
        <v>706.3</v>
      </c>
      <c r="F3270" s="2">
        <v>3110000000</v>
      </c>
    </row>
    <row r="3271" spans="1:6">
      <c r="A3271" s="32">
        <v>38950</v>
      </c>
      <c r="B3271">
        <v>709.69</v>
      </c>
      <c r="C3271">
        <v>709.69</v>
      </c>
      <c r="D3271">
        <v>702.96</v>
      </c>
      <c r="E3271">
        <v>705.93</v>
      </c>
      <c r="F3271" s="2">
        <v>1520000000</v>
      </c>
    </row>
    <row r="3272" spans="1:6">
      <c r="A3272" s="32">
        <v>38947</v>
      </c>
      <c r="B3272">
        <v>708.28</v>
      </c>
      <c r="C3272">
        <v>712.01</v>
      </c>
      <c r="D3272">
        <v>707.62</v>
      </c>
      <c r="E3272">
        <v>708.49</v>
      </c>
      <c r="F3272" s="2">
        <v>2060000000</v>
      </c>
    </row>
    <row r="3273" spans="1:6">
      <c r="A3273" s="32">
        <v>38946</v>
      </c>
      <c r="B3273">
        <v>714.49</v>
      </c>
      <c r="C3273">
        <v>714.85</v>
      </c>
      <c r="D3273">
        <v>707.72</v>
      </c>
      <c r="E3273">
        <v>709.01</v>
      </c>
      <c r="F3273" s="2">
        <v>2590000000</v>
      </c>
    </row>
    <row r="3274" spans="1:6">
      <c r="A3274" s="32">
        <v>38945</v>
      </c>
      <c r="B3274">
        <v>711.28</v>
      </c>
      <c r="C3274">
        <v>715.3</v>
      </c>
      <c r="D3274">
        <v>710.07</v>
      </c>
      <c r="E3274">
        <v>712.07</v>
      </c>
      <c r="F3274" s="2">
        <v>2800000000</v>
      </c>
    </row>
    <row r="3275" spans="1:6">
      <c r="A3275" s="32">
        <v>38944</v>
      </c>
      <c r="B3275">
        <v>709.87</v>
      </c>
      <c r="C3275">
        <v>710.14</v>
      </c>
      <c r="D3275">
        <v>704.87</v>
      </c>
      <c r="E3275">
        <v>707.68</v>
      </c>
      <c r="F3275" s="2">
        <v>2430000000</v>
      </c>
    </row>
    <row r="3276" spans="1:6">
      <c r="A3276" s="32">
        <v>38940</v>
      </c>
      <c r="B3276">
        <v>700.79</v>
      </c>
      <c r="C3276">
        <v>708.42</v>
      </c>
      <c r="D3276">
        <v>700.79</v>
      </c>
      <c r="E3276">
        <v>708.42</v>
      </c>
      <c r="F3276" s="2">
        <v>3400000000</v>
      </c>
    </row>
    <row r="3277" spans="1:6">
      <c r="A3277" s="32">
        <v>38939</v>
      </c>
      <c r="B3277">
        <v>709.74</v>
      </c>
      <c r="C3277">
        <v>709.81</v>
      </c>
      <c r="D3277">
        <v>696.8</v>
      </c>
      <c r="E3277">
        <v>698.12</v>
      </c>
      <c r="F3277" s="2">
        <v>3410000000</v>
      </c>
    </row>
    <row r="3278" spans="1:6">
      <c r="A3278" s="32">
        <v>38938</v>
      </c>
      <c r="B3278">
        <v>711.14</v>
      </c>
      <c r="C3278">
        <v>713.31</v>
      </c>
      <c r="D3278">
        <v>706.42</v>
      </c>
      <c r="E3278">
        <v>708.93</v>
      </c>
      <c r="F3278" s="2">
        <v>3390000000</v>
      </c>
    </row>
    <row r="3279" spans="1:6">
      <c r="A3279" s="32">
        <v>38937</v>
      </c>
      <c r="B3279">
        <v>708.2</v>
      </c>
      <c r="C3279">
        <v>712.29</v>
      </c>
      <c r="D3279">
        <v>708</v>
      </c>
      <c r="E3279">
        <v>711.8</v>
      </c>
      <c r="F3279" s="2">
        <v>2330000000</v>
      </c>
    </row>
    <row r="3280" spans="1:6">
      <c r="A3280" s="32">
        <v>38936</v>
      </c>
      <c r="B3280">
        <v>702.41</v>
      </c>
      <c r="C3280">
        <v>706.9</v>
      </c>
      <c r="D3280">
        <v>702.06</v>
      </c>
      <c r="E3280">
        <v>705.35</v>
      </c>
      <c r="F3280" s="2">
        <v>1710000000</v>
      </c>
    </row>
    <row r="3281" spans="1:6">
      <c r="A3281" s="32">
        <v>38933</v>
      </c>
      <c r="B3281">
        <v>704.73</v>
      </c>
      <c r="C3281">
        <v>705.69</v>
      </c>
      <c r="D3281">
        <v>700.14</v>
      </c>
      <c r="E3281">
        <v>703.28</v>
      </c>
      <c r="F3281" s="2">
        <v>2300000000</v>
      </c>
    </row>
    <row r="3282" spans="1:6">
      <c r="A3282" s="32">
        <v>38932</v>
      </c>
      <c r="B3282">
        <v>698.84</v>
      </c>
      <c r="C3282">
        <v>705.5</v>
      </c>
      <c r="D3282">
        <v>696.43</v>
      </c>
      <c r="E3282">
        <v>703.1</v>
      </c>
      <c r="F3282" s="2">
        <v>3100000000</v>
      </c>
    </row>
    <row r="3283" spans="1:6">
      <c r="A3283" s="32">
        <v>38931</v>
      </c>
      <c r="B3283">
        <v>686.29</v>
      </c>
      <c r="C3283">
        <v>694.09</v>
      </c>
      <c r="D3283">
        <v>685.72</v>
      </c>
      <c r="E3283">
        <v>694.09</v>
      </c>
      <c r="F3283" s="2">
        <v>2300000000</v>
      </c>
    </row>
    <row r="3284" spans="1:6">
      <c r="A3284" s="32">
        <v>38930</v>
      </c>
      <c r="B3284">
        <v>693.99</v>
      </c>
      <c r="C3284">
        <v>694.74</v>
      </c>
      <c r="D3284">
        <v>683.26</v>
      </c>
      <c r="E3284">
        <v>686.97</v>
      </c>
      <c r="F3284" s="2">
        <v>2160000000</v>
      </c>
    </row>
    <row r="3285" spans="1:6">
      <c r="A3285" s="32">
        <v>38929</v>
      </c>
      <c r="B3285">
        <v>693.62</v>
      </c>
      <c r="C3285">
        <v>695.54</v>
      </c>
      <c r="D3285">
        <v>690.11</v>
      </c>
      <c r="E3285">
        <v>691.49</v>
      </c>
      <c r="F3285" s="2">
        <v>2540000000</v>
      </c>
    </row>
    <row r="3286" spans="1:6">
      <c r="A3286" s="32">
        <v>38926</v>
      </c>
      <c r="B3286">
        <v>699.17</v>
      </c>
      <c r="C3286">
        <v>700.83</v>
      </c>
      <c r="D3286">
        <v>691.13</v>
      </c>
      <c r="E3286">
        <v>691.43</v>
      </c>
      <c r="F3286" s="2">
        <v>3550000000</v>
      </c>
    </row>
    <row r="3287" spans="1:6">
      <c r="A3287" s="32">
        <v>38925</v>
      </c>
      <c r="B3287">
        <v>693.62</v>
      </c>
      <c r="C3287">
        <v>699.95</v>
      </c>
      <c r="D3287">
        <v>691.94</v>
      </c>
      <c r="E3287">
        <v>695.83</v>
      </c>
      <c r="F3287" s="2">
        <v>4190000000</v>
      </c>
    </row>
    <row r="3288" spans="1:6">
      <c r="A3288" s="32">
        <v>38924</v>
      </c>
      <c r="B3288">
        <v>690.11</v>
      </c>
      <c r="C3288">
        <v>691.53</v>
      </c>
      <c r="D3288">
        <v>686.22</v>
      </c>
      <c r="E3288">
        <v>690.92</v>
      </c>
      <c r="F3288" s="2">
        <v>2960000000</v>
      </c>
    </row>
    <row r="3289" spans="1:6">
      <c r="A3289" s="32">
        <v>38923</v>
      </c>
      <c r="B3289">
        <v>691.38</v>
      </c>
      <c r="C3289">
        <v>692.84</v>
      </c>
      <c r="D3289">
        <v>685.74</v>
      </c>
      <c r="E3289">
        <v>688.35</v>
      </c>
      <c r="F3289" s="2">
        <v>3920000000</v>
      </c>
    </row>
    <row r="3290" spans="1:6">
      <c r="A3290" s="32">
        <v>38922</v>
      </c>
      <c r="B3290">
        <v>684.54</v>
      </c>
      <c r="C3290">
        <v>690.36</v>
      </c>
      <c r="D3290">
        <v>683.13</v>
      </c>
      <c r="E3290">
        <v>683.76</v>
      </c>
      <c r="F3290" s="2">
        <v>3480000000</v>
      </c>
    </row>
    <row r="3291" spans="1:6">
      <c r="A3291" s="32">
        <v>38919</v>
      </c>
      <c r="B3291">
        <v>668.85</v>
      </c>
      <c r="C3291">
        <v>687.88</v>
      </c>
      <c r="D3291">
        <v>665.9</v>
      </c>
      <c r="E3291">
        <v>685.71</v>
      </c>
      <c r="F3291" s="2">
        <v>4290000000</v>
      </c>
    </row>
    <row r="3292" spans="1:6">
      <c r="A3292" s="32">
        <v>38918</v>
      </c>
      <c r="B3292">
        <v>670.44</v>
      </c>
      <c r="C3292">
        <v>672.76</v>
      </c>
      <c r="D3292">
        <v>667.9</v>
      </c>
      <c r="E3292">
        <v>668.96</v>
      </c>
      <c r="F3292" s="2">
        <v>3090000000</v>
      </c>
    </row>
    <row r="3293" spans="1:6">
      <c r="A3293" s="32">
        <v>38917</v>
      </c>
      <c r="B3293">
        <v>662.74</v>
      </c>
      <c r="C3293">
        <v>664.21</v>
      </c>
      <c r="D3293">
        <v>657.06</v>
      </c>
      <c r="E3293">
        <v>660.11</v>
      </c>
      <c r="F3293" s="2">
        <v>1750000000</v>
      </c>
    </row>
    <row r="3294" spans="1:6">
      <c r="A3294" s="32">
        <v>38916</v>
      </c>
      <c r="B3294">
        <v>654.26</v>
      </c>
      <c r="C3294">
        <v>660.54</v>
      </c>
      <c r="D3294">
        <v>654.26</v>
      </c>
      <c r="E3294">
        <v>659.58</v>
      </c>
      <c r="F3294" s="2">
        <v>1640000000</v>
      </c>
    </row>
    <row r="3295" spans="1:6">
      <c r="A3295" s="32">
        <v>38915</v>
      </c>
      <c r="B3295">
        <v>651.91</v>
      </c>
      <c r="C3295">
        <v>654.02</v>
      </c>
      <c r="D3295">
        <v>650.69000000000005</v>
      </c>
      <c r="E3295">
        <v>653.02</v>
      </c>
      <c r="F3295" s="2">
        <v>1520000000</v>
      </c>
    </row>
    <row r="3296" spans="1:6">
      <c r="A3296" s="32">
        <v>38912</v>
      </c>
      <c r="B3296">
        <v>667.23</v>
      </c>
      <c r="C3296">
        <v>670.05</v>
      </c>
      <c r="D3296">
        <v>659.08</v>
      </c>
      <c r="E3296">
        <v>661.59</v>
      </c>
      <c r="F3296" s="2">
        <v>1720000000</v>
      </c>
    </row>
    <row r="3297" spans="1:6">
      <c r="A3297" s="32">
        <v>38911</v>
      </c>
      <c r="B3297">
        <v>686.61</v>
      </c>
      <c r="C3297">
        <v>686.61</v>
      </c>
      <c r="D3297">
        <v>672.34</v>
      </c>
      <c r="E3297">
        <v>672.34</v>
      </c>
      <c r="F3297" s="2">
        <v>2050000000</v>
      </c>
    </row>
    <row r="3298" spans="1:6">
      <c r="A3298" s="32">
        <v>38910</v>
      </c>
      <c r="B3298">
        <v>685.35</v>
      </c>
      <c r="C3298">
        <v>687.26</v>
      </c>
      <c r="D3298">
        <v>683.66</v>
      </c>
      <c r="E3298">
        <v>686.02</v>
      </c>
      <c r="F3298" s="2">
        <v>1580000000</v>
      </c>
    </row>
    <row r="3299" spans="1:6">
      <c r="A3299" s="32">
        <v>38908</v>
      </c>
      <c r="B3299">
        <v>683.01</v>
      </c>
      <c r="C3299">
        <v>684.55</v>
      </c>
      <c r="D3299">
        <v>678.38</v>
      </c>
      <c r="E3299">
        <v>684.55</v>
      </c>
      <c r="F3299" s="2">
        <v>1120000000</v>
      </c>
    </row>
    <row r="3300" spans="1:6">
      <c r="A3300" s="32">
        <v>38905</v>
      </c>
      <c r="B3300">
        <v>691.99</v>
      </c>
      <c r="C3300">
        <v>692.03</v>
      </c>
      <c r="D3300">
        <v>684.3</v>
      </c>
      <c r="E3300">
        <v>686.11</v>
      </c>
      <c r="F3300" s="2">
        <v>1830000000</v>
      </c>
    </row>
    <row r="3301" spans="1:6">
      <c r="A3301" s="32">
        <v>38904</v>
      </c>
      <c r="B3301">
        <v>677.38</v>
      </c>
      <c r="C3301">
        <v>688.96</v>
      </c>
      <c r="D3301">
        <v>677.21</v>
      </c>
      <c r="E3301">
        <v>688.96</v>
      </c>
      <c r="F3301" s="2">
        <v>1510000000</v>
      </c>
    </row>
    <row r="3302" spans="1:6">
      <c r="A3302" s="32">
        <v>38903</v>
      </c>
      <c r="B3302">
        <v>691.95</v>
      </c>
      <c r="C3302">
        <v>692.94</v>
      </c>
      <c r="D3302">
        <v>680.72</v>
      </c>
      <c r="E3302">
        <v>680.72</v>
      </c>
      <c r="F3302" s="2">
        <v>1680000000</v>
      </c>
    </row>
    <row r="3303" spans="1:6">
      <c r="A3303" s="32">
        <v>38902</v>
      </c>
      <c r="B3303">
        <v>686.53</v>
      </c>
      <c r="C3303">
        <v>694.96</v>
      </c>
      <c r="D3303">
        <v>686.53</v>
      </c>
      <c r="E3303">
        <v>694.52</v>
      </c>
      <c r="F3303" s="2">
        <v>2060000000</v>
      </c>
    </row>
    <row r="3304" spans="1:6">
      <c r="A3304" s="32">
        <v>38901</v>
      </c>
      <c r="B3304">
        <v>680.36</v>
      </c>
      <c r="C3304">
        <v>684.34</v>
      </c>
      <c r="D3304">
        <v>674.51</v>
      </c>
      <c r="E3304">
        <v>683.98</v>
      </c>
      <c r="F3304" s="2">
        <v>1240000000</v>
      </c>
    </row>
    <row r="3305" spans="1:6">
      <c r="A3305" s="32">
        <v>38898</v>
      </c>
      <c r="B3305">
        <v>679.39</v>
      </c>
      <c r="C3305">
        <v>683.75</v>
      </c>
      <c r="D3305">
        <v>678.13</v>
      </c>
      <c r="E3305">
        <v>678.13</v>
      </c>
      <c r="F3305" s="2">
        <v>2670000000</v>
      </c>
    </row>
    <row r="3306" spans="1:6">
      <c r="A3306" s="32">
        <v>38897</v>
      </c>
      <c r="B3306">
        <v>668.9</v>
      </c>
      <c r="C3306">
        <v>672.97</v>
      </c>
      <c r="D3306">
        <v>668.9</v>
      </c>
      <c r="E3306">
        <v>670.71</v>
      </c>
      <c r="F3306" s="2">
        <v>1590000000</v>
      </c>
    </row>
    <row r="3307" spans="1:6">
      <c r="A3307" s="32">
        <v>38896</v>
      </c>
      <c r="B3307">
        <v>655.41</v>
      </c>
      <c r="C3307">
        <v>666.8</v>
      </c>
      <c r="D3307">
        <v>654.28</v>
      </c>
      <c r="E3307">
        <v>666.8</v>
      </c>
      <c r="F3307" s="2">
        <v>1220000000</v>
      </c>
    </row>
    <row r="3308" spans="1:6">
      <c r="A3308" s="32">
        <v>38895</v>
      </c>
      <c r="B3308">
        <v>662.4</v>
      </c>
      <c r="C3308">
        <v>667.17</v>
      </c>
      <c r="D3308">
        <v>657.05</v>
      </c>
      <c r="E3308">
        <v>659.69</v>
      </c>
      <c r="F3308" s="2">
        <v>1890000000</v>
      </c>
    </row>
    <row r="3309" spans="1:6">
      <c r="A3309" s="32">
        <v>38894</v>
      </c>
      <c r="B3309">
        <v>657.6</v>
      </c>
      <c r="C3309">
        <v>659.69</v>
      </c>
      <c r="D3309">
        <v>655.27</v>
      </c>
      <c r="E3309">
        <v>659.27</v>
      </c>
      <c r="F3309" s="2">
        <v>796880000</v>
      </c>
    </row>
    <row r="3310" spans="1:6">
      <c r="A3310" s="32">
        <v>38891</v>
      </c>
      <c r="B3310">
        <v>654.53</v>
      </c>
      <c r="C3310">
        <v>659.52</v>
      </c>
      <c r="D3310">
        <v>653.04999999999995</v>
      </c>
      <c r="E3310">
        <v>659.52</v>
      </c>
      <c r="F3310" s="2">
        <v>1020000000</v>
      </c>
    </row>
    <row r="3311" spans="1:6">
      <c r="A3311" s="32">
        <v>38890</v>
      </c>
      <c r="B3311">
        <v>656.83</v>
      </c>
      <c r="C3311">
        <v>660.9</v>
      </c>
      <c r="D3311">
        <v>655.98</v>
      </c>
      <c r="E3311">
        <v>659.32</v>
      </c>
      <c r="F3311" s="2">
        <v>1350000000</v>
      </c>
    </row>
    <row r="3312" spans="1:6">
      <c r="A3312" s="32">
        <v>38889</v>
      </c>
      <c r="B3312">
        <v>648.46</v>
      </c>
      <c r="C3312">
        <v>651.77</v>
      </c>
      <c r="D3312">
        <v>647.13</v>
      </c>
      <c r="E3312">
        <v>649.74</v>
      </c>
      <c r="F3312" s="2">
        <v>944600000</v>
      </c>
    </row>
    <row r="3313" spans="1:6">
      <c r="A3313" s="32">
        <v>38888</v>
      </c>
      <c r="B3313">
        <v>653.63</v>
      </c>
      <c r="C3313">
        <v>653.66999999999996</v>
      </c>
      <c r="D3313">
        <v>644.55999999999995</v>
      </c>
      <c r="E3313">
        <v>646.78</v>
      </c>
      <c r="F3313" s="2">
        <v>1130000000</v>
      </c>
    </row>
    <row r="3314" spans="1:6">
      <c r="A3314" s="32">
        <v>38887</v>
      </c>
      <c r="B3314">
        <v>664.48</v>
      </c>
      <c r="C3314">
        <v>664.48</v>
      </c>
      <c r="D3314">
        <v>657.35</v>
      </c>
      <c r="E3314">
        <v>659.68</v>
      </c>
      <c r="F3314" s="2">
        <v>953810000</v>
      </c>
    </row>
    <row r="3315" spans="1:6">
      <c r="A3315" s="32">
        <v>38884</v>
      </c>
      <c r="B3315">
        <v>663.95</v>
      </c>
      <c r="C3315">
        <v>669.51</v>
      </c>
      <c r="D3315">
        <v>662.2</v>
      </c>
      <c r="E3315">
        <v>665.39</v>
      </c>
      <c r="F3315" s="2">
        <v>2290000000</v>
      </c>
    </row>
    <row r="3316" spans="1:6">
      <c r="A3316" s="32">
        <v>38883</v>
      </c>
      <c r="B3316">
        <v>654.04999999999995</v>
      </c>
      <c r="C3316">
        <v>657.12</v>
      </c>
      <c r="D3316">
        <v>641.03</v>
      </c>
      <c r="E3316">
        <v>648.32000000000005</v>
      </c>
      <c r="F3316" s="2">
        <v>1470000000</v>
      </c>
    </row>
    <row r="3317" spans="1:6">
      <c r="A3317" s="32">
        <v>38882</v>
      </c>
      <c r="B3317">
        <v>656.42</v>
      </c>
      <c r="C3317">
        <v>656.42</v>
      </c>
      <c r="D3317">
        <v>644.69000000000005</v>
      </c>
      <c r="E3317">
        <v>646.69000000000005</v>
      </c>
      <c r="F3317" s="2">
        <v>1720000000</v>
      </c>
    </row>
    <row r="3318" spans="1:6">
      <c r="A3318" s="32">
        <v>38877</v>
      </c>
      <c r="B3318">
        <v>678.6</v>
      </c>
      <c r="C3318">
        <v>681.4</v>
      </c>
      <c r="D3318">
        <v>670.28</v>
      </c>
      <c r="E3318">
        <v>670.41</v>
      </c>
      <c r="F3318" s="2">
        <v>1580000000</v>
      </c>
    </row>
    <row r="3319" spans="1:6">
      <c r="A3319" s="32">
        <v>38876</v>
      </c>
      <c r="B3319">
        <v>684.03</v>
      </c>
      <c r="C3319">
        <v>684.79</v>
      </c>
      <c r="D3319">
        <v>672.57</v>
      </c>
      <c r="E3319">
        <v>675.63</v>
      </c>
      <c r="F3319" s="2">
        <v>1750000000</v>
      </c>
    </row>
    <row r="3320" spans="1:6">
      <c r="A3320" s="32">
        <v>38875</v>
      </c>
      <c r="B3320">
        <v>697.9</v>
      </c>
      <c r="C3320">
        <v>697.9</v>
      </c>
      <c r="D3320">
        <v>685.8</v>
      </c>
      <c r="E3320">
        <v>688.22</v>
      </c>
      <c r="F3320" s="2">
        <v>1850000000</v>
      </c>
    </row>
    <row r="3321" spans="1:6">
      <c r="A3321" s="32">
        <v>38874</v>
      </c>
      <c r="B3321">
        <v>713.14</v>
      </c>
      <c r="C3321">
        <v>713.14</v>
      </c>
      <c r="D3321">
        <v>700.4</v>
      </c>
      <c r="E3321">
        <v>702.04</v>
      </c>
      <c r="F3321" s="2">
        <v>1710000000</v>
      </c>
    </row>
    <row r="3322" spans="1:6">
      <c r="A3322" s="32">
        <v>38873</v>
      </c>
      <c r="B3322">
        <v>721.95</v>
      </c>
      <c r="C3322">
        <v>722.3</v>
      </c>
      <c r="D3322">
        <v>713.22</v>
      </c>
      <c r="E3322">
        <v>713.22</v>
      </c>
      <c r="F3322" s="2">
        <v>1580000000</v>
      </c>
    </row>
    <row r="3323" spans="1:6">
      <c r="A3323" s="32">
        <v>38870</v>
      </c>
      <c r="B3323">
        <v>711.7</v>
      </c>
      <c r="C3323">
        <v>722.61</v>
      </c>
      <c r="D3323">
        <v>711.7</v>
      </c>
      <c r="E3323">
        <v>722.61</v>
      </c>
      <c r="F3323" s="2">
        <v>2340000000</v>
      </c>
    </row>
    <row r="3324" spans="1:6">
      <c r="A3324" s="32">
        <v>38869</v>
      </c>
      <c r="B3324">
        <v>712.26</v>
      </c>
      <c r="C3324">
        <v>712.58</v>
      </c>
      <c r="D3324">
        <v>707.72</v>
      </c>
      <c r="E3324">
        <v>710.3</v>
      </c>
      <c r="F3324" s="2">
        <v>2000000000</v>
      </c>
    </row>
    <row r="3325" spans="1:6">
      <c r="A3325" s="32">
        <v>38868</v>
      </c>
      <c r="B3325">
        <v>710.36</v>
      </c>
      <c r="C3325">
        <v>710.36</v>
      </c>
      <c r="D3325">
        <v>698.3</v>
      </c>
      <c r="E3325">
        <v>709.43</v>
      </c>
      <c r="F3325" s="2">
        <v>2520000000</v>
      </c>
    </row>
    <row r="3326" spans="1:6">
      <c r="A3326" s="32">
        <v>38867</v>
      </c>
      <c r="B3326">
        <v>720.93</v>
      </c>
      <c r="C3326">
        <v>720.93</v>
      </c>
      <c r="D3326">
        <v>712.79</v>
      </c>
      <c r="E3326">
        <v>713.96</v>
      </c>
      <c r="F3326" s="2">
        <v>1910000000</v>
      </c>
    </row>
    <row r="3327" spans="1:6">
      <c r="A3327" s="32">
        <v>38866</v>
      </c>
      <c r="B3327">
        <v>718.94</v>
      </c>
      <c r="C3327">
        <v>722.71</v>
      </c>
      <c r="D3327">
        <v>714.77</v>
      </c>
      <c r="E3327">
        <v>721.58</v>
      </c>
      <c r="F3327" s="2">
        <v>1190000000</v>
      </c>
    </row>
    <row r="3328" spans="1:6">
      <c r="A3328" s="32">
        <v>38863</v>
      </c>
      <c r="B3328">
        <v>712.72</v>
      </c>
      <c r="C3328">
        <v>718.31</v>
      </c>
      <c r="D3328">
        <v>710.95</v>
      </c>
      <c r="E3328">
        <v>717.5</v>
      </c>
      <c r="F3328" s="2">
        <v>1880000000</v>
      </c>
    </row>
    <row r="3329" spans="1:6">
      <c r="A3329" s="32">
        <v>38862</v>
      </c>
      <c r="B3329">
        <v>714.03</v>
      </c>
      <c r="C3329">
        <v>714.03</v>
      </c>
      <c r="D3329">
        <v>701.01</v>
      </c>
      <c r="E3329">
        <v>701.03</v>
      </c>
      <c r="F3329" s="2">
        <v>2050000000</v>
      </c>
    </row>
    <row r="3330" spans="1:6">
      <c r="A3330" s="32">
        <v>38861</v>
      </c>
      <c r="B3330">
        <v>731.04</v>
      </c>
      <c r="C3330">
        <v>732.83</v>
      </c>
      <c r="D3330">
        <v>713.81</v>
      </c>
      <c r="E3330">
        <v>714.1</v>
      </c>
      <c r="F3330" s="2">
        <v>2510000000</v>
      </c>
    </row>
    <row r="3331" spans="1:6">
      <c r="A3331" s="32">
        <v>38860</v>
      </c>
      <c r="B3331">
        <v>723.22</v>
      </c>
      <c r="C3331">
        <v>729.14</v>
      </c>
      <c r="D3331">
        <v>719.5</v>
      </c>
      <c r="E3331">
        <v>727.21</v>
      </c>
      <c r="F3331" s="2">
        <v>2670000000</v>
      </c>
    </row>
    <row r="3332" spans="1:6">
      <c r="A3332" s="32">
        <v>38859</v>
      </c>
      <c r="B3332">
        <v>746.45</v>
      </c>
      <c r="C3332">
        <v>746.65</v>
      </c>
      <c r="D3332">
        <v>722.81</v>
      </c>
      <c r="E3332">
        <v>724.44</v>
      </c>
      <c r="F3332" s="2">
        <v>2900000000</v>
      </c>
    </row>
    <row r="3333" spans="1:6">
      <c r="A3333" s="32">
        <v>38856</v>
      </c>
      <c r="B3333">
        <v>742.65</v>
      </c>
      <c r="C3333">
        <v>749.81</v>
      </c>
      <c r="D3333">
        <v>742.43</v>
      </c>
      <c r="E3333">
        <v>746.33</v>
      </c>
      <c r="F3333" s="2">
        <v>2820000000</v>
      </c>
    </row>
    <row r="3334" spans="1:6">
      <c r="A3334" s="32">
        <v>38855</v>
      </c>
      <c r="B3334">
        <v>758.69</v>
      </c>
      <c r="C3334">
        <v>758.69</v>
      </c>
      <c r="D3334">
        <v>743.96</v>
      </c>
      <c r="E3334">
        <v>748.3</v>
      </c>
      <c r="F3334" s="2">
        <v>3920000000</v>
      </c>
    </row>
    <row r="3335" spans="1:6">
      <c r="A3335" s="32">
        <v>38854</v>
      </c>
      <c r="B3335">
        <v>764.07</v>
      </c>
      <c r="C3335">
        <v>765.86</v>
      </c>
      <c r="D3335">
        <v>760.68</v>
      </c>
      <c r="E3335">
        <v>762.36</v>
      </c>
      <c r="F3335" s="2">
        <v>2210000000</v>
      </c>
    </row>
    <row r="3336" spans="1:6">
      <c r="A3336" s="32">
        <v>38853</v>
      </c>
      <c r="B3336">
        <v>764.23</v>
      </c>
      <c r="C3336">
        <v>766.39</v>
      </c>
      <c r="D3336">
        <v>752.21</v>
      </c>
      <c r="E3336">
        <v>761.87</v>
      </c>
      <c r="F3336" s="2">
        <v>2680000000</v>
      </c>
    </row>
    <row r="3337" spans="1:6">
      <c r="A3337" s="32">
        <v>38852</v>
      </c>
      <c r="B3337">
        <v>775.4</v>
      </c>
      <c r="C3337">
        <v>775.4</v>
      </c>
      <c r="D3337">
        <v>763.69</v>
      </c>
      <c r="E3337">
        <v>765.97</v>
      </c>
      <c r="F3337" s="2">
        <v>2910000000</v>
      </c>
    </row>
    <row r="3338" spans="1:6">
      <c r="A3338" s="32">
        <v>38848</v>
      </c>
      <c r="B3338">
        <v>785.56</v>
      </c>
      <c r="C3338">
        <v>786.54</v>
      </c>
      <c r="D3338">
        <v>781.32</v>
      </c>
      <c r="E3338">
        <v>782.5</v>
      </c>
      <c r="F3338" s="2">
        <v>2980000000</v>
      </c>
    </row>
    <row r="3339" spans="1:6">
      <c r="A3339" s="32">
        <v>38847</v>
      </c>
      <c r="B3339">
        <v>786.49</v>
      </c>
      <c r="C3339">
        <v>787.55</v>
      </c>
      <c r="D3339">
        <v>782.96</v>
      </c>
      <c r="E3339">
        <v>784.28</v>
      </c>
      <c r="F3339" s="2">
        <v>3200000000</v>
      </c>
    </row>
    <row r="3340" spans="1:6">
      <c r="A3340" s="32">
        <v>38846</v>
      </c>
      <c r="B3340">
        <v>782.4</v>
      </c>
      <c r="C3340">
        <v>785.98</v>
      </c>
      <c r="D3340">
        <v>779.67</v>
      </c>
      <c r="E3340">
        <v>785.38</v>
      </c>
      <c r="F3340" s="2">
        <v>4000000000</v>
      </c>
    </row>
    <row r="3341" spans="1:6">
      <c r="A3341" s="32">
        <v>38845</v>
      </c>
      <c r="B3341">
        <v>771.17</v>
      </c>
      <c r="C3341">
        <v>782.91</v>
      </c>
      <c r="D3341">
        <v>771.17</v>
      </c>
      <c r="E3341">
        <v>782.91</v>
      </c>
      <c r="F3341" s="2">
        <v>3470000000</v>
      </c>
    </row>
    <row r="3342" spans="1:6">
      <c r="A3342" s="32">
        <v>38841</v>
      </c>
      <c r="B3342">
        <v>774.35</v>
      </c>
      <c r="C3342">
        <v>774.35</v>
      </c>
      <c r="D3342">
        <v>766.51</v>
      </c>
      <c r="E3342">
        <v>768.22</v>
      </c>
      <c r="F3342" s="2">
        <v>2550000000</v>
      </c>
    </row>
    <row r="3343" spans="1:6">
      <c r="A3343" s="32">
        <v>38840</v>
      </c>
      <c r="B3343">
        <v>773.07</v>
      </c>
      <c r="C3343">
        <v>774.59</v>
      </c>
      <c r="D3343">
        <v>771.69</v>
      </c>
      <c r="E3343">
        <v>774.44</v>
      </c>
      <c r="F3343" s="2">
        <v>2360000000</v>
      </c>
    </row>
    <row r="3344" spans="1:6">
      <c r="A3344" s="32">
        <v>38839</v>
      </c>
      <c r="B3344">
        <v>770.86</v>
      </c>
      <c r="C3344">
        <v>773.65</v>
      </c>
      <c r="D3344">
        <v>766.96</v>
      </c>
      <c r="E3344">
        <v>768.26</v>
      </c>
      <c r="F3344" s="2">
        <v>3430000000</v>
      </c>
    </row>
    <row r="3345" spans="1:6">
      <c r="A3345" s="32">
        <v>38835</v>
      </c>
      <c r="B3345">
        <v>766.8</v>
      </c>
      <c r="C3345">
        <v>768.98</v>
      </c>
      <c r="D3345">
        <v>765.08</v>
      </c>
      <c r="E3345">
        <v>768.29</v>
      </c>
      <c r="F3345" s="2">
        <v>2380000000</v>
      </c>
    </row>
    <row r="3346" spans="1:6">
      <c r="A3346" s="32">
        <v>38834</v>
      </c>
      <c r="B3346">
        <v>776.5</v>
      </c>
      <c r="C3346">
        <v>776.59</v>
      </c>
      <c r="D3346">
        <v>769.71</v>
      </c>
      <c r="E3346">
        <v>770.01</v>
      </c>
      <c r="F3346" s="2">
        <v>3410000000</v>
      </c>
    </row>
    <row r="3347" spans="1:6">
      <c r="A3347" s="32">
        <v>38833</v>
      </c>
      <c r="B3347">
        <v>764.41</v>
      </c>
      <c r="C3347">
        <v>772.43</v>
      </c>
      <c r="D3347">
        <v>764.33</v>
      </c>
      <c r="E3347">
        <v>770.4</v>
      </c>
      <c r="F3347" s="2">
        <v>4600000000</v>
      </c>
    </row>
    <row r="3348" spans="1:6">
      <c r="A3348" s="32">
        <v>38832</v>
      </c>
      <c r="B3348">
        <v>771.31</v>
      </c>
      <c r="C3348">
        <v>771.31</v>
      </c>
      <c r="D3348">
        <v>761.55</v>
      </c>
      <c r="E3348">
        <v>763.88</v>
      </c>
      <c r="F3348" s="2">
        <v>2870000000</v>
      </c>
    </row>
    <row r="3349" spans="1:6">
      <c r="A3349" s="32">
        <v>38831</v>
      </c>
      <c r="B3349">
        <v>776.56</v>
      </c>
      <c r="C3349">
        <v>778.26</v>
      </c>
      <c r="D3349">
        <v>771.09</v>
      </c>
      <c r="E3349">
        <v>771.54</v>
      </c>
      <c r="F3349" s="2">
        <v>2800000000</v>
      </c>
    </row>
    <row r="3350" spans="1:6">
      <c r="A3350" s="32">
        <v>38828</v>
      </c>
      <c r="B3350">
        <v>773.38</v>
      </c>
      <c r="C3350">
        <v>774.42</v>
      </c>
      <c r="D3350">
        <v>768.57</v>
      </c>
      <c r="E3350">
        <v>773.06</v>
      </c>
      <c r="F3350" s="2">
        <v>2970000000</v>
      </c>
    </row>
    <row r="3351" spans="1:6">
      <c r="A3351" s="32">
        <v>38827</v>
      </c>
      <c r="B3351">
        <v>768.35</v>
      </c>
      <c r="C3351">
        <v>774.85</v>
      </c>
      <c r="D3351">
        <v>768.35</v>
      </c>
      <c r="E3351">
        <v>774.57</v>
      </c>
      <c r="F3351" s="2">
        <v>3550000000</v>
      </c>
    </row>
    <row r="3352" spans="1:6">
      <c r="A3352" s="32">
        <v>38825</v>
      </c>
      <c r="B3352">
        <v>761.51</v>
      </c>
      <c r="C3352">
        <v>768.22</v>
      </c>
      <c r="D3352">
        <v>761.5</v>
      </c>
      <c r="E3352">
        <v>764.17</v>
      </c>
      <c r="F3352" s="2">
        <v>4310000000</v>
      </c>
    </row>
    <row r="3353" spans="1:6">
      <c r="A3353" s="32">
        <v>38824</v>
      </c>
      <c r="B3353">
        <v>757.45</v>
      </c>
      <c r="C3353">
        <v>760.73</v>
      </c>
      <c r="D3353">
        <v>757.07</v>
      </c>
      <c r="E3353">
        <v>759.42</v>
      </c>
      <c r="F3353" s="2">
        <v>3180000000</v>
      </c>
    </row>
    <row r="3354" spans="1:6">
      <c r="A3354" s="32">
        <v>38819</v>
      </c>
      <c r="B3354">
        <v>757.38</v>
      </c>
      <c r="C3354">
        <v>758.83</v>
      </c>
      <c r="D3354">
        <v>750.73</v>
      </c>
      <c r="E3354">
        <v>755.43</v>
      </c>
      <c r="F3354" s="2">
        <v>2230000000</v>
      </c>
    </row>
    <row r="3355" spans="1:6">
      <c r="A3355" s="32">
        <v>38818</v>
      </c>
      <c r="B3355">
        <v>758.02</v>
      </c>
      <c r="C3355">
        <v>760.07</v>
      </c>
      <c r="D3355">
        <v>753.39</v>
      </c>
      <c r="E3355">
        <v>757.4</v>
      </c>
      <c r="F3355" s="2">
        <v>2550000000</v>
      </c>
    </row>
    <row r="3356" spans="1:6">
      <c r="A3356" s="32">
        <v>38817</v>
      </c>
      <c r="B3356">
        <v>767.91</v>
      </c>
      <c r="C3356">
        <v>767.91</v>
      </c>
      <c r="D3356">
        <v>757.51</v>
      </c>
      <c r="E3356">
        <v>757.51</v>
      </c>
      <c r="F3356" s="2">
        <v>2660000000</v>
      </c>
    </row>
    <row r="3357" spans="1:6">
      <c r="A3357" s="32">
        <v>38814</v>
      </c>
      <c r="B3357">
        <v>771.34</v>
      </c>
      <c r="C3357">
        <v>772.08</v>
      </c>
      <c r="D3357">
        <v>765.89</v>
      </c>
      <c r="E3357">
        <v>770.33</v>
      </c>
      <c r="F3357" s="2">
        <v>3770000000</v>
      </c>
    </row>
    <row r="3358" spans="1:6">
      <c r="A3358" s="32">
        <v>38812</v>
      </c>
      <c r="B3358">
        <v>748.05</v>
      </c>
      <c r="C3358">
        <v>773.12</v>
      </c>
      <c r="D3358">
        <v>748.05</v>
      </c>
      <c r="E3358">
        <v>768.07</v>
      </c>
      <c r="F3358" s="2">
        <v>6290000000</v>
      </c>
    </row>
    <row r="3359" spans="1:6">
      <c r="A3359" s="32">
        <v>38811</v>
      </c>
      <c r="B3359">
        <v>738.09</v>
      </c>
      <c r="C3359">
        <v>750</v>
      </c>
      <c r="D3359">
        <v>735.83</v>
      </c>
      <c r="E3359">
        <v>745.33</v>
      </c>
      <c r="F3359" s="2">
        <v>4090000000</v>
      </c>
    </row>
    <row r="3360" spans="1:6">
      <c r="A3360" s="32">
        <v>38810</v>
      </c>
      <c r="B3360">
        <v>733.75</v>
      </c>
      <c r="C3360">
        <v>738.67</v>
      </c>
      <c r="D3360">
        <v>728</v>
      </c>
      <c r="E3360">
        <v>738.67</v>
      </c>
      <c r="F3360" s="2">
        <v>3300000000</v>
      </c>
    </row>
    <row r="3361" spans="1:6">
      <c r="A3361" s="32">
        <v>38807</v>
      </c>
      <c r="B3361">
        <v>731.14</v>
      </c>
      <c r="C3361">
        <v>735.52</v>
      </c>
      <c r="D3361">
        <v>730.83</v>
      </c>
      <c r="E3361">
        <v>733.25</v>
      </c>
      <c r="F3361" s="2">
        <v>3210000000</v>
      </c>
    </row>
    <row r="3362" spans="1:6">
      <c r="A3362" s="32">
        <v>38806</v>
      </c>
      <c r="B3362">
        <v>726.41</v>
      </c>
      <c r="C3362">
        <v>730.99</v>
      </c>
      <c r="D3362">
        <v>724.01</v>
      </c>
      <c r="E3362">
        <v>730.99</v>
      </c>
      <c r="F3362" s="2">
        <v>2800000000</v>
      </c>
    </row>
    <row r="3363" spans="1:6">
      <c r="A3363" s="32">
        <v>38805</v>
      </c>
      <c r="B3363">
        <v>730.01</v>
      </c>
      <c r="C3363">
        <v>731.82</v>
      </c>
      <c r="D3363">
        <v>723.24</v>
      </c>
      <c r="E3363">
        <v>724.87</v>
      </c>
      <c r="F3363" s="2">
        <v>2190000000</v>
      </c>
    </row>
    <row r="3364" spans="1:6">
      <c r="A3364" s="32">
        <v>38804</v>
      </c>
      <c r="B3364">
        <v>733.11</v>
      </c>
      <c r="C3364">
        <v>733.53</v>
      </c>
      <c r="D3364">
        <v>729.24</v>
      </c>
      <c r="E3364">
        <v>729.24</v>
      </c>
      <c r="F3364" s="2">
        <v>2120000000</v>
      </c>
    </row>
    <row r="3365" spans="1:6">
      <c r="A3365" s="32">
        <v>38803</v>
      </c>
      <c r="B3365">
        <v>730.62</v>
      </c>
      <c r="C3365">
        <v>733.56</v>
      </c>
      <c r="D3365">
        <v>730.62</v>
      </c>
      <c r="E3365">
        <v>733.33</v>
      </c>
      <c r="F3365" s="2">
        <v>2490000000</v>
      </c>
    </row>
    <row r="3366" spans="1:6">
      <c r="A3366" s="32">
        <v>38800</v>
      </c>
      <c r="B3366">
        <v>730.38</v>
      </c>
      <c r="C3366">
        <v>733.56</v>
      </c>
      <c r="D3366">
        <v>727.61</v>
      </c>
      <c r="E3366">
        <v>730.85</v>
      </c>
      <c r="F3366" s="2">
        <v>2340000000</v>
      </c>
    </row>
    <row r="3367" spans="1:6">
      <c r="A3367" s="32">
        <v>38799</v>
      </c>
      <c r="B3367">
        <v>726.12</v>
      </c>
      <c r="C3367">
        <v>730.88</v>
      </c>
      <c r="D3367">
        <v>726.01</v>
      </c>
      <c r="E3367">
        <v>729.72</v>
      </c>
      <c r="F3367" s="2">
        <v>2360000000</v>
      </c>
    </row>
    <row r="3368" spans="1:6">
      <c r="A3368" s="32">
        <v>38798</v>
      </c>
      <c r="B3368">
        <v>732.32</v>
      </c>
      <c r="C3368">
        <v>734.51</v>
      </c>
      <c r="D3368">
        <v>724.41</v>
      </c>
      <c r="E3368">
        <v>724.41</v>
      </c>
      <c r="F3368" s="2">
        <v>3420000000</v>
      </c>
    </row>
    <row r="3369" spans="1:6">
      <c r="A3369" s="32">
        <v>38797</v>
      </c>
      <c r="B3369">
        <v>732.83</v>
      </c>
      <c r="C3369">
        <v>736.48</v>
      </c>
      <c r="D3369">
        <v>732.48</v>
      </c>
      <c r="E3369">
        <v>732.48</v>
      </c>
      <c r="F3369" s="2">
        <v>3350000000</v>
      </c>
    </row>
    <row r="3370" spans="1:6">
      <c r="A3370" s="32">
        <v>38796</v>
      </c>
      <c r="B3370">
        <v>740.41</v>
      </c>
      <c r="C3370">
        <v>740.7</v>
      </c>
      <c r="D3370">
        <v>734.28</v>
      </c>
      <c r="E3370">
        <v>734.51</v>
      </c>
      <c r="F3370" s="2">
        <v>1620000000</v>
      </c>
    </row>
    <row r="3371" spans="1:6">
      <c r="A3371" s="32">
        <v>38793</v>
      </c>
      <c r="B3371">
        <v>741.92</v>
      </c>
      <c r="C3371">
        <v>743.99</v>
      </c>
      <c r="D3371">
        <v>737.41</v>
      </c>
      <c r="E3371">
        <v>741.43</v>
      </c>
      <c r="F3371" s="2">
        <v>3270000000</v>
      </c>
    </row>
    <row r="3372" spans="1:6">
      <c r="A3372" s="32">
        <v>38792</v>
      </c>
      <c r="B3372">
        <v>744.06</v>
      </c>
      <c r="C3372">
        <v>744.45</v>
      </c>
      <c r="D3372">
        <v>738.93</v>
      </c>
      <c r="E3372">
        <v>739.96</v>
      </c>
      <c r="F3372" s="2">
        <v>4350000000</v>
      </c>
    </row>
    <row r="3373" spans="1:6">
      <c r="A3373" s="32">
        <v>38791</v>
      </c>
      <c r="B3373">
        <v>737.27</v>
      </c>
      <c r="C3373">
        <v>741.21</v>
      </c>
      <c r="D3373">
        <v>736.54</v>
      </c>
      <c r="E3373">
        <v>741.21</v>
      </c>
      <c r="F3373" s="2">
        <v>3180000000</v>
      </c>
    </row>
    <row r="3374" spans="1:6">
      <c r="A3374" s="32">
        <v>38790</v>
      </c>
      <c r="B3374">
        <v>731.29</v>
      </c>
      <c r="C3374">
        <v>738.63</v>
      </c>
      <c r="D3374">
        <v>730.81</v>
      </c>
      <c r="E3374">
        <v>738.63</v>
      </c>
      <c r="F3374" s="2">
        <v>2090000000</v>
      </c>
    </row>
    <row r="3375" spans="1:6">
      <c r="A3375" s="32">
        <v>38789</v>
      </c>
      <c r="B3375">
        <v>727.29</v>
      </c>
      <c r="C3375">
        <v>732.88</v>
      </c>
      <c r="D3375">
        <v>726.58</v>
      </c>
      <c r="E3375">
        <v>732.88</v>
      </c>
      <c r="F3375" s="2">
        <v>1390000000</v>
      </c>
    </row>
    <row r="3376" spans="1:6">
      <c r="A3376" s="32">
        <v>38786</v>
      </c>
      <c r="B3376">
        <v>729.18</v>
      </c>
      <c r="C3376">
        <v>730.51</v>
      </c>
      <c r="D3376">
        <v>727.07</v>
      </c>
      <c r="E3376">
        <v>728.18</v>
      </c>
      <c r="F3376" s="2">
        <v>1990000000</v>
      </c>
    </row>
    <row r="3377" spans="1:6">
      <c r="A3377" s="32">
        <v>38785</v>
      </c>
      <c r="B3377">
        <v>723.93</v>
      </c>
      <c r="C3377">
        <v>732.6</v>
      </c>
      <c r="D3377">
        <v>721.12</v>
      </c>
      <c r="E3377">
        <v>728.99</v>
      </c>
      <c r="F3377" s="2">
        <v>2200000000</v>
      </c>
    </row>
    <row r="3378" spans="1:6">
      <c r="A3378" s="32">
        <v>38784</v>
      </c>
      <c r="B3378">
        <v>733.67</v>
      </c>
      <c r="C3378">
        <v>733.77</v>
      </c>
      <c r="D3378">
        <v>723.86</v>
      </c>
      <c r="E3378">
        <v>723.86</v>
      </c>
      <c r="F3378" s="2">
        <v>1850000000</v>
      </c>
    </row>
    <row r="3379" spans="1:6">
      <c r="A3379" s="32">
        <v>38783</v>
      </c>
      <c r="B3379">
        <v>749.79</v>
      </c>
      <c r="C3379">
        <v>750.64</v>
      </c>
      <c r="D3379">
        <v>737.61</v>
      </c>
      <c r="E3379">
        <v>738.36</v>
      </c>
      <c r="F3379" s="2">
        <v>2140000000</v>
      </c>
    </row>
    <row r="3380" spans="1:6">
      <c r="A3380" s="32">
        <v>38782</v>
      </c>
      <c r="B3380">
        <v>753.62</v>
      </c>
      <c r="C3380">
        <v>754.46</v>
      </c>
      <c r="D3380">
        <v>750.21</v>
      </c>
      <c r="E3380">
        <v>750.81</v>
      </c>
      <c r="F3380" s="2">
        <v>1840000000</v>
      </c>
    </row>
    <row r="3381" spans="1:6">
      <c r="A3381" s="32">
        <v>38779</v>
      </c>
      <c r="B3381">
        <v>754.92</v>
      </c>
      <c r="C3381">
        <v>758.08</v>
      </c>
      <c r="D3381">
        <v>752.15</v>
      </c>
      <c r="E3381">
        <v>753.39</v>
      </c>
      <c r="F3381" s="2">
        <v>2630000000</v>
      </c>
    </row>
    <row r="3382" spans="1:6">
      <c r="A3382" s="32">
        <v>38778</v>
      </c>
      <c r="B3382">
        <v>752.54</v>
      </c>
      <c r="C3382">
        <v>755.75</v>
      </c>
      <c r="D3382">
        <v>751.48</v>
      </c>
      <c r="E3382">
        <v>752.52</v>
      </c>
      <c r="F3382" s="2">
        <v>2800000000</v>
      </c>
    </row>
    <row r="3383" spans="1:6">
      <c r="A3383" s="32">
        <v>38777</v>
      </c>
      <c r="B3383">
        <v>739.94</v>
      </c>
      <c r="C3383">
        <v>751.48</v>
      </c>
      <c r="D3383">
        <v>739.94</v>
      </c>
      <c r="E3383">
        <v>748.28</v>
      </c>
      <c r="F3383" s="2">
        <v>2760000000</v>
      </c>
    </row>
    <row r="3384" spans="1:6">
      <c r="A3384" s="32">
        <v>38776</v>
      </c>
      <c r="B3384">
        <v>746.53</v>
      </c>
      <c r="C3384">
        <v>750.27</v>
      </c>
      <c r="D3384">
        <v>743.01</v>
      </c>
      <c r="E3384">
        <v>744.05</v>
      </c>
      <c r="F3384" s="2">
        <v>3310000000</v>
      </c>
    </row>
    <row r="3385" spans="1:6">
      <c r="A3385" s="32">
        <v>38775</v>
      </c>
      <c r="B3385">
        <v>742.8</v>
      </c>
      <c r="C3385">
        <v>753.55</v>
      </c>
      <c r="D3385">
        <v>736.63</v>
      </c>
      <c r="E3385">
        <v>753.1</v>
      </c>
      <c r="F3385" s="2">
        <v>5770000000</v>
      </c>
    </row>
    <row r="3386" spans="1:6">
      <c r="A3386" s="32">
        <v>38772</v>
      </c>
      <c r="B3386">
        <v>732.94</v>
      </c>
      <c r="C3386">
        <v>741.8</v>
      </c>
      <c r="D3386">
        <v>732.46</v>
      </c>
      <c r="E3386">
        <v>741.8</v>
      </c>
      <c r="F3386" s="2">
        <v>4230000000</v>
      </c>
    </row>
    <row r="3387" spans="1:6">
      <c r="A3387" s="32">
        <v>38771</v>
      </c>
      <c r="B3387">
        <v>730.5</v>
      </c>
      <c r="C3387">
        <v>735.65</v>
      </c>
      <c r="D3387">
        <v>728.88</v>
      </c>
      <c r="E3387">
        <v>732.68</v>
      </c>
      <c r="F3387" s="2">
        <v>2960000000</v>
      </c>
    </row>
    <row r="3388" spans="1:6">
      <c r="A3388" s="32">
        <v>38770</v>
      </c>
      <c r="B3388">
        <v>727.8</v>
      </c>
      <c r="C3388">
        <v>732.63</v>
      </c>
      <c r="D3388">
        <v>727.14</v>
      </c>
      <c r="E3388">
        <v>728.6</v>
      </c>
      <c r="F3388" s="2">
        <v>2980000000</v>
      </c>
    </row>
    <row r="3389" spans="1:6">
      <c r="A3389" s="32">
        <v>38769</v>
      </c>
      <c r="B3389">
        <v>733.52</v>
      </c>
      <c r="C3389">
        <v>736.06</v>
      </c>
      <c r="D3389">
        <v>727.76</v>
      </c>
      <c r="E3389">
        <v>727.76</v>
      </c>
      <c r="F3389" s="2">
        <v>2140000000</v>
      </c>
    </row>
    <row r="3390" spans="1:6">
      <c r="A3390" s="32">
        <v>38768</v>
      </c>
      <c r="B3390">
        <v>736.05</v>
      </c>
      <c r="C3390">
        <v>736.05</v>
      </c>
      <c r="D3390">
        <v>728.4</v>
      </c>
      <c r="E3390">
        <v>734.65</v>
      </c>
      <c r="F3390" s="2">
        <v>3290000000</v>
      </c>
    </row>
    <row r="3391" spans="1:6">
      <c r="A3391" s="32">
        <v>38765</v>
      </c>
      <c r="B3391">
        <v>739.99</v>
      </c>
      <c r="C3391">
        <v>740.72</v>
      </c>
      <c r="D3391">
        <v>735.32</v>
      </c>
      <c r="E3391">
        <v>739.35</v>
      </c>
      <c r="F3391" s="2">
        <v>3430000000</v>
      </c>
    </row>
    <row r="3392" spans="1:6">
      <c r="A3392" s="32">
        <v>38764</v>
      </c>
      <c r="B3392">
        <v>726.56</v>
      </c>
      <c r="C3392">
        <v>737.07</v>
      </c>
      <c r="D3392">
        <v>723.06</v>
      </c>
      <c r="E3392">
        <v>735.16</v>
      </c>
      <c r="F3392" s="2">
        <v>4440000000</v>
      </c>
    </row>
    <row r="3393" spans="1:6">
      <c r="A3393" s="32">
        <v>38763</v>
      </c>
      <c r="B3393">
        <v>726.74</v>
      </c>
      <c r="C3393">
        <v>731.02</v>
      </c>
      <c r="D3393">
        <v>725.44</v>
      </c>
      <c r="E3393">
        <v>725.73</v>
      </c>
      <c r="F3393" s="2">
        <v>3370000000</v>
      </c>
    </row>
    <row r="3394" spans="1:6">
      <c r="A3394" s="32">
        <v>38762</v>
      </c>
      <c r="B3394">
        <v>733.38</v>
      </c>
      <c r="C3394">
        <v>733.38</v>
      </c>
      <c r="D3394">
        <v>723.75</v>
      </c>
      <c r="E3394">
        <v>727.91</v>
      </c>
      <c r="F3394" s="2">
        <v>2910000000</v>
      </c>
    </row>
    <row r="3395" spans="1:6">
      <c r="A3395" s="32">
        <v>38758</v>
      </c>
      <c r="B3395">
        <v>734.5</v>
      </c>
      <c r="C3395">
        <v>739.56</v>
      </c>
      <c r="D3395">
        <v>734.3</v>
      </c>
      <c r="E3395">
        <v>738.07</v>
      </c>
      <c r="F3395" s="2">
        <v>3720000000</v>
      </c>
    </row>
    <row r="3396" spans="1:6">
      <c r="A3396" s="32">
        <v>38757</v>
      </c>
      <c r="B3396">
        <v>735.94</v>
      </c>
      <c r="C3396">
        <v>736.57</v>
      </c>
      <c r="D3396">
        <v>727.82</v>
      </c>
      <c r="E3396">
        <v>733.14</v>
      </c>
      <c r="F3396" s="2">
        <v>4240000000</v>
      </c>
    </row>
    <row r="3397" spans="1:6">
      <c r="A3397" s="32">
        <v>38756</v>
      </c>
      <c r="B3397">
        <v>742.72</v>
      </c>
      <c r="C3397">
        <v>743.74</v>
      </c>
      <c r="D3397">
        <v>734.63</v>
      </c>
      <c r="E3397">
        <v>734.63</v>
      </c>
      <c r="F3397" s="2">
        <v>4410000000</v>
      </c>
    </row>
    <row r="3398" spans="1:6">
      <c r="A3398" s="32">
        <v>38755</v>
      </c>
      <c r="B3398">
        <v>744.11</v>
      </c>
      <c r="C3398">
        <v>745.95</v>
      </c>
      <c r="D3398">
        <v>741.36</v>
      </c>
      <c r="E3398">
        <v>743.37</v>
      </c>
      <c r="F3398" s="2">
        <v>4330000000</v>
      </c>
    </row>
    <row r="3399" spans="1:6">
      <c r="A3399" s="32">
        <v>38754</v>
      </c>
      <c r="B3399">
        <v>748.86</v>
      </c>
      <c r="C3399">
        <v>749.99</v>
      </c>
      <c r="D3399">
        <v>735.91</v>
      </c>
      <c r="E3399">
        <v>744.12</v>
      </c>
      <c r="F3399" s="2">
        <v>3330000000</v>
      </c>
    </row>
    <row r="3400" spans="1:6">
      <c r="A3400" s="32">
        <v>38751</v>
      </c>
      <c r="B3400">
        <v>739.3</v>
      </c>
      <c r="C3400">
        <v>751.51</v>
      </c>
      <c r="D3400">
        <v>737.01</v>
      </c>
      <c r="E3400">
        <v>747.09</v>
      </c>
      <c r="F3400" s="2">
        <v>3560000000</v>
      </c>
    </row>
    <row r="3401" spans="1:6">
      <c r="A3401" s="32">
        <v>38750</v>
      </c>
      <c r="B3401">
        <v>756.91</v>
      </c>
      <c r="C3401">
        <v>756.91</v>
      </c>
      <c r="D3401">
        <v>741.84</v>
      </c>
      <c r="E3401">
        <v>744.54</v>
      </c>
      <c r="F3401" s="2">
        <v>5140000000</v>
      </c>
    </row>
    <row r="3402" spans="1:6">
      <c r="A3402" s="32">
        <v>38749</v>
      </c>
      <c r="B3402">
        <v>763.85</v>
      </c>
      <c r="C3402">
        <v>764.08</v>
      </c>
      <c r="D3402">
        <v>759.11</v>
      </c>
      <c r="E3402">
        <v>760.36</v>
      </c>
      <c r="F3402" s="2">
        <v>4220000000</v>
      </c>
    </row>
    <row r="3403" spans="1:6">
      <c r="A3403" s="32">
        <v>38748</v>
      </c>
      <c r="B3403">
        <v>758.96</v>
      </c>
      <c r="C3403">
        <v>762.91</v>
      </c>
      <c r="D3403">
        <v>758.03</v>
      </c>
      <c r="E3403">
        <v>762.63</v>
      </c>
      <c r="F3403" s="2">
        <v>2770000000</v>
      </c>
    </row>
    <row r="3404" spans="1:6">
      <c r="A3404" s="32">
        <v>38747</v>
      </c>
      <c r="B3404">
        <v>763.82</v>
      </c>
      <c r="C3404">
        <v>763.82</v>
      </c>
      <c r="D3404">
        <v>755.07</v>
      </c>
      <c r="E3404">
        <v>756.15</v>
      </c>
      <c r="F3404" s="2">
        <v>3660000000</v>
      </c>
    </row>
    <row r="3405" spans="1:6">
      <c r="A3405" s="32">
        <v>38744</v>
      </c>
      <c r="B3405">
        <v>765.59</v>
      </c>
      <c r="C3405">
        <v>765.59</v>
      </c>
      <c r="D3405">
        <v>758.5</v>
      </c>
      <c r="E3405">
        <v>761.27</v>
      </c>
      <c r="F3405" s="2">
        <v>4310000000</v>
      </c>
    </row>
    <row r="3406" spans="1:6">
      <c r="A3406" s="32">
        <v>38743</v>
      </c>
      <c r="B3406">
        <v>765.71</v>
      </c>
      <c r="C3406">
        <v>769.57</v>
      </c>
      <c r="D3406">
        <v>761.14</v>
      </c>
      <c r="E3406">
        <v>761.14</v>
      </c>
      <c r="F3406" s="2">
        <v>5200000000</v>
      </c>
    </row>
    <row r="3407" spans="1:6">
      <c r="A3407" s="32">
        <v>38742</v>
      </c>
      <c r="B3407">
        <v>749.67</v>
      </c>
      <c r="C3407">
        <v>763.94</v>
      </c>
      <c r="D3407">
        <v>749.51</v>
      </c>
      <c r="E3407">
        <v>762.7</v>
      </c>
      <c r="F3407" s="2">
        <v>6410000000</v>
      </c>
    </row>
    <row r="3408" spans="1:6">
      <c r="A3408" s="32">
        <v>38741</v>
      </c>
      <c r="B3408">
        <v>747.75</v>
      </c>
      <c r="C3408">
        <v>751.5</v>
      </c>
      <c r="D3408">
        <v>745.95</v>
      </c>
      <c r="E3408">
        <v>745.95</v>
      </c>
      <c r="F3408" s="2">
        <v>3520000000</v>
      </c>
    </row>
    <row r="3409" spans="1:6">
      <c r="A3409" s="32">
        <v>38740</v>
      </c>
      <c r="B3409">
        <v>742.42</v>
      </c>
      <c r="C3409">
        <v>750.28</v>
      </c>
      <c r="D3409">
        <v>741.4</v>
      </c>
      <c r="E3409">
        <v>750.28</v>
      </c>
      <c r="F3409" s="2">
        <v>5050000000</v>
      </c>
    </row>
    <row r="3410" spans="1:6">
      <c r="A3410" s="32">
        <v>38737</v>
      </c>
      <c r="B3410">
        <v>749.77</v>
      </c>
      <c r="C3410">
        <v>752.61</v>
      </c>
      <c r="D3410">
        <v>747</v>
      </c>
      <c r="E3410">
        <v>747.7</v>
      </c>
      <c r="F3410" s="2">
        <v>5440000000</v>
      </c>
    </row>
    <row r="3411" spans="1:6">
      <c r="A3411" s="32">
        <v>38736</v>
      </c>
      <c r="B3411">
        <v>738.83</v>
      </c>
      <c r="C3411">
        <v>746.24</v>
      </c>
      <c r="D3411">
        <v>737.34</v>
      </c>
      <c r="E3411">
        <v>744.98</v>
      </c>
      <c r="F3411" s="2">
        <v>5320000000</v>
      </c>
    </row>
    <row r="3412" spans="1:6">
      <c r="A3412" s="32">
        <v>38735</v>
      </c>
      <c r="B3412">
        <v>749.53</v>
      </c>
      <c r="C3412">
        <v>749.53</v>
      </c>
      <c r="D3412">
        <v>735.39</v>
      </c>
      <c r="E3412">
        <v>736.4</v>
      </c>
      <c r="F3412" s="2">
        <v>4910000000</v>
      </c>
    </row>
    <row r="3413" spans="1:6">
      <c r="A3413" s="32">
        <v>38734</v>
      </c>
      <c r="B3413">
        <v>754.19</v>
      </c>
      <c r="C3413">
        <v>755.74</v>
      </c>
      <c r="D3413">
        <v>746.59</v>
      </c>
      <c r="E3413">
        <v>750.73</v>
      </c>
      <c r="F3413" s="2">
        <v>5260000000</v>
      </c>
    </row>
    <row r="3414" spans="1:6">
      <c r="A3414" s="32">
        <v>38733</v>
      </c>
      <c r="B3414">
        <v>752.93</v>
      </c>
      <c r="C3414">
        <v>753.16</v>
      </c>
      <c r="D3414">
        <v>744.53</v>
      </c>
      <c r="E3414">
        <v>752</v>
      </c>
      <c r="F3414" s="2">
        <v>6130000000</v>
      </c>
    </row>
    <row r="3415" spans="1:6">
      <c r="A3415" s="32">
        <v>38730</v>
      </c>
      <c r="B3415">
        <v>753.97</v>
      </c>
      <c r="C3415">
        <v>760.01</v>
      </c>
      <c r="D3415">
        <v>751.25</v>
      </c>
      <c r="E3415">
        <v>755.72</v>
      </c>
      <c r="F3415" s="2">
        <v>7030000000</v>
      </c>
    </row>
    <row r="3416" spans="1:6">
      <c r="A3416" s="32">
        <v>38729</v>
      </c>
      <c r="B3416">
        <v>764.08</v>
      </c>
      <c r="C3416">
        <v>764.08</v>
      </c>
      <c r="D3416">
        <v>748.07</v>
      </c>
      <c r="E3416">
        <v>753.04</v>
      </c>
      <c r="F3416" s="2">
        <v>7090000000</v>
      </c>
    </row>
    <row r="3417" spans="1:6">
      <c r="A3417" s="32">
        <v>38728</v>
      </c>
      <c r="B3417">
        <v>758.94</v>
      </c>
      <c r="C3417">
        <v>764.01</v>
      </c>
      <c r="D3417">
        <v>750.67</v>
      </c>
      <c r="E3417">
        <v>764.01</v>
      </c>
      <c r="F3417" s="2">
        <v>6090000000</v>
      </c>
    </row>
    <row r="3418" spans="1:6">
      <c r="A3418" s="32">
        <v>38727</v>
      </c>
      <c r="B3418">
        <v>765.12</v>
      </c>
      <c r="C3418">
        <v>766.85</v>
      </c>
      <c r="D3418">
        <v>758.05</v>
      </c>
      <c r="E3418">
        <v>759.32</v>
      </c>
      <c r="F3418" s="2">
        <v>7150000000</v>
      </c>
    </row>
    <row r="3419" spans="1:6">
      <c r="A3419" s="32">
        <v>38726</v>
      </c>
      <c r="B3419">
        <v>749.04</v>
      </c>
      <c r="C3419">
        <v>762.29</v>
      </c>
      <c r="D3419">
        <v>749.04</v>
      </c>
      <c r="E3419">
        <v>762.26</v>
      </c>
      <c r="F3419" s="2">
        <v>7760000000</v>
      </c>
    </row>
    <row r="3420" spans="1:6">
      <c r="A3420" s="32">
        <v>38723</v>
      </c>
      <c r="B3420">
        <v>743.91</v>
      </c>
      <c r="C3420">
        <v>747.77</v>
      </c>
      <c r="D3420">
        <v>737.02</v>
      </c>
      <c r="E3420">
        <v>747.34</v>
      </c>
      <c r="F3420" s="2">
        <v>5490000000</v>
      </c>
    </row>
    <row r="3421" spans="1:6">
      <c r="A3421" s="32">
        <v>38722</v>
      </c>
      <c r="B3421">
        <v>750.13</v>
      </c>
      <c r="C3421">
        <v>752.65</v>
      </c>
      <c r="D3421">
        <v>740.19</v>
      </c>
      <c r="E3421">
        <v>741.28</v>
      </c>
      <c r="F3421" s="2">
        <v>6910000000</v>
      </c>
    </row>
    <row r="3422" spans="1:6">
      <c r="A3422" s="32">
        <v>38721</v>
      </c>
      <c r="B3422">
        <v>732.51</v>
      </c>
      <c r="C3422">
        <v>745.32</v>
      </c>
      <c r="D3422">
        <v>732.51</v>
      </c>
      <c r="E3422">
        <v>743.2</v>
      </c>
      <c r="F3422" s="2">
        <v>7090000000</v>
      </c>
    </row>
    <row r="3423" spans="1:6">
      <c r="A3423" s="32">
        <v>38720</v>
      </c>
      <c r="B3423">
        <v>713.8</v>
      </c>
      <c r="C3423">
        <v>725.64</v>
      </c>
      <c r="D3423">
        <v>713.8</v>
      </c>
      <c r="E3423">
        <v>725.64</v>
      </c>
      <c r="F3423" s="2">
        <v>3380000000</v>
      </c>
    </row>
    <row r="3424" spans="1:6">
      <c r="A3424" s="32">
        <v>38716</v>
      </c>
      <c r="B3424">
        <v>712.26</v>
      </c>
      <c r="C3424">
        <v>713.96</v>
      </c>
      <c r="D3424">
        <v>710.3</v>
      </c>
      <c r="E3424">
        <v>713.73</v>
      </c>
      <c r="F3424" s="2">
        <v>3330000000</v>
      </c>
    </row>
    <row r="3425" spans="1:6">
      <c r="A3425" s="32">
        <v>38715</v>
      </c>
      <c r="B3425">
        <v>705.83</v>
      </c>
      <c r="C3425">
        <v>712.85</v>
      </c>
      <c r="D3425">
        <v>705.7</v>
      </c>
      <c r="E3425">
        <v>710.22</v>
      </c>
      <c r="F3425" s="2">
        <v>2600000000</v>
      </c>
    </row>
    <row r="3426" spans="1:6">
      <c r="A3426" s="32">
        <v>38714</v>
      </c>
      <c r="B3426">
        <v>707.11</v>
      </c>
      <c r="C3426">
        <v>707.27</v>
      </c>
      <c r="D3426">
        <v>702.51</v>
      </c>
      <c r="E3426">
        <v>705.29</v>
      </c>
      <c r="F3426" s="2">
        <v>2190000000</v>
      </c>
    </row>
    <row r="3427" spans="1:6">
      <c r="A3427" s="32">
        <v>38713</v>
      </c>
      <c r="B3427">
        <v>702.83</v>
      </c>
      <c r="C3427">
        <v>707.04</v>
      </c>
      <c r="D3427">
        <v>702.28</v>
      </c>
      <c r="E3427">
        <v>706.47</v>
      </c>
      <c r="F3427" s="2">
        <v>2270000000</v>
      </c>
    </row>
    <row r="3428" spans="1:6">
      <c r="A3428" s="32">
        <v>38712</v>
      </c>
      <c r="B3428">
        <v>699.99</v>
      </c>
      <c r="C3428">
        <v>702.17</v>
      </c>
      <c r="D3428">
        <v>698.72</v>
      </c>
      <c r="E3428">
        <v>701.37</v>
      </c>
      <c r="F3428" s="2">
        <v>2710000000</v>
      </c>
    </row>
    <row r="3429" spans="1:6">
      <c r="A3429" s="32">
        <v>38709</v>
      </c>
      <c r="B3429">
        <v>697.96</v>
      </c>
      <c r="C3429">
        <v>701.45</v>
      </c>
      <c r="D3429">
        <v>696.98</v>
      </c>
      <c r="E3429">
        <v>698.95</v>
      </c>
      <c r="F3429" s="2">
        <v>3460000000</v>
      </c>
    </row>
    <row r="3430" spans="1:6">
      <c r="A3430" s="32">
        <v>38708</v>
      </c>
      <c r="B3430">
        <v>698.05</v>
      </c>
      <c r="C3430">
        <v>699.74</v>
      </c>
      <c r="D3430">
        <v>695.49</v>
      </c>
      <c r="E3430">
        <v>696.41</v>
      </c>
      <c r="F3430" s="2">
        <v>2800000000</v>
      </c>
    </row>
    <row r="3431" spans="1:6">
      <c r="A3431" s="32">
        <v>38707</v>
      </c>
      <c r="B3431">
        <v>700.94</v>
      </c>
      <c r="C3431">
        <v>701.92</v>
      </c>
      <c r="D3431">
        <v>697.5</v>
      </c>
      <c r="E3431">
        <v>698.43</v>
      </c>
      <c r="F3431" s="2">
        <v>3920000000</v>
      </c>
    </row>
    <row r="3432" spans="1:6">
      <c r="A3432" s="32">
        <v>38706</v>
      </c>
      <c r="B3432">
        <v>690.7</v>
      </c>
      <c r="C3432">
        <v>698.68</v>
      </c>
      <c r="D3432">
        <v>690.55</v>
      </c>
      <c r="E3432">
        <v>698.68</v>
      </c>
      <c r="F3432" s="2">
        <v>4180000000</v>
      </c>
    </row>
    <row r="3433" spans="1:6">
      <c r="A3433" s="32">
        <v>38705</v>
      </c>
      <c r="B3433">
        <v>690.68</v>
      </c>
      <c r="C3433">
        <v>693.77</v>
      </c>
      <c r="D3433">
        <v>688.65</v>
      </c>
      <c r="E3433">
        <v>691.28</v>
      </c>
      <c r="F3433" s="2">
        <v>3210000000</v>
      </c>
    </row>
    <row r="3434" spans="1:6">
      <c r="A3434" s="32">
        <v>38702</v>
      </c>
      <c r="B3434">
        <v>691.35</v>
      </c>
      <c r="C3434">
        <v>691.35</v>
      </c>
      <c r="D3434">
        <v>686.5</v>
      </c>
      <c r="E3434">
        <v>691.17</v>
      </c>
      <c r="F3434" s="2">
        <v>3960000000</v>
      </c>
    </row>
    <row r="3435" spans="1:6">
      <c r="A3435" s="32">
        <v>38701</v>
      </c>
      <c r="B3435">
        <v>696.49</v>
      </c>
      <c r="C3435">
        <v>697.15</v>
      </c>
      <c r="D3435">
        <v>690.2</v>
      </c>
      <c r="E3435">
        <v>690.49</v>
      </c>
      <c r="F3435" s="2">
        <v>6370000000</v>
      </c>
    </row>
    <row r="3436" spans="1:6">
      <c r="A3436" s="32">
        <v>38700</v>
      </c>
      <c r="B3436">
        <v>695.11</v>
      </c>
      <c r="C3436">
        <v>696.79</v>
      </c>
      <c r="D3436">
        <v>691.51</v>
      </c>
      <c r="E3436">
        <v>694.72</v>
      </c>
      <c r="F3436" s="2">
        <v>3760000000</v>
      </c>
    </row>
    <row r="3437" spans="1:6">
      <c r="A3437" s="32">
        <v>38699</v>
      </c>
      <c r="B3437">
        <v>700.19</v>
      </c>
      <c r="C3437">
        <v>701.59</v>
      </c>
      <c r="D3437">
        <v>693.48</v>
      </c>
      <c r="E3437">
        <v>693.48</v>
      </c>
      <c r="F3437" s="2">
        <v>3350000000</v>
      </c>
    </row>
    <row r="3438" spans="1:6">
      <c r="A3438" s="32">
        <v>38695</v>
      </c>
      <c r="B3438">
        <v>693.36</v>
      </c>
      <c r="C3438">
        <v>698.9</v>
      </c>
      <c r="D3438">
        <v>691.08</v>
      </c>
      <c r="E3438">
        <v>697.74</v>
      </c>
      <c r="F3438" s="2">
        <v>3420000000</v>
      </c>
    </row>
    <row r="3439" spans="1:6">
      <c r="A3439" s="32">
        <v>38694</v>
      </c>
      <c r="B3439">
        <v>694.01</v>
      </c>
      <c r="C3439">
        <v>694.01</v>
      </c>
      <c r="D3439">
        <v>686.59</v>
      </c>
      <c r="E3439">
        <v>692.58</v>
      </c>
      <c r="F3439" s="2">
        <v>3090000000</v>
      </c>
    </row>
    <row r="3440" spans="1:6">
      <c r="A3440" s="32">
        <v>38693</v>
      </c>
      <c r="B3440">
        <v>679.36</v>
      </c>
      <c r="C3440">
        <v>694.87</v>
      </c>
      <c r="D3440">
        <v>679.36</v>
      </c>
      <c r="E3440">
        <v>694.87</v>
      </c>
      <c r="F3440" s="2">
        <v>4570000000</v>
      </c>
    </row>
    <row r="3441" spans="1:6">
      <c r="A3441" s="32">
        <v>38692</v>
      </c>
      <c r="B3441">
        <v>662.04</v>
      </c>
      <c r="C3441">
        <v>679.16</v>
      </c>
      <c r="D3441">
        <v>662.04</v>
      </c>
      <c r="E3441">
        <v>679.16</v>
      </c>
      <c r="F3441" s="2">
        <v>2990000000</v>
      </c>
    </row>
    <row r="3442" spans="1:6">
      <c r="A3442" s="32">
        <v>38688</v>
      </c>
      <c r="B3442">
        <v>663.56</v>
      </c>
      <c r="C3442">
        <v>665.96</v>
      </c>
      <c r="D3442">
        <v>656.86</v>
      </c>
      <c r="E3442">
        <v>659.91</v>
      </c>
      <c r="F3442" s="2">
        <v>1790000000</v>
      </c>
    </row>
    <row r="3443" spans="1:6">
      <c r="A3443" s="32">
        <v>38687</v>
      </c>
      <c r="B3443">
        <v>666.96</v>
      </c>
      <c r="C3443">
        <v>666.96</v>
      </c>
      <c r="D3443">
        <v>660.34</v>
      </c>
      <c r="E3443">
        <v>660.95</v>
      </c>
      <c r="F3443" s="2">
        <v>1970000000</v>
      </c>
    </row>
    <row r="3444" spans="1:6">
      <c r="A3444" s="32">
        <v>38686</v>
      </c>
      <c r="B3444">
        <v>670.58</v>
      </c>
      <c r="C3444">
        <v>670.58</v>
      </c>
      <c r="D3444">
        <v>665.73</v>
      </c>
      <c r="E3444">
        <v>667.75</v>
      </c>
      <c r="F3444" s="2">
        <v>1220000000</v>
      </c>
    </row>
    <row r="3445" spans="1:6">
      <c r="A3445" s="32">
        <v>38685</v>
      </c>
      <c r="B3445">
        <v>666.52</v>
      </c>
      <c r="C3445">
        <v>670.87</v>
      </c>
      <c r="D3445">
        <v>664.44</v>
      </c>
      <c r="E3445">
        <v>669.9</v>
      </c>
      <c r="F3445" s="2">
        <v>2060000000</v>
      </c>
    </row>
    <row r="3446" spans="1:6">
      <c r="A3446" s="32">
        <v>38684</v>
      </c>
      <c r="B3446">
        <v>670.29</v>
      </c>
      <c r="C3446">
        <v>670.62</v>
      </c>
      <c r="D3446">
        <v>665.13</v>
      </c>
      <c r="E3446">
        <v>666.69</v>
      </c>
      <c r="F3446" s="2">
        <v>1750000000</v>
      </c>
    </row>
    <row r="3447" spans="1:6">
      <c r="A3447" s="32">
        <v>38681</v>
      </c>
      <c r="B3447">
        <v>669.15</v>
      </c>
      <c r="C3447">
        <v>670.4</v>
      </c>
      <c r="D3447">
        <v>667.99</v>
      </c>
      <c r="E3447">
        <v>669.89</v>
      </c>
      <c r="F3447" s="2">
        <v>1170000000</v>
      </c>
    </row>
    <row r="3448" spans="1:6">
      <c r="A3448" s="32">
        <v>38680</v>
      </c>
      <c r="B3448">
        <v>669.18</v>
      </c>
      <c r="C3448">
        <v>670.37</v>
      </c>
      <c r="D3448">
        <v>665.34</v>
      </c>
      <c r="E3448">
        <v>669.76</v>
      </c>
      <c r="F3448" s="2">
        <v>1360000000</v>
      </c>
    </row>
    <row r="3449" spans="1:6">
      <c r="A3449" s="32">
        <v>38679</v>
      </c>
      <c r="B3449">
        <v>675.68</v>
      </c>
      <c r="C3449">
        <v>675.92</v>
      </c>
      <c r="D3449">
        <v>664.13</v>
      </c>
      <c r="E3449">
        <v>669.18</v>
      </c>
      <c r="F3449" s="2">
        <v>2680000000</v>
      </c>
    </row>
    <row r="3450" spans="1:6">
      <c r="A3450" s="32">
        <v>38678</v>
      </c>
      <c r="B3450">
        <v>672.55</v>
      </c>
      <c r="C3450">
        <v>674.35</v>
      </c>
      <c r="D3450">
        <v>670.93</v>
      </c>
      <c r="E3450">
        <v>674.25</v>
      </c>
      <c r="F3450" s="2">
        <v>1750000000</v>
      </c>
    </row>
    <row r="3451" spans="1:6">
      <c r="A3451" s="32">
        <v>38677</v>
      </c>
      <c r="B3451">
        <v>677.48</v>
      </c>
      <c r="C3451">
        <v>678.01</v>
      </c>
      <c r="D3451">
        <v>670.79</v>
      </c>
      <c r="E3451">
        <v>672.06</v>
      </c>
      <c r="F3451" s="2">
        <v>1470000000</v>
      </c>
    </row>
    <row r="3452" spans="1:6">
      <c r="A3452" s="32">
        <v>38674</v>
      </c>
      <c r="B3452">
        <v>672.32</v>
      </c>
      <c r="C3452">
        <v>676.45</v>
      </c>
      <c r="D3452">
        <v>670.98</v>
      </c>
      <c r="E3452">
        <v>676.41</v>
      </c>
      <c r="F3452" s="2">
        <v>2080000000</v>
      </c>
    </row>
    <row r="3453" spans="1:6">
      <c r="A3453" s="32">
        <v>38673</v>
      </c>
      <c r="B3453">
        <v>675.75</v>
      </c>
      <c r="C3453">
        <v>678.62</v>
      </c>
      <c r="D3453">
        <v>672.37</v>
      </c>
      <c r="E3453">
        <v>672.63</v>
      </c>
      <c r="F3453" s="2">
        <v>2190000000</v>
      </c>
    </row>
    <row r="3454" spans="1:6">
      <c r="A3454" s="32">
        <v>38672</v>
      </c>
      <c r="B3454">
        <v>681.31</v>
      </c>
      <c r="C3454">
        <v>681.31</v>
      </c>
      <c r="D3454">
        <v>674.34</v>
      </c>
      <c r="E3454">
        <v>675.31</v>
      </c>
      <c r="F3454" s="2">
        <v>2750000000</v>
      </c>
    </row>
    <row r="3455" spans="1:6">
      <c r="A3455" s="32">
        <v>38671</v>
      </c>
      <c r="B3455">
        <v>682.91</v>
      </c>
      <c r="C3455">
        <v>686.79</v>
      </c>
      <c r="D3455">
        <v>675.86</v>
      </c>
      <c r="E3455">
        <v>681.58</v>
      </c>
      <c r="F3455" s="2">
        <v>3040000000</v>
      </c>
    </row>
    <row r="3456" spans="1:6">
      <c r="A3456" s="32">
        <v>38670</v>
      </c>
      <c r="B3456">
        <v>685</v>
      </c>
      <c r="C3456">
        <v>685.85</v>
      </c>
      <c r="D3456">
        <v>680.79</v>
      </c>
      <c r="E3456">
        <v>683.41</v>
      </c>
      <c r="F3456" s="2">
        <v>2550000000</v>
      </c>
    </row>
    <row r="3457" spans="1:6">
      <c r="A3457" s="32">
        <v>38667</v>
      </c>
      <c r="B3457">
        <v>694.42</v>
      </c>
      <c r="C3457">
        <v>694.42</v>
      </c>
      <c r="D3457">
        <v>689.56</v>
      </c>
      <c r="E3457">
        <v>690.45</v>
      </c>
      <c r="F3457" s="2">
        <v>2300000000</v>
      </c>
    </row>
    <row r="3458" spans="1:6">
      <c r="A3458" s="32">
        <v>38666</v>
      </c>
      <c r="B3458">
        <v>696.88</v>
      </c>
      <c r="C3458">
        <v>696.97</v>
      </c>
      <c r="D3458">
        <v>691.9</v>
      </c>
      <c r="E3458">
        <v>694.44</v>
      </c>
      <c r="F3458" s="2">
        <v>3280000000</v>
      </c>
    </row>
    <row r="3459" spans="1:6">
      <c r="A3459" s="32">
        <v>38665</v>
      </c>
      <c r="B3459">
        <v>696</v>
      </c>
      <c r="C3459">
        <v>697.97</v>
      </c>
      <c r="D3459">
        <v>692.52</v>
      </c>
      <c r="E3459">
        <v>696.85</v>
      </c>
      <c r="F3459" s="2">
        <v>1810000000</v>
      </c>
    </row>
    <row r="3460" spans="1:6">
      <c r="A3460" s="32">
        <v>38664</v>
      </c>
      <c r="B3460">
        <v>700.34</v>
      </c>
      <c r="C3460">
        <v>700.99</v>
      </c>
      <c r="D3460">
        <v>694.52</v>
      </c>
      <c r="E3460">
        <v>695.6</v>
      </c>
      <c r="F3460" s="2">
        <v>1990000000</v>
      </c>
    </row>
    <row r="3461" spans="1:6">
      <c r="A3461" s="32">
        <v>38663</v>
      </c>
      <c r="B3461">
        <v>704</v>
      </c>
      <c r="C3461">
        <v>704</v>
      </c>
      <c r="D3461">
        <v>697.81</v>
      </c>
      <c r="E3461">
        <v>700.75</v>
      </c>
      <c r="F3461" s="2">
        <v>1830000000</v>
      </c>
    </row>
    <row r="3462" spans="1:6">
      <c r="A3462" s="32">
        <v>38660</v>
      </c>
      <c r="B3462">
        <v>707.93</v>
      </c>
      <c r="C3462">
        <v>709.63</v>
      </c>
      <c r="D3462">
        <v>703.12</v>
      </c>
      <c r="E3462">
        <v>706.23</v>
      </c>
      <c r="F3462" s="2">
        <v>2710000000</v>
      </c>
    </row>
    <row r="3463" spans="1:6">
      <c r="A3463" s="32">
        <v>38659</v>
      </c>
      <c r="B3463">
        <v>699.94</v>
      </c>
      <c r="C3463">
        <v>705.45</v>
      </c>
      <c r="D3463">
        <v>699.94</v>
      </c>
      <c r="E3463">
        <v>704.79</v>
      </c>
      <c r="F3463" s="2">
        <v>2980000000</v>
      </c>
    </row>
    <row r="3464" spans="1:6">
      <c r="A3464" s="32">
        <v>38658</v>
      </c>
      <c r="B3464">
        <v>693.79</v>
      </c>
      <c r="C3464">
        <v>700.3</v>
      </c>
      <c r="D3464">
        <v>693.79</v>
      </c>
      <c r="E3464">
        <v>699.88</v>
      </c>
      <c r="F3464" s="2">
        <v>2590000000</v>
      </c>
    </row>
    <row r="3465" spans="1:6">
      <c r="A3465" s="32">
        <v>38657</v>
      </c>
      <c r="B3465">
        <v>682.38</v>
      </c>
      <c r="C3465">
        <v>694</v>
      </c>
      <c r="D3465">
        <v>682.38</v>
      </c>
      <c r="E3465">
        <v>693.27</v>
      </c>
      <c r="F3465" s="2">
        <v>2130000000</v>
      </c>
    </row>
    <row r="3466" spans="1:6">
      <c r="A3466" s="32">
        <v>38656</v>
      </c>
      <c r="B3466">
        <v>683.26</v>
      </c>
      <c r="C3466">
        <v>683.67</v>
      </c>
      <c r="D3466">
        <v>678.87</v>
      </c>
      <c r="E3466">
        <v>682.62</v>
      </c>
      <c r="F3466" s="2">
        <v>952040000</v>
      </c>
    </row>
    <row r="3467" spans="1:6">
      <c r="A3467" s="32">
        <v>38653</v>
      </c>
      <c r="B3467">
        <v>683.39</v>
      </c>
      <c r="C3467">
        <v>683.39</v>
      </c>
      <c r="D3467">
        <v>679.62</v>
      </c>
      <c r="E3467">
        <v>682.25</v>
      </c>
      <c r="F3467" s="2">
        <v>1330000000</v>
      </c>
    </row>
    <row r="3468" spans="1:6">
      <c r="A3468" s="32">
        <v>38652</v>
      </c>
      <c r="B3468">
        <v>684.72</v>
      </c>
      <c r="C3468">
        <v>685.67</v>
      </c>
      <c r="D3468">
        <v>682</v>
      </c>
      <c r="E3468">
        <v>685.29</v>
      </c>
      <c r="F3468" s="2">
        <v>1550000000</v>
      </c>
    </row>
    <row r="3469" spans="1:6">
      <c r="A3469" s="32">
        <v>38651</v>
      </c>
      <c r="B3469">
        <v>679.09</v>
      </c>
      <c r="C3469">
        <v>686.4</v>
      </c>
      <c r="D3469">
        <v>679.09</v>
      </c>
      <c r="E3469">
        <v>685.04</v>
      </c>
      <c r="F3469" s="2">
        <v>1830000000</v>
      </c>
    </row>
    <row r="3470" spans="1:6">
      <c r="A3470" s="32">
        <v>38650</v>
      </c>
      <c r="B3470">
        <v>687.41</v>
      </c>
      <c r="C3470">
        <v>688.07</v>
      </c>
      <c r="D3470">
        <v>676.84</v>
      </c>
      <c r="E3470">
        <v>676.84</v>
      </c>
      <c r="F3470" s="2">
        <v>1530000000</v>
      </c>
    </row>
    <row r="3471" spans="1:6">
      <c r="A3471" s="32">
        <v>38646</v>
      </c>
      <c r="B3471">
        <v>678.81</v>
      </c>
      <c r="C3471">
        <v>686.21</v>
      </c>
      <c r="D3471">
        <v>676.31</v>
      </c>
      <c r="E3471">
        <v>686.21</v>
      </c>
      <c r="F3471" s="2">
        <v>1790000000</v>
      </c>
    </row>
    <row r="3472" spans="1:6">
      <c r="A3472" s="32">
        <v>38645</v>
      </c>
      <c r="B3472">
        <v>687</v>
      </c>
      <c r="C3472">
        <v>690.64</v>
      </c>
      <c r="D3472">
        <v>679.6</v>
      </c>
      <c r="E3472">
        <v>681.92</v>
      </c>
      <c r="F3472" s="2">
        <v>2450000000</v>
      </c>
    </row>
    <row r="3473" spans="1:6">
      <c r="A3473" s="32">
        <v>38644</v>
      </c>
      <c r="B3473">
        <v>693.88</v>
      </c>
      <c r="C3473">
        <v>694.13</v>
      </c>
      <c r="D3473">
        <v>683.74</v>
      </c>
      <c r="E3473">
        <v>684.07</v>
      </c>
      <c r="F3473" s="2">
        <v>2350000000</v>
      </c>
    </row>
    <row r="3474" spans="1:6">
      <c r="A3474" s="32">
        <v>38643</v>
      </c>
      <c r="B3474">
        <v>697.24</v>
      </c>
      <c r="C3474">
        <v>700.34</v>
      </c>
      <c r="D3474">
        <v>694.8</v>
      </c>
      <c r="E3474">
        <v>695.18</v>
      </c>
      <c r="F3474" s="2">
        <v>2280000000</v>
      </c>
    </row>
    <row r="3475" spans="1:6">
      <c r="A3475" s="32">
        <v>38642</v>
      </c>
      <c r="B3475">
        <v>700.77</v>
      </c>
      <c r="C3475">
        <v>701.68</v>
      </c>
      <c r="D3475">
        <v>695.47</v>
      </c>
      <c r="E3475">
        <v>696.28</v>
      </c>
      <c r="F3475" s="2">
        <v>1700000000</v>
      </c>
    </row>
    <row r="3476" spans="1:6">
      <c r="A3476" s="32">
        <v>38639</v>
      </c>
      <c r="B3476">
        <v>702.83</v>
      </c>
      <c r="C3476">
        <v>704.59</v>
      </c>
      <c r="D3476">
        <v>699.19</v>
      </c>
      <c r="E3476">
        <v>700.02</v>
      </c>
      <c r="F3476" s="2">
        <v>1380000000</v>
      </c>
    </row>
    <row r="3477" spans="1:6">
      <c r="A3477" s="32">
        <v>38638</v>
      </c>
      <c r="B3477">
        <v>709.3</v>
      </c>
      <c r="C3477">
        <v>709.44</v>
      </c>
      <c r="D3477">
        <v>703.67</v>
      </c>
      <c r="E3477">
        <v>704.32</v>
      </c>
      <c r="F3477" s="2">
        <v>1710000000</v>
      </c>
    </row>
    <row r="3478" spans="1:6">
      <c r="A3478" s="32">
        <v>38637</v>
      </c>
      <c r="B3478">
        <v>711.41</v>
      </c>
      <c r="C3478">
        <v>715.37</v>
      </c>
      <c r="D3478">
        <v>708.65</v>
      </c>
      <c r="E3478">
        <v>709.2</v>
      </c>
      <c r="F3478" s="2">
        <v>1900000000</v>
      </c>
    </row>
    <row r="3479" spans="1:6">
      <c r="A3479" s="32">
        <v>38636</v>
      </c>
      <c r="B3479">
        <v>707.29</v>
      </c>
      <c r="C3479">
        <v>711.87</v>
      </c>
      <c r="D3479">
        <v>705.46</v>
      </c>
      <c r="E3479">
        <v>709.13</v>
      </c>
      <c r="F3479" s="2">
        <v>1920000000</v>
      </c>
    </row>
    <row r="3480" spans="1:6">
      <c r="A3480" s="32">
        <v>38635</v>
      </c>
      <c r="B3480">
        <v>709.98</v>
      </c>
      <c r="C3480">
        <v>712.84</v>
      </c>
      <c r="D3480">
        <v>707.05</v>
      </c>
      <c r="E3480">
        <v>707.05</v>
      </c>
      <c r="F3480" s="2">
        <v>1860000000</v>
      </c>
    </row>
    <row r="3481" spans="1:6">
      <c r="A3481" s="32">
        <v>38632</v>
      </c>
      <c r="B3481">
        <v>709.04</v>
      </c>
      <c r="C3481">
        <v>711.43</v>
      </c>
      <c r="D3481">
        <v>707.9</v>
      </c>
      <c r="E3481">
        <v>708.98</v>
      </c>
      <c r="F3481" s="2">
        <v>1570000000</v>
      </c>
    </row>
    <row r="3482" spans="1:6">
      <c r="A3482" s="32">
        <v>38631</v>
      </c>
      <c r="B3482">
        <v>713.3</v>
      </c>
      <c r="C3482">
        <v>716.36</v>
      </c>
      <c r="D3482">
        <v>709.88</v>
      </c>
      <c r="E3482">
        <v>710.79</v>
      </c>
      <c r="F3482" s="2">
        <v>2150000000</v>
      </c>
    </row>
    <row r="3483" spans="1:6">
      <c r="A3483" s="32">
        <v>38630</v>
      </c>
      <c r="B3483">
        <v>714.72</v>
      </c>
      <c r="C3483">
        <v>719.11</v>
      </c>
      <c r="D3483">
        <v>714.59</v>
      </c>
      <c r="E3483">
        <v>717.17</v>
      </c>
      <c r="F3483" s="2">
        <v>2440000000</v>
      </c>
    </row>
    <row r="3484" spans="1:6">
      <c r="A3484" s="32">
        <v>38629</v>
      </c>
      <c r="B3484">
        <v>717.42</v>
      </c>
      <c r="C3484">
        <v>718.9</v>
      </c>
      <c r="D3484">
        <v>714.7</v>
      </c>
      <c r="E3484">
        <v>714.9</v>
      </c>
      <c r="F3484" s="2">
        <v>2000000000</v>
      </c>
    </row>
    <row r="3485" spans="1:6">
      <c r="A3485" s="32">
        <v>38628</v>
      </c>
      <c r="B3485">
        <v>722.65</v>
      </c>
      <c r="C3485">
        <v>722.65</v>
      </c>
      <c r="D3485">
        <v>714.72</v>
      </c>
      <c r="E3485">
        <v>717.42</v>
      </c>
      <c r="F3485" s="2">
        <v>1770000000</v>
      </c>
    </row>
    <row r="3486" spans="1:6">
      <c r="A3486" s="32">
        <v>38625</v>
      </c>
      <c r="B3486">
        <v>724.43</v>
      </c>
      <c r="C3486">
        <v>725.08</v>
      </c>
      <c r="D3486">
        <v>719.53</v>
      </c>
      <c r="E3486">
        <v>723.23</v>
      </c>
      <c r="F3486" s="2">
        <v>2250000000</v>
      </c>
    </row>
    <row r="3487" spans="1:6">
      <c r="A3487" s="32">
        <v>38624</v>
      </c>
      <c r="B3487">
        <v>725.69</v>
      </c>
      <c r="C3487">
        <v>725.91</v>
      </c>
      <c r="D3487">
        <v>719.49</v>
      </c>
      <c r="E3487">
        <v>722.83</v>
      </c>
      <c r="F3487" s="2">
        <v>2450000000</v>
      </c>
    </row>
    <row r="3488" spans="1:6">
      <c r="A3488" s="32">
        <v>38623</v>
      </c>
      <c r="B3488">
        <v>726.68</v>
      </c>
      <c r="C3488">
        <v>726.95</v>
      </c>
      <c r="D3488">
        <v>722.44</v>
      </c>
      <c r="E3488">
        <v>723.2</v>
      </c>
      <c r="F3488" s="2">
        <v>2480000000</v>
      </c>
    </row>
    <row r="3489" spans="1:6">
      <c r="A3489" s="32">
        <v>38622</v>
      </c>
      <c r="B3489">
        <v>725.5</v>
      </c>
      <c r="C3489">
        <v>727.09</v>
      </c>
      <c r="D3489">
        <v>722.47</v>
      </c>
      <c r="E3489">
        <v>724.24</v>
      </c>
      <c r="F3489" s="2">
        <v>2750000000</v>
      </c>
    </row>
    <row r="3490" spans="1:6">
      <c r="A3490" s="32">
        <v>38621</v>
      </c>
      <c r="B3490">
        <v>725.28</v>
      </c>
      <c r="C3490">
        <v>726.11</v>
      </c>
      <c r="D3490">
        <v>720.29</v>
      </c>
      <c r="E3490">
        <v>721.28</v>
      </c>
      <c r="F3490" s="2">
        <v>2630000000</v>
      </c>
    </row>
    <row r="3491" spans="1:6">
      <c r="A3491" s="32">
        <v>38618</v>
      </c>
      <c r="B3491">
        <v>724.01</v>
      </c>
      <c r="C3491">
        <v>726.69</v>
      </c>
      <c r="D3491">
        <v>723.1</v>
      </c>
      <c r="E3491">
        <v>725.31</v>
      </c>
      <c r="F3491" s="2">
        <v>3270000000</v>
      </c>
    </row>
    <row r="3492" spans="1:6">
      <c r="A3492" s="32">
        <v>38617</v>
      </c>
      <c r="B3492">
        <v>721.53</v>
      </c>
      <c r="C3492">
        <v>725.64</v>
      </c>
      <c r="D3492">
        <v>720.77</v>
      </c>
      <c r="E3492">
        <v>725.64</v>
      </c>
      <c r="F3492" s="2">
        <v>2930000000</v>
      </c>
    </row>
    <row r="3493" spans="1:6">
      <c r="A3493" s="32">
        <v>38616</v>
      </c>
      <c r="B3493">
        <v>723.11</v>
      </c>
      <c r="C3493">
        <v>725.84</v>
      </c>
      <c r="D3493">
        <v>720.06</v>
      </c>
      <c r="E3493">
        <v>721.16</v>
      </c>
      <c r="F3493" s="2">
        <v>3120000000</v>
      </c>
    </row>
    <row r="3494" spans="1:6">
      <c r="A3494" s="32">
        <v>38615</v>
      </c>
      <c r="B3494">
        <v>712.67</v>
      </c>
      <c r="C3494">
        <v>723.16</v>
      </c>
      <c r="D3494">
        <v>711.82</v>
      </c>
      <c r="E3494">
        <v>723.16</v>
      </c>
      <c r="F3494" s="2">
        <v>2830000000</v>
      </c>
    </row>
    <row r="3495" spans="1:6">
      <c r="A3495" s="32">
        <v>38614</v>
      </c>
      <c r="B3495">
        <v>709.47</v>
      </c>
      <c r="C3495">
        <v>712.8</v>
      </c>
      <c r="D3495">
        <v>708.19</v>
      </c>
      <c r="E3495">
        <v>708.98</v>
      </c>
      <c r="F3495" s="2">
        <v>2280000000</v>
      </c>
    </row>
    <row r="3496" spans="1:6">
      <c r="A3496" s="32">
        <v>38611</v>
      </c>
      <c r="B3496">
        <v>711.34</v>
      </c>
      <c r="C3496">
        <v>712.21</v>
      </c>
      <c r="D3496">
        <v>704.31</v>
      </c>
      <c r="E3496">
        <v>708.26</v>
      </c>
      <c r="F3496" s="2">
        <v>3330000000</v>
      </c>
    </row>
    <row r="3497" spans="1:6">
      <c r="A3497" s="32">
        <v>38610</v>
      </c>
      <c r="B3497">
        <v>719.53</v>
      </c>
      <c r="C3497">
        <v>720.2</v>
      </c>
      <c r="D3497">
        <v>711.2</v>
      </c>
      <c r="E3497">
        <v>711.2</v>
      </c>
      <c r="F3497" s="2">
        <v>3450000000</v>
      </c>
    </row>
    <row r="3498" spans="1:6">
      <c r="A3498" s="32">
        <v>38609</v>
      </c>
      <c r="B3498">
        <v>710.06</v>
      </c>
      <c r="C3498">
        <v>717.77</v>
      </c>
      <c r="D3498">
        <v>710.06</v>
      </c>
      <c r="E3498">
        <v>717.77</v>
      </c>
      <c r="F3498" s="2">
        <v>4290000000</v>
      </c>
    </row>
    <row r="3499" spans="1:6">
      <c r="A3499" s="32">
        <v>38608</v>
      </c>
      <c r="B3499">
        <v>712.47</v>
      </c>
      <c r="C3499">
        <v>714.38</v>
      </c>
      <c r="D3499">
        <v>708.21</v>
      </c>
      <c r="E3499">
        <v>710.31</v>
      </c>
      <c r="F3499" s="2">
        <v>3350000000</v>
      </c>
    </row>
    <row r="3500" spans="1:6">
      <c r="A3500" s="32">
        <v>38607</v>
      </c>
      <c r="B3500">
        <v>717.87</v>
      </c>
      <c r="C3500">
        <v>717.87</v>
      </c>
      <c r="D3500">
        <v>712.49</v>
      </c>
      <c r="E3500">
        <v>712.8</v>
      </c>
      <c r="F3500" s="2">
        <v>2760000000</v>
      </c>
    </row>
    <row r="3501" spans="1:6">
      <c r="A3501" s="32">
        <v>38604</v>
      </c>
      <c r="B3501">
        <v>718.93</v>
      </c>
      <c r="C3501">
        <v>718.93</v>
      </c>
      <c r="D3501">
        <v>712.67</v>
      </c>
      <c r="E3501">
        <v>712.78</v>
      </c>
      <c r="F3501" s="2">
        <v>4420000000</v>
      </c>
    </row>
    <row r="3502" spans="1:6">
      <c r="A3502" s="32">
        <v>38603</v>
      </c>
      <c r="B3502">
        <v>708.86</v>
      </c>
      <c r="C3502">
        <v>716.47</v>
      </c>
      <c r="D3502">
        <v>706.77</v>
      </c>
      <c r="E3502">
        <v>715.08</v>
      </c>
      <c r="F3502" s="2">
        <v>3950000000</v>
      </c>
    </row>
    <row r="3503" spans="1:6">
      <c r="A3503" s="32">
        <v>38602</v>
      </c>
      <c r="B3503">
        <v>707.7</v>
      </c>
      <c r="C3503">
        <v>713.38</v>
      </c>
      <c r="D3503">
        <v>707.7</v>
      </c>
      <c r="E3503">
        <v>708.5</v>
      </c>
      <c r="F3503" s="2">
        <v>3100000000</v>
      </c>
    </row>
    <row r="3504" spans="1:6">
      <c r="A3504" s="32">
        <v>38601</v>
      </c>
      <c r="B3504">
        <v>710.12</v>
      </c>
      <c r="C3504">
        <v>712.96</v>
      </c>
      <c r="D3504">
        <v>704.07</v>
      </c>
      <c r="E3504">
        <v>705.46</v>
      </c>
      <c r="F3504" s="2">
        <v>2930000000</v>
      </c>
    </row>
    <row r="3505" spans="1:6">
      <c r="A3505" s="32">
        <v>38600</v>
      </c>
      <c r="B3505">
        <v>710.49</v>
      </c>
      <c r="C3505">
        <v>713.25</v>
      </c>
      <c r="D3505">
        <v>707.94</v>
      </c>
      <c r="E3505">
        <v>707.94</v>
      </c>
      <c r="F3505" s="2">
        <v>3670000000</v>
      </c>
    </row>
    <row r="3506" spans="1:6">
      <c r="A3506" s="32">
        <v>38597</v>
      </c>
      <c r="B3506">
        <v>712.6</v>
      </c>
      <c r="C3506">
        <v>712.6</v>
      </c>
      <c r="D3506">
        <v>706.18</v>
      </c>
      <c r="E3506">
        <v>709.97</v>
      </c>
      <c r="F3506" s="2">
        <v>4070000000</v>
      </c>
    </row>
    <row r="3507" spans="1:6">
      <c r="A3507" s="32">
        <v>38596</v>
      </c>
      <c r="B3507">
        <v>702.87</v>
      </c>
      <c r="C3507">
        <v>710.28</v>
      </c>
      <c r="D3507">
        <v>700.6</v>
      </c>
      <c r="E3507">
        <v>710.28</v>
      </c>
      <c r="F3507" s="2">
        <v>3900000000</v>
      </c>
    </row>
    <row r="3508" spans="1:6">
      <c r="A3508" s="32">
        <v>38595</v>
      </c>
      <c r="B3508">
        <v>693.73</v>
      </c>
      <c r="C3508">
        <v>698.85</v>
      </c>
      <c r="D3508">
        <v>692.39</v>
      </c>
      <c r="E3508">
        <v>697.85</v>
      </c>
      <c r="F3508" s="2">
        <v>2300000000</v>
      </c>
    </row>
    <row r="3509" spans="1:6">
      <c r="A3509" s="32">
        <v>38594</v>
      </c>
      <c r="B3509">
        <v>691.55</v>
      </c>
      <c r="C3509">
        <v>692.86</v>
      </c>
      <c r="D3509">
        <v>688.26</v>
      </c>
      <c r="E3509">
        <v>692.86</v>
      </c>
      <c r="F3509" s="2">
        <v>2030000000</v>
      </c>
    </row>
    <row r="3510" spans="1:6">
      <c r="A3510" s="32">
        <v>38593</v>
      </c>
      <c r="B3510">
        <v>693.55</v>
      </c>
      <c r="C3510">
        <v>696.19</v>
      </c>
      <c r="D3510">
        <v>687.24</v>
      </c>
      <c r="E3510">
        <v>691.33</v>
      </c>
      <c r="F3510" s="2">
        <v>2290000000</v>
      </c>
    </row>
    <row r="3511" spans="1:6">
      <c r="A3511" s="32">
        <v>38590</v>
      </c>
      <c r="B3511">
        <v>692.95</v>
      </c>
      <c r="C3511">
        <v>697.43</v>
      </c>
      <c r="D3511">
        <v>689.15</v>
      </c>
      <c r="E3511">
        <v>695.89</v>
      </c>
      <c r="F3511" s="2">
        <v>2250000000</v>
      </c>
    </row>
    <row r="3512" spans="1:6">
      <c r="A3512" s="32">
        <v>38589</v>
      </c>
      <c r="B3512">
        <v>698.26</v>
      </c>
      <c r="C3512">
        <v>699.44</v>
      </c>
      <c r="D3512">
        <v>692.14</v>
      </c>
      <c r="E3512">
        <v>692.14</v>
      </c>
      <c r="F3512" s="2">
        <v>3090000000</v>
      </c>
    </row>
    <row r="3513" spans="1:6">
      <c r="A3513" s="32">
        <v>38588</v>
      </c>
      <c r="B3513">
        <v>691.97</v>
      </c>
      <c r="C3513">
        <v>698.63</v>
      </c>
      <c r="D3513">
        <v>688.96</v>
      </c>
      <c r="E3513">
        <v>695.67</v>
      </c>
      <c r="F3513" s="2">
        <v>2710000000</v>
      </c>
    </row>
    <row r="3514" spans="1:6">
      <c r="A3514" s="32">
        <v>38587</v>
      </c>
      <c r="B3514">
        <v>694.37</v>
      </c>
      <c r="C3514">
        <v>698.72</v>
      </c>
      <c r="D3514">
        <v>689.51</v>
      </c>
      <c r="E3514">
        <v>690.39</v>
      </c>
      <c r="F3514" s="2">
        <v>3230000000</v>
      </c>
    </row>
    <row r="3515" spans="1:6">
      <c r="A3515" s="32">
        <v>38586</v>
      </c>
      <c r="B3515">
        <v>680.93</v>
      </c>
      <c r="C3515">
        <v>690.77</v>
      </c>
      <c r="D3515">
        <v>679.99</v>
      </c>
      <c r="E3515">
        <v>690.77</v>
      </c>
      <c r="F3515" s="2">
        <v>2320000000</v>
      </c>
    </row>
    <row r="3516" spans="1:6">
      <c r="A3516" s="32">
        <v>38583</v>
      </c>
      <c r="B3516">
        <v>672.66</v>
      </c>
      <c r="C3516">
        <v>680.83</v>
      </c>
      <c r="D3516">
        <v>672.15</v>
      </c>
      <c r="E3516">
        <v>680.83</v>
      </c>
      <c r="F3516" s="2">
        <v>2220000000</v>
      </c>
    </row>
    <row r="3517" spans="1:6">
      <c r="A3517" s="32">
        <v>38582</v>
      </c>
      <c r="B3517">
        <v>668.4</v>
      </c>
      <c r="C3517">
        <v>674.74</v>
      </c>
      <c r="D3517">
        <v>667.59</v>
      </c>
      <c r="E3517">
        <v>672.02</v>
      </c>
      <c r="F3517" s="2">
        <v>2530000000</v>
      </c>
    </row>
    <row r="3518" spans="1:6">
      <c r="A3518" s="32">
        <v>38581</v>
      </c>
      <c r="B3518">
        <v>664.82</v>
      </c>
      <c r="C3518">
        <v>668.87</v>
      </c>
      <c r="D3518">
        <v>661.97</v>
      </c>
      <c r="E3518">
        <v>667.49</v>
      </c>
      <c r="F3518" s="2">
        <v>1770000000</v>
      </c>
    </row>
    <row r="3519" spans="1:6">
      <c r="A3519" s="32">
        <v>38580</v>
      </c>
      <c r="B3519">
        <v>677.68</v>
      </c>
      <c r="C3519">
        <v>679.4</v>
      </c>
      <c r="D3519">
        <v>665.75</v>
      </c>
      <c r="E3519">
        <v>667.18</v>
      </c>
      <c r="F3519" s="2">
        <v>1930000000</v>
      </c>
    </row>
    <row r="3520" spans="1:6">
      <c r="A3520" s="32">
        <v>38579</v>
      </c>
      <c r="B3520">
        <v>681.67</v>
      </c>
      <c r="C3520">
        <v>681.67</v>
      </c>
      <c r="D3520">
        <v>673</v>
      </c>
      <c r="E3520">
        <v>675.52</v>
      </c>
      <c r="F3520" s="2">
        <v>2110000000</v>
      </c>
    </row>
    <row r="3521" spans="1:6">
      <c r="A3521" s="32">
        <v>38575</v>
      </c>
      <c r="B3521">
        <v>685.15</v>
      </c>
      <c r="C3521">
        <v>686.78</v>
      </c>
      <c r="D3521">
        <v>681.95</v>
      </c>
      <c r="E3521">
        <v>681.95</v>
      </c>
      <c r="F3521" s="2">
        <v>2110000000</v>
      </c>
    </row>
    <row r="3522" spans="1:6">
      <c r="A3522" s="32">
        <v>38574</v>
      </c>
      <c r="B3522">
        <v>685.98</v>
      </c>
      <c r="C3522">
        <v>687.31</v>
      </c>
      <c r="D3522">
        <v>683.12</v>
      </c>
      <c r="E3522">
        <v>684.59</v>
      </c>
      <c r="F3522" s="2">
        <v>2450000000</v>
      </c>
    </row>
    <row r="3523" spans="1:6">
      <c r="A3523" s="32">
        <v>38573</v>
      </c>
      <c r="B3523">
        <v>687.29</v>
      </c>
      <c r="C3523">
        <v>690.38</v>
      </c>
      <c r="D3523">
        <v>681.54</v>
      </c>
      <c r="E3523">
        <v>681.54</v>
      </c>
      <c r="F3523" s="2">
        <v>3130000000</v>
      </c>
    </row>
    <row r="3524" spans="1:6">
      <c r="A3524" s="32">
        <v>38572</v>
      </c>
      <c r="B3524">
        <v>686.67</v>
      </c>
      <c r="C3524">
        <v>688.06</v>
      </c>
      <c r="D3524">
        <v>683.61</v>
      </c>
      <c r="E3524">
        <v>686.32</v>
      </c>
      <c r="F3524" s="2">
        <v>1960000000</v>
      </c>
    </row>
    <row r="3525" spans="1:6">
      <c r="A3525" s="32">
        <v>38569</v>
      </c>
      <c r="B3525">
        <v>684.16</v>
      </c>
      <c r="C3525">
        <v>688.13</v>
      </c>
      <c r="D3525">
        <v>681.04</v>
      </c>
      <c r="E3525">
        <v>686.01</v>
      </c>
      <c r="F3525" s="2">
        <v>2160000000</v>
      </c>
    </row>
    <row r="3526" spans="1:6">
      <c r="A3526" s="32">
        <v>38568</v>
      </c>
      <c r="B3526">
        <v>690.88</v>
      </c>
      <c r="C3526">
        <v>693.28</v>
      </c>
      <c r="D3526">
        <v>684.57</v>
      </c>
      <c r="E3526">
        <v>684.57</v>
      </c>
      <c r="F3526" s="2">
        <v>3460000000</v>
      </c>
    </row>
    <row r="3527" spans="1:6">
      <c r="A3527" s="32">
        <v>38567</v>
      </c>
      <c r="B3527">
        <v>688.32</v>
      </c>
      <c r="C3527">
        <v>690.58</v>
      </c>
      <c r="D3527">
        <v>682.56</v>
      </c>
      <c r="E3527">
        <v>687.94</v>
      </c>
      <c r="F3527" s="2">
        <v>2850000000</v>
      </c>
    </row>
    <row r="3528" spans="1:6">
      <c r="A3528" s="32">
        <v>38566</v>
      </c>
      <c r="B3528">
        <v>677.8</v>
      </c>
      <c r="C3528">
        <v>684.79</v>
      </c>
      <c r="D3528">
        <v>676.96</v>
      </c>
      <c r="E3528">
        <v>683.16</v>
      </c>
      <c r="F3528" s="2">
        <v>2170000000</v>
      </c>
    </row>
    <row r="3529" spans="1:6">
      <c r="A3529" s="32">
        <v>38565</v>
      </c>
      <c r="B3529">
        <v>677.15</v>
      </c>
      <c r="C3529">
        <v>677.52</v>
      </c>
      <c r="D3529">
        <v>670.27</v>
      </c>
      <c r="E3529">
        <v>674.99</v>
      </c>
      <c r="F3529" s="2">
        <v>1330000000</v>
      </c>
    </row>
    <row r="3530" spans="1:6">
      <c r="A3530" s="32">
        <v>38562</v>
      </c>
      <c r="B3530">
        <v>672.36</v>
      </c>
      <c r="C3530">
        <v>676.44</v>
      </c>
      <c r="D3530">
        <v>671.81</v>
      </c>
      <c r="E3530">
        <v>675.67</v>
      </c>
      <c r="F3530" s="2">
        <v>1590000000</v>
      </c>
    </row>
    <row r="3531" spans="1:6">
      <c r="A3531" s="32">
        <v>38561</v>
      </c>
      <c r="B3531">
        <v>665.87</v>
      </c>
      <c r="C3531">
        <v>676.33</v>
      </c>
      <c r="D3531">
        <v>665.87</v>
      </c>
      <c r="E3531">
        <v>670.09</v>
      </c>
      <c r="F3531" s="2">
        <v>2360000000</v>
      </c>
    </row>
    <row r="3532" spans="1:6">
      <c r="A3532" s="32">
        <v>38560</v>
      </c>
      <c r="B3532">
        <v>657.63</v>
      </c>
      <c r="C3532">
        <v>665.72</v>
      </c>
      <c r="D3532">
        <v>656.17</v>
      </c>
      <c r="E3532">
        <v>665.72</v>
      </c>
      <c r="F3532" s="2">
        <v>1670000000</v>
      </c>
    </row>
    <row r="3533" spans="1:6">
      <c r="A3533" s="32">
        <v>38559</v>
      </c>
      <c r="B3533">
        <v>660.01</v>
      </c>
      <c r="C3533">
        <v>660.28</v>
      </c>
      <c r="D3533">
        <v>655.27</v>
      </c>
      <c r="E3533">
        <v>656.91</v>
      </c>
      <c r="F3533" s="2">
        <v>1410000000</v>
      </c>
    </row>
    <row r="3534" spans="1:6">
      <c r="A3534" s="32">
        <v>38558</v>
      </c>
      <c r="B3534">
        <v>652.29</v>
      </c>
      <c r="C3534">
        <v>659.64</v>
      </c>
      <c r="D3534">
        <v>652.16</v>
      </c>
      <c r="E3534">
        <v>659.64</v>
      </c>
      <c r="F3534" s="2">
        <v>1430000000</v>
      </c>
    </row>
    <row r="3535" spans="1:6">
      <c r="A3535" s="32">
        <v>38554</v>
      </c>
      <c r="B3535">
        <v>650.85</v>
      </c>
      <c r="C3535">
        <v>651.37</v>
      </c>
      <c r="D3535">
        <v>647.04999999999995</v>
      </c>
      <c r="E3535">
        <v>648.91999999999996</v>
      </c>
      <c r="F3535" s="2">
        <v>1320000000</v>
      </c>
    </row>
    <row r="3536" spans="1:6">
      <c r="A3536" s="32">
        <v>38553</v>
      </c>
      <c r="B3536">
        <v>651.6</v>
      </c>
      <c r="C3536">
        <v>652.29</v>
      </c>
      <c r="D3536">
        <v>647.08000000000004</v>
      </c>
      <c r="E3536">
        <v>650.04</v>
      </c>
      <c r="F3536" s="2">
        <v>1750000000</v>
      </c>
    </row>
    <row r="3537" spans="1:6">
      <c r="A3537" s="32">
        <v>38552</v>
      </c>
      <c r="B3537">
        <v>653.76</v>
      </c>
      <c r="C3537">
        <v>655.30999999999995</v>
      </c>
      <c r="D3537">
        <v>648.66999999999996</v>
      </c>
      <c r="E3537">
        <v>648.66999999999996</v>
      </c>
      <c r="F3537" s="2">
        <v>1710000000</v>
      </c>
    </row>
    <row r="3538" spans="1:6">
      <c r="A3538" s="32">
        <v>38551</v>
      </c>
      <c r="B3538">
        <v>656.34</v>
      </c>
      <c r="C3538">
        <v>657.48</v>
      </c>
      <c r="D3538">
        <v>650.13</v>
      </c>
      <c r="E3538">
        <v>652.66999999999996</v>
      </c>
      <c r="F3538" s="2">
        <v>1800000000</v>
      </c>
    </row>
    <row r="3539" spans="1:6">
      <c r="A3539" s="32">
        <v>38548</v>
      </c>
      <c r="B3539">
        <v>660.53</v>
      </c>
      <c r="C3539">
        <v>660.53</v>
      </c>
      <c r="D3539">
        <v>654.63</v>
      </c>
      <c r="E3539">
        <v>655.46</v>
      </c>
      <c r="F3539" s="2">
        <v>3670000000</v>
      </c>
    </row>
    <row r="3540" spans="1:6">
      <c r="A3540" s="32">
        <v>38547</v>
      </c>
      <c r="B3540">
        <v>661.43</v>
      </c>
      <c r="C3540">
        <v>664.27</v>
      </c>
      <c r="D3540">
        <v>657.69</v>
      </c>
      <c r="E3540">
        <v>661.45</v>
      </c>
      <c r="F3540" s="2">
        <v>2430000000</v>
      </c>
    </row>
    <row r="3541" spans="1:6">
      <c r="A3541" s="32">
        <v>38546</v>
      </c>
      <c r="B3541">
        <v>649.86</v>
      </c>
      <c r="C3541">
        <v>658.37</v>
      </c>
      <c r="D3541">
        <v>648.14</v>
      </c>
      <c r="E3541">
        <v>658.37</v>
      </c>
      <c r="F3541" s="2">
        <v>2040000000</v>
      </c>
    </row>
    <row r="3542" spans="1:6">
      <c r="A3542" s="32">
        <v>38545</v>
      </c>
      <c r="B3542">
        <v>644.21</v>
      </c>
      <c r="C3542">
        <v>650.91</v>
      </c>
      <c r="D3542">
        <v>643.96</v>
      </c>
      <c r="E3542">
        <v>648.98</v>
      </c>
      <c r="F3542" s="2">
        <v>1850000000</v>
      </c>
    </row>
    <row r="3543" spans="1:6">
      <c r="A3543" s="32">
        <v>38544</v>
      </c>
      <c r="B3543">
        <v>650.04</v>
      </c>
      <c r="C3543">
        <v>650.97</v>
      </c>
      <c r="D3543">
        <v>640.4</v>
      </c>
      <c r="E3543">
        <v>640.82000000000005</v>
      </c>
      <c r="F3543" s="2">
        <v>1990000000</v>
      </c>
    </row>
    <row r="3544" spans="1:6">
      <c r="A3544" s="32">
        <v>38541</v>
      </c>
      <c r="B3544">
        <v>637.34</v>
      </c>
      <c r="C3544">
        <v>643.30999999999995</v>
      </c>
      <c r="D3544">
        <v>630.71</v>
      </c>
      <c r="E3544">
        <v>643.30999999999995</v>
      </c>
      <c r="F3544" s="2">
        <v>2010000000</v>
      </c>
    </row>
    <row r="3545" spans="1:6">
      <c r="A3545" s="32">
        <v>38540</v>
      </c>
      <c r="B3545">
        <v>657.62</v>
      </c>
      <c r="C3545">
        <v>658.33</v>
      </c>
      <c r="D3545">
        <v>637.91999999999996</v>
      </c>
      <c r="E3545">
        <v>638.30999999999995</v>
      </c>
      <c r="F3545" s="2">
        <v>2500000000</v>
      </c>
    </row>
    <row r="3546" spans="1:6">
      <c r="A3546" s="32">
        <v>38539</v>
      </c>
      <c r="B3546">
        <v>665.42</v>
      </c>
      <c r="C3546">
        <v>666.53</v>
      </c>
      <c r="D3546">
        <v>657.66</v>
      </c>
      <c r="E3546">
        <v>659.91</v>
      </c>
      <c r="F3546" s="2">
        <v>2020000000</v>
      </c>
    </row>
    <row r="3547" spans="1:6">
      <c r="A3547" s="32">
        <v>38538</v>
      </c>
      <c r="B3547">
        <v>669.75</v>
      </c>
      <c r="C3547">
        <v>670.1</v>
      </c>
      <c r="D3547">
        <v>662.78</v>
      </c>
      <c r="E3547">
        <v>663.52</v>
      </c>
      <c r="F3547" s="2">
        <v>1970000000</v>
      </c>
    </row>
    <row r="3548" spans="1:6">
      <c r="A3548" s="32">
        <v>38537</v>
      </c>
      <c r="B3548">
        <v>675.1</v>
      </c>
      <c r="C3548">
        <v>676.18</v>
      </c>
      <c r="D3548">
        <v>664.6</v>
      </c>
      <c r="E3548">
        <v>669.78</v>
      </c>
      <c r="F3548" s="2">
        <v>2170000000</v>
      </c>
    </row>
    <row r="3549" spans="1:6">
      <c r="A3549" s="32">
        <v>38533</v>
      </c>
      <c r="B3549">
        <v>686.29</v>
      </c>
      <c r="C3549">
        <v>687.06</v>
      </c>
      <c r="D3549">
        <v>675.5</v>
      </c>
      <c r="E3549">
        <v>675.5</v>
      </c>
      <c r="F3549" s="2">
        <v>2430000000</v>
      </c>
    </row>
    <row r="3550" spans="1:6">
      <c r="A3550" s="32">
        <v>38532</v>
      </c>
      <c r="B3550">
        <v>686.02</v>
      </c>
      <c r="C3550">
        <v>690.83</v>
      </c>
      <c r="D3550">
        <v>685.52</v>
      </c>
      <c r="E3550">
        <v>685.56</v>
      </c>
      <c r="F3550" s="2">
        <v>1580000000</v>
      </c>
    </row>
    <row r="3551" spans="1:6">
      <c r="A3551" s="32">
        <v>38531</v>
      </c>
      <c r="B3551">
        <v>685.14</v>
      </c>
      <c r="C3551">
        <v>687.89</v>
      </c>
      <c r="D3551">
        <v>683.36</v>
      </c>
      <c r="E3551">
        <v>684.68</v>
      </c>
      <c r="F3551" s="2">
        <v>1470000000</v>
      </c>
    </row>
    <row r="3552" spans="1:6">
      <c r="A3552" s="32">
        <v>38530</v>
      </c>
      <c r="B3552">
        <v>691.34</v>
      </c>
      <c r="C3552">
        <v>691.34</v>
      </c>
      <c r="D3552">
        <v>683.73</v>
      </c>
      <c r="E3552">
        <v>684.18</v>
      </c>
      <c r="F3552" s="2">
        <v>1220000000</v>
      </c>
    </row>
    <row r="3553" spans="1:6">
      <c r="A3553" s="32">
        <v>38527</v>
      </c>
      <c r="B3553">
        <v>691.99</v>
      </c>
      <c r="C3553">
        <v>694.39</v>
      </c>
      <c r="D3553">
        <v>690.25</v>
      </c>
      <c r="E3553">
        <v>690.25</v>
      </c>
      <c r="F3553" s="2">
        <v>1540000000</v>
      </c>
    </row>
    <row r="3554" spans="1:6">
      <c r="A3554" s="32">
        <v>38526</v>
      </c>
      <c r="B3554">
        <v>688.46</v>
      </c>
      <c r="C3554">
        <v>694.22</v>
      </c>
      <c r="D3554">
        <v>688.45</v>
      </c>
      <c r="E3554">
        <v>693.13</v>
      </c>
      <c r="F3554" s="2">
        <v>2090000000</v>
      </c>
    </row>
    <row r="3555" spans="1:6">
      <c r="A3555" s="32">
        <v>38525</v>
      </c>
      <c r="B3555">
        <v>691.95</v>
      </c>
      <c r="C3555">
        <v>693.24</v>
      </c>
      <c r="D3555">
        <v>686.57</v>
      </c>
      <c r="E3555">
        <v>686.57</v>
      </c>
      <c r="F3555" s="2">
        <v>3170000000</v>
      </c>
    </row>
    <row r="3556" spans="1:6">
      <c r="A3556" s="32">
        <v>38524</v>
      </c>
      <c r="B3556">
        <v>678.8</v>
      </c>
      <c r="C3556">
        <v>690.29</v>
      </c>
      <c r="D3556">
        <v>677.29</v>
      </c>
      <c r="E3556">
        <v>689.64</v>
      </c>
      <c r="F3556" s="2">
        <v>2350000000</v>
      </c>
    </row>
    <row r="3557" spans="1:6">
      <c r="A3557" s="32">
        <v>38523</v>
      </c>
      <c r="B3557">
        <v>686.77</v>
      </c>
      <c r="C3557">
        <v>687.34</v>
      </c>
      <c r="D3557">
        <v>679.68</v>
      </c>
      <c r="E3557">
        <v>679.68</v>
      </c>
      <c r="F3557" s="2">
        <v>1600000000</v>
      </c>
    </row>
    <row r="3558" spans="1:6">
      <c r="A3558" s="32">
        <v>38520</v>
      </c>
      <c r="B3558">
        <v>688.48</v>
      </c>
      <c r="C3558">
        <v>689.95</v>
      </c>
      <c r="D3558">
        <v>686.52</v>
      </c>
      <c r="E3558">
        <v>686.52</v>
      </c>
      <c r="F3558" s="2">
        <v>2320000000</v>
      </c>
    </row>
    <row r="3559" spans="1:6">
      <c r="A3559" s="32">
        <v>38519</v>
      </c>
      <c r="B3559">
        <v>688.3</v>
      </c>
      <c r="C3559">
        <v>688.4</v>
      </c>
      <c r="D3559">
        <v>683.11</v>
      </c>
      <c r="E3559">
        <v>687.16</v>
      </c>
      <c r="F3559" s="2">
        <v>3390000000</v>
      </c>
    </row>
    <row r="3560" spans="1:6">
      <c r="A3560" s="32">
        <v>38518</v>
      </c>
      <c r="B3560">
        <v>684.88</v>
      </c>
      <c r="C3560">
        <v>687.9</v>
      </c>
      <c r="D3560">
        <v>683.3</v>
      </c>
      <c r="E3560">
        <v>687.47</v>
      </c>
      <c r="F3560" s="2">
        <v>3690000000</v>
      </c>
    </row>
    <row r="3561" spans="1:6">
      <c r="A3561" s="32">
        <v>38517</v>
      </c>
      <c r="B3561">
        <v>677.74</v>
      </c>
      <c r="C3561">
        <v>683.85</v>
      </c>
      <c r="D3561">
        <v>677.7</v>
      </c>
      <c r="E3561">
        <v>683.68</v>
      </c>
      <c r="F3561" s="2">
        <v>2170000000</v>
      </c>
    </row>
    <row r="3562" spans="1:6">
      <c r="A3562" s="32">
        <v>38516</v>
      </c>
      <c r="B3562">
        <v>680.23</v>
      </c>
      <c r="C3562">
        <v>681.23</v>
      </c>
      <c r="D3562">
        <v>675.09</v>
      </c>
      <c r="E3562">
        <v>675.09</v>
      </c>
      <c r="F3562" s="2">
        <v>1690000000</v>
      </c>
    </row>
    <row r="3563" spans="1:6">
      <c r="A3563" s="32">
        <v>38513</v>
      </c>
      <c r="B3563">
        <v>678.74</v>
      </c>
      <c r="C3563">
        <v>681.38</v>
      </c>
      <c r="D3563">
        <v>676.36</v>
      </c>
      <c r="E3563">
        <v>679.98</v>
      </c>
      <c r="F3563" s="2">
        <v>1900000000</v>
      </c>
    </row>
    <row r="3564" spans="1:6">
      <c r="A3564" s="32">
        <v>38512</v>
      </c>
      <c r="B3564">
        <v>684.37</v>
      </c>
      <c r="C3564">
        <v>684.63</v>
      </c>
      <c r="D3564">
        <v>677.2</v>
      </c>
      <c r="E3564">
        <v>677.2</v>
      </c>
      <c r="F3564" s="2">
        <v>1580000000</v>
      </c>
    </row>
    <row r="3565" spans="1:6">
      <c r="A3565" s="32">
        <v>38511</v>
      </c>
      <c r="B3565">
        <v>682.18</v>
      </c>
      <c r="C3565">
        <v>686.87</v>
      </c>
      <c r="D3565">
        <v>682.18</v>
      </c>
      <c r="E3565">
        <v>684.07</v>
      </c>
      <c r="F3565" s="2">
        <v>2110000000</v>
      </c>
    </row>
    <row r="3566" spans="1:6">
      <c r="A3566" s="32">
        <v>38510</v>
      </c>
      <c r="B3566">
        <v>683.86</v>
      </c>
      <c r="C3566">
        <v>684.1</v>
      </c>
      <c r="D3566">
        <v>680.39</v>
      </c>
      <c r="E3566">
        <v>682.15</v>
      </c>
      <c r="F3566" s="2">
        <v>2000000000</v>
      </c>
    </row>
    <row r="3567" spans="1:6">
      <c r="A3567" s="32">
        <v>38509</v>
      </c>
      <c r="B3567">
        <v>676.56</v>
      </c>
      <c r="C3567">
        <v>682.3</v>
      </c>
      <c r="D3567">
        <v>676.29</v>
      </c>
      <c r="E3567">
        <v>682.3</v>
      </c>
      <c r="F3567" s="2">
        <v>1650000000</v>
      </c>
    </row>
    <row r="3568" spans="1:6">
      <c r="A3568" s="32">
        <v>38506</v>
      </c>
      <c r="B3568">
        <v>674.44</v>
      </c>
      <c r="C3568">
        <v>677.99</v>
      </c>
      <c r="D3568">
        <v>672.63</v>
      </c>
      <c r="E3568">
        <v>676.7</v>
      </c>
      <c r="F3568" s="2">
        <v>1960000000</v>
      </c>
    </row>
    <row r="3569" spans="1:6">
      <c r="A3569" s="32">
        <v>38505</v>
      </c>
      <c r="B3569">
        <v>667.69</v>
      </c>
      <c r="C3569">
        <v>674.2</v>
      </c>
      <c r="D3569">
        <v>667.69</v>
      </c>
      <c r="E3569">
        <v>672.81</v>
      </c>
      <c r="F3569" s="2">
        <v>1560000000</v>
      </c>
    </row>
    <row r="3570" spans="1:6">
      <c r="A3570" s="32">
        <v>38504</v>
      </c>
      <c r="B3570">
        <v>667.29</v>
      </c>
      <c r="C3570">
        <v>669.37</v>
      </c>
      <c r="D3570">
        <v>663.89</v>
      </c>
      <c r="E3570">
        <v>667.52</v>
      </c>
      <c r="F3570" s="2">
        <v>1570000000</v>
      </c>
    </row>
    <row r="3571" spans="1:6">
      <c r="A3571" s="32">
        <v>38503</v>
      </c>
      <c r="B3571">
        <v>668.23</v>
      </c>
      <c r="C3571">
        <v>668.23</v>
      </c>
      <c r="D3571">
        <v>661.17</v>
      </c>
      <c r="E3571">
        <v>667.55</v>
      </c>
      <c r="F3571" s="2">
        <v>1550000000</v>
      </c>
    </row>
    <row r="3572" spans="1:6">
      <c r="A3572" s="32">
        <v>38502</v>
      </c>
      <c r="B3572">
        <v>664.81</v>
      </c>
      <c r="C3572">
        <v>668.2</v>
      </c>
      <c r="D3572">
        <v>662.97</v>
      </c>
      <c r="E3572">
        <v>668.2</v>
      </c>
      <c r="F3572" s="2">
        <v>1140000000</v>
      </c>
    </row>
    <row r="3573" spans="1:6">
      <c r="A3573" s="32">
        <v>38499</v>
      </c>
      <c r="B3573">
        <v>666.21</v>
      </c>
      <c r="C3573">
        <v>666.21</v>
      </c>
      <c r="D3573">
        <v>661.5</v>
      </c>
      <c r="E3573">
        <v>663.48</v>
      </c>
      <c r="F3573" s="2">
        <v>1560000000</v>
      </c>
    </row>
    <row r="3574" spans="1:6">
      <c r="A3574" s="32">
        <v>38498</v>
      </c>
      <c r="B3574">
        <v>660.7</v>
      </c>
      <c r="C3574">
        <v>662.64</v>
      </c>
      <c r="D3574">
        <v>651.51</v>
      </c>
      <c r="E3574">
        <v>662.64</v>
      </c>
      <c r="F3574" s="2">
        <v>1760000000</v>
      </c>
    </row>
    <row r="3575" spans="1:6">
      <c r="A3575" s="32">
        <v>38497</v>
      </c>
      <c r="B3575">
        <v>663.76</v>
      </c>
      <c r="C3575">
        <v>666.8</v>
      </c>
      <c r="D3575">
        <v>658.74</v>
      </c>
      <c r="E3575">
        <v>660.18</v>
      </c>
      <c r="F3575" s="2">
        <v>1800000000</v>
      </c>
    </row>
    <row r="3576" spans="1:6">
      <c r="A3576" s="32">
        <v>38496</v>
      </c>
      <c r="B3576">
        <v>671.15</v>
      </c>
      <c r="C3576">
        <v>672.39</v>
      </c>
      <c r="D3576">
        <v>663.4</v>
      </c>
      <c r="E3576">
        <v>663.66</v>
      </c>
      <c r="F3576" s="2">
        <v>2400000000</v>
      </c>
    </row>
    <row r="3577" spans="1:6">
      <c r="A3577" s="32">
        <v>38492</v>
      </c>
      <c r="B3577">
        <v>676.55</v>
      </c>
      <c r="C3577">
        <v>676.55</v>
      </c>
      <c r="D3577">
        <v>670.26</v>
      </c>
      <c r="E3577">
        <v>670.65</v>
      </c>
      <c r="F3577" s="2">
        <v>2810000000</v>
      </c>
    </row>
    <row r="3578" spans="1:6">
      <c r="A3578" s="32">
        <v>38491</v>
      </c>
      <c r="B3578">
        <v>678.3</v>
      </c>
      <c r="C3578">
        <v>680.64</v>
      </c>
      <c r="D3578">
        <v>675.48</v>
      </c>
      <c r="E3578">
        <v>676.54</v>
      </c>
      <c r="F3578" s="2">
        <v>3630000000</v>
      </c>
    </row>
    <row r="3579" spans="1:6">
      <c r="A3579" s="32">
        <v>38490</v>
      </c>
      <c r="B3579">
        <v>666.57</v>
      </c>
      <c r="C3579">
        <v>672.3</v>
      </c>
      <c r="D3579">
        <v>666.46</v>
      </c>
      <c r="E3579">
        <v>672.19</v>
      </c>
      <c r="F3579" s="2">
        <v>2590000000</v>
      </c>
    </row>
    <row r="3580" spans="1:6">
      <c r="A3580" s="32">
        <v>38489</v>
      </c>
      <c r="B3580">
        <v>672.67</v>
      </c>
      <c r="C3580">
        <v>672.67</v>
      </c>
      <c r="D3580">
        <v>660.13</v>
      </c>
      <c r="E3580">
        <v>664.61</v>
      </c>
      <c r="F3580" s="2">
        <v>2050000000</v>
      </c>
    </row>
    <row r="3581" spans="1:6">
      <c r="A3581" s="32">
        <v>38488</v>
      </c>
      <c r="B3581">
        <v>677.84</v>
      </c>
      <c r="C3581">
        <v>677.84</v>
      </c>
      <c r="D3581">
        <v>670.76</v>
      </c>
      <c r="E3581">
        <v>670.76</v>
      </c>
      <c r="F3581" s="2">
        <v>2220000000</v>
      </c>
    </row>
    <row r="3582" spans="1:6">
      <c r="A3582" s="32">
        <v>38485</v>
      </c>
      <c r="B3582">
        <v>682.72</v>
      </c>
      <c r="C3582">
        <v>686.29</v>
      </c>
      <c r="D3582">
        <v>679.11</v>
      </c>
      <c r="E3582">
        <v>679.11</v>
      </c>
      <c r="F3582" s="2">
        <v>2830000000</v>
      </c>
    </row>
    <row r="3583" spans="1:6">
      <c r="A3583" s="32">
        <v>38484</v>
      </c>
      <c r="B3583">
        <v>685.91</v>
      </c>
      <c r="C3583">
        <v>687.23</v>
      </c>
      <c r="D3583">
        <v>682.12</v>
      </c>
      <c r="E3583">
        <v>682.12</v>
      </c>
      <c r="F3583" s="2">
        <v>3020000000</v>
      </c>
    </row>
    <row r="3584" spans="1:6">
      <c r="A3584" s="32">
        <v>38483</v>
      </c>
      <c r="B3584">
        <v>681.57</v>
      </c>
      <c r="C3584">
        <v>684.65</v>
      </c>
      <c r="D3584">
        <v>677.09</v>
      </c>
      <c r="E3584">
        <v>684.65</v>
      </c>
      <c r="F3584" s="2">
        <v>3850000000</v>
      </c>
    </row>
    <row r="3585" spans="1:6">
      <c r="A3585" s="32">
        <v>38482</v>
      </c>
      <c r="B3585">
        <v>689.55</v>
      </c>
      <c r="C3585">
        <v>690.47</v>
      </c>
      <c r="D3585">
        <v>680.28</v>
      </c>
      <c r="E3585">
        <v>681.83</v>
      </c>
      <c r="F3585" s="2">
        <v>3030000000</v>
      </c>
    </row>
    <row r="3586" spans="1:6">
      <c r="A3586" s="32">
        <v>38481</v>
      </c>
      <c r="B3586">
        <v>692.82</v>
      </c>
      <c r="C3586">
        <v>693.04</v>
      </c>
      <c r="D3586">
        <v>683.67</v>
      </c>
      <c r="E3586">
        <v>688.21</v>
      </c>
      <c r="F3586" s="2">
        <v>2770000000</v>
      </c>
    </row>
    <row r="3587" spans="1:6">
      <c r="A3587" s="32">
        <v>38478</v>
      </c>
      <c r="B3587">
        <v>679.17</v>
      </c>
      <c r="C3587">
        <v>689.36</v>
      </c>
      <c r="D3587">
        <v>677.83</v>
      </c>
      <c r="E3587">
        <v>689.36</v>
      </c>
      <c r="F3587" s="2">
        <v>2820000000</v>
      </c>
    </row>
    <row r="3588" spans="1:6">
      <c r="A3588" s="32">
        <v>38476</v>
      </c>
      <c r="B3588">
        <v>672.44</v>
      </c>
      <c r="C3588">
        <v>675.03</v>
      </c>
      <c r="D3588">
        <v>668.74</v>
      </c>
      <c r="E3588">
        <v>675.03</v>
      </c>
      <c r="F3588" s="2">
        <v>1890000000</v>
      </c>
    </row>
    <row r="3589" spans="1:6">
      <c r="A3589" s="32">
        <v>38475</v>
      </c>
      <c r="B3589">
        <v>662.79</v>
      </c>
      <c r="C3589">
        <v>669.72</v>
      </c>
      <c r="D3589">
        <v>662.79</v>
      </c>
      <c r="E3589">
        <v>669.72</v>
      </c>
      <c r="F3589" s="2">
        <v>1420000000</v>
      </c>
    </row>
    <row r="3590" spans="1:6">
      <c r="A3590" s="32">
        <v>38471</v>
      </c>
      <c r="B3590">
        <v>658.2</v>
      </c>
      <c r="C3590">
        <v>660.58</v>
      </c>
      <c r="D3590">
        <v>655.04</v>
      </c>
      <c r="E3590">
        <v>658.88</v>
      </c>
      <c r="F3590" s="2">
        <v>1530000000</v>
      </c>
    </row>
    <row r="3591" spans="1:6">
      <c r="A3591" s="32">
        <v>38470</v>
      </c>
      <c r="B3591">
        <v>664.82</v>
      </c>
      <c r="C3591">
        <v>665.45</v>
      </c>
      <c r="D3591">
        <v>657.88</v>
      </c>
      <c r="E3591">
        <v>659.24</v>
      </c>
      <c r="F3591" s="2">
        <v>1620000000</v>
      </c>
    </row>
    <row r="3592" spans="1:6">
      <c r="A3592" s="32">
        <v>38469</v>
      </c>
      <c r="B3592">
        <v>661.79</v>
      </c>
      <c r="C3592">
        <v>668.62</v>
      </c>
      <c r="D3592">
        <v>660.74</v>
      </c>
      <c r="E3592">
        <v>664.63</v>
      </c>
      <c r="F3592" s="2">
        <v>2480000000</v>
      </c>
    </row>
    <row r="3593" spans="1:6">
      <c r="A3593" s="32">
        <v>38468</v>
      </c>
      <c r="B3593">
        <v>665.87</v>
      </c>
      <c r="C3593">
        <v>666.69</v>
      </c>
      <c r="D3593">
        <v>660.92</v>
      </c>
      <c r="E3593">
        <v>662.13</v>
      </c>
      <c r="F3593" s="2">
        <v>1860000000</v>
      </c>
    </row>
    <row r="3594" spans="1:6">
      <c r="A3594" s="32">
        <v>38467</v>
      </c>
      <c r="B3594">
        <v>677.58</v>
      </c>
      <c r="C3594">
        <v>678.02</v>
      </c>
      <c r="D3594">
        <v>664.47</v>
      </c>
      <c r="E3594">
        <v>664.47</v>
      </c>
      <c r="F3594" s="2">
        <v>2160000000</v>
      </c>
    </row>
    <row r="3595" spans="1:6">
      <c r="A3595" s="32">
        <v>38464</v>
      </c>
      <c r="B3595">
        <v>684.9</v>
      </c>
      <c r="C3595">
        <v>685.12</v>
      </c>
      <c r="D3595">
        <v>677.09</v>
      </c>
      <c r="E3595">
        <v>677.25</v>
      </c>
      <c r="F3595" s="2">
        <v>2320000000</v>
      </c>
    </row>
    <row r="3596" spans="1:6">
      <c r="A3596" s="32">
        <v>38463</v>
      </c>
      <c r="B3596">
        <v>683.16</v>
      </c>
      <c r="C3596">
        <v>683.16</v>
      </c>
      <c r="D3596">
        <v>675.32</v>
      </c>
      <c r="E3596">
        <v>680.6</v>
      </c>
      <c r="F3596" s="2">
        <v>1890000000</v>
      </c>
    </row>
    <row r="3597" spans="1:6">
      <c r="A3597" s="32">
        <v>38462</v>
      </c>
      <c r="B3597">
        <v>683.43</v>
      </c>
      <c r="C3597">
        <v>689.67</v>
      </c>
      <c r="D3597">
        <v>683.43</v>
      </c>
      <c r="E3597">
        <v>684.19</v>
      </c>
      <c r="F3597" s="2">
        <v>2830000000</v>
      </c>
    </row>
    <row r="3598" spans="1:6">
      <c r="A3598" s="32">
        <v>38461</v>
      </c>
      <c r="B3598">
        <v>680.28</v>
      </c>
      <c r="C3598">
        <v>681.69</v>
      </c>
      <c r="D3598">
        <v>676.89</v>
      </c>
      <c r="E3598">
        <v>678.37</v>
      </c>
      <c r="F3598" s="2">
        <v>1320000000</v>
      </c>
    </row>
    <row r="3599" spans="1:6">
      <c r="A3599" s="32">
        <v>38460</v>
      </c>
      <c r="B3599">
        <v>681.79</v>
      </c>
      <c r="C3599">
        <v>684.62</v>
      </c>
      <c r="D3599">
        <v>674.68</v>
      </c>
      <c r="E3599">
        <v>676.9</v>
      </c>
      <c r="F3599" s="2">
        <v>1560000000</v>
      </c>
    </row>
    <row r="3600" spans="1:6">
      <c r="A3600" s="32">
        <v>38454</v>
      </c>
      <c r="B3600">
        <v>696.29</v>
      </c>
      <c r="C3600">
        <v>699.37</v>
      </c>
      <c r="D3600">
        <v>692.9</v>
      </c>
      <c r="E3600">
        <v>698.28</v>
      </c>
      <c r="F3600" s="2">
        <v>1600000000</v>
      </c>
    </row>
    <row r="3601" spans="1:6">
      <c r="A3601" s="32">
        <v>38453</v>
      </c>
      <c r="B3601">
        <v>683.76</v>
      </c>
      <c r="C3601">
        <v>694.34</v>
      </c>
      <c r="D3601">
        <v>682.89</v>
      </c>
      <c r="E3601">
        <v>694.34</v>
      </c>
      <c r="F3601" s="2">
        <v>1700000000</v>
      </c>
    </row>
    <row r="3602" spans="1:6">
      <c r="A3602" s="32">
        <v>38450</v>
      </c>
      <c r="B3602">
        <v>679.73</v>
      </c>
      <c r="C3602">
        <v>684.44</v>
      </c>
      <c r="D3602">
        <v>677.18</v>
      </c>
      <c r="E3602">
        <v>683.76</v>
      </c>
      <c r="F3602" s="2">
        <v>1640000000</v>
      </c>
    </row>
    <row r="3603" spans="1:6">
      <c r="A3603" s="32">
        <v>38449</v>
      </c>
      <c r="B3603">
        <v>683.36</v>
      </c>
      <c r="C3603">
        <v>684.13</v>
      </c>
      <c r="D3603">
        <v>676.05</v>
      </c>
      <c r="E3603">
        <v>677.97</v>
      </c>
      <c r="F3603" s="2">
        <v>1570000000</v>
      </c>
    </row>
    <row r="3604" spans="1:6">
      <c r="A3604" s="32">
        <v>38447</v>
      </c>
      <c r="B3604">
        <v>684.72</v>
      </c>
      <c r="C3604">
        <v>686.21</v>
      </c>
      <c r="D3604">
        <v>679.85</v>
      </c>
      <c r="E3604">
        <v>681.66</v>
      </c>
      <c r="F3604" s="2">
        <v>1550000000</v>
      </c>
    </row>
    <row r="3605" spans="1:6">
      <c r="A3605" s="32">
        <v>38446</v>
      </c>
      <c r="B3605">
        <v>681.77</v>
      </c>
      <c r="C3605">
        <v>687.08</v>
      </c>
      <c r="D3605">
        <v>680.35</v>
      </c>
      <c r="E3605">
        <v>682.52</v>
      </c>
      <c r="F3605" s="2">
        <v>2160000000</v>
      </c>
    </row>
    <row r="3606" spans="1:6">
      <c r="A3606" s="32">
        <v>38443</v>
      </c>
      <c r="B3606">
        <v>680.21</v>
      </c>
      <c r="C3606">
        <v>695.83</v>
      </c>
      <c r="D3606">
        <v>680.21</v>
      </c>
      <c r="E3606">
        <v>695.83</v>
      </c>
      <c r="F3606" s="2">
        <v>2370000000</v>
      </c>
    </row>
    <row r="3607" spans="1:6">
      <c r="A3607" s="32">
        <v>38442</v>
      </c>
      <c r="B3607">
        <v>678.3</v>
      </c>
      <c r="C3607">
        <v>682.74</v>
      </c>
      <c r="D3607">
        <v>678.3</v>
      </c>
      <c r="E3607">
        <v>681.49</v>
      </c>
      <c r="F3607" s="2">
        <v>2300000000</v>
      </c>
    </row>
    <row r="3608" spans="1:6">
      <c r="A3608" s="32">
        <v>38441</v>
      </c>
      <c r="B3608">
        <v>675.18</v>
      </c>
      <c r="C3608">
        <v>680.07</v>
      </c>
      <c r="D3608">
        <v>671.28</v>
      </c>
      <c r="E3608">
        <v>672.82</v>
      </c>
      <c r="F3608" s="2">
        <v>1900000000</v>
      </c>
    </row>
    <row r="3609" spans="1:6">
      <c r="A3609" s="32">
        <v>38440</v>
      </c>
      <c r="B3609">
        <v>681.47</v>
      </c>
      <c r="C3609">
        <v>684.8</v>
      </c>
      <c r="D3609">
        <v>676.71</v>
      </c>
      <c r="E3609">
        <v>676.91</v>
      </c>
      <c r="F3609" s="2">
        <v>1800000000</v>
      </c>
    </row>
    <row r="3610" spans="1:6">
      <c r="A3610" s="32">
        <v>38439</v>
      </c>
      <c r="B3610">
        <v>688.4</v>
      </c>
      <c r="C3610">
        <v>688.9</v>
      </c>
      <c r="D3610">
        <v>682.98</v>
      </c>
      <c r="E3610">
        <v>682.98</v>
      </c>
      <c r="F3610" s="2">
        <v>1410000000</v>
      </c>
    </row>
    <row r="3611" spans="1:6">
      <c r="A3611" s="32">
        <v>38436</v>
      </c>
      <c r="B3611">
        <v>685.08</v>
      </c>
      <c r="C3611">
        <v>687.32</v>
      </c>
      <c r="D3611">
        <v>683.37</v>
      </c>
      <c r="E3611">
        <v>687.32</v>
      </c>
      <c r="F3611" s="2">
        <v>1770000000</v>
      </c>
    </row>
    <row r="3612" spans="1:6">
      <c r="A3612" s="32">
        <v>38435</v>
      </c>
      <c r="B3612">
        <v>693.27</v>
      </c>
      <c r="C3612">
        <v>696</v>
      </c>
      <c r="D3612">
        <v>682.96</v>
      </c>
      <c r="E3612">
        <v>685.06</v>
      </c>
      <c r="F3612" s="2">
        <v>2340000000</v>
      </c>
    </row>
    <row r="3613" spans="1:6">
      <c r="A3613" s="32">
        <v>38434</v>
      </c>
      <c r="B3613">
        <v>697.05</v>
      </c>
      <c r="C3613">
        <v>700.31</v>
      </c>
      <c r="D3613">
        <v>693.13</v>
      </c>
      <c r="E3613">
        <v>693.26</v>
      </c>
      <c r="F3613" s="2">
        <v>2450000000</v>
      </c>
    </row>
    <row r="3614" spans="1:6">
      <c r="A3614" s="32">
        <v>38433</v>
      </c>
      <c r="B3614">
        <v>702.65</v>
      </c>
      <c r="C3614">
        <v>705.88</v>
      </c>
      <c r="D3614">
        <v>697.21</v>
      </c>
      <c r="E3614">
        <v>699.53</v>
      </c>
      <c r="F3614" s="2">
        <v>2350000000</v>
      </c>
    </row>
    <row r="3615" spans="1:6">
      <c r="A3615" s="32">
        <v>38432</v>
      </c>
      <c r="B3615">
        <v>712.79</v>
      </c>
      <c r="C3615">
        <v>713.98</v>
      </c>
      <c r="D3615">
        <v>703.95</v>
      </c>
      <c r="E3615">
        <v>705.03</v>
      </c>
      <c r="F3615" s="2">
        <v>2150000000</v>
      </c>
    </row>
    <row r="3616" spans="1:6">
      <c r="A3616" s="32">
        <v>38429</v>
      </c>
      <c r="B3616">
        <v>710.37</v>
      </c>
      <c r="C3616">
        <v>714.73</v>
      </c>
      <c r="D3616">
        <v>710.1</v>
      </c>
      <c r="E3616">
        <v>711.4</v>
      </c>
      <c r="F3616" s="2">
        <v>3310000000</v>
      </c>
    </row>
    <row r="3617" spans="1:6">
      <c r="A3617" s="32">
        <v>38428</v>
      </c>
      <c r="B3617">
        <v>701.4</v>
      </c>
      <c r="C3617">
        <v>706.53</v>
      </c>
      <c r="D3617">
        <v>700.07</v>
      </c>
      <c r="E3617">
        <v>706.53</v>
      </c>
      <c r="F3617" s="2">
        <v>2080000000</v>
      </c>
    </row>
    <row r="3618" spans="1:6">
      <c r="A3618" s="32">
        <v>38427</v>
      </c>
      <c r="B3618">
        <v>696.13</v>
      </c>
      <c r="C3618">
        <v>706.64</v>
      </c>
      <c r="D3618">
        <v>695.19</v>
      </c>
      <c r="E3618">
        <v>706.64</v>
      </c>
      <c r="F3618" s="2">
        <v>2000000000</v>
      </c>
    </row>
    <row r="3619" spans="1:6">
      <c r="A3619" s="32">
        <v>38426</v>
      </c>
      <c r="B3619">
        <v>700.91</v>
      </c>
      <c r="C3619">
        <v>704.31</v>
      </c>
      <c r="D3619">
        <v>695.42</v>
      </c>
      <c r="E3619">
        <v>696.84</v>
      </c>
      <c r="F3619" s="2">
        <v>2320000000</v>
      </c>
    </row>
    <row r="3620" spans="1:6">
      <c r="A3620" s="32">
        <v>38425</v>
      </c>
      <c r="B3620">
        <v>708.41</v>
      </c>
      <c r="C3620">
        <v>708.41</v>
      </c>
      <c r="D3620">
        <v>698.25</v>
      </c>
      <c r="E3620">
        <v>700.22</v>
      </c>
      <c r="F3620" s="2">
        <v>1740000000</v>
      </c>
    </row>
    <row r="3621" spans="1:6">
      <c r="A3621" s="32">
        <v>38422</v>
      </c>
      <c r="B3621">
        <v>719.41</v>
      </c>
      <c r="C3621">
        <v>720.75</v>
      </c>
      <c r="D3621">
        <v>710.87</v>
      </c>
      <c r="E3621">
        <v>710.98</v>
      </c>
      <c r="F3621" s="2">
        <v>2070000000</v>
      </c>
    </row>
    <row r="3622" spans="1:6">
      <c r="A3622" s="32">
        <v>38421</v>
      </c>
      <c r="B3622">
        <v>716.34</v>
      </c>
      <c r="C3622">
        <v>719.94</v>
      </c>
      <c r="D3622">
        <v>711.89</v>
      </c>
      <c r="E3622">
        <v>719.53</v>
      </c>
      <c r="F3622" s="2">
        <v>2440000000</v>
      </c>
    </row>
    <row r="3623" spans="1:6">
      <c r="A3623" s="32">
        <v>38420</v>
      </c>
      <c r="B3623">
        <v>724.34</v>
      </c>
      <c r="C3623">
        <v>727.54</v>
      </c>
      <c r="D3623">
        <v>716.94</v>
      </c>
      <c r="E3623">
        <v>722.58</v>
      </c>
      <c r="F3623" s="2">
        <v>2650000000</v>
      </c>
    </row>
    <row r="3624" spans="1:6">
      <c r="A3624" s="32">
        <v>38419</v>
      </c>
      <c r="B3624">
        <v>737.23</v>
      </c>
      <c r="C3624">
        <v>737.23</v>
      </c>
      <c r="D3624">
        <v>722.6</v>
      </c>
      <c r="E3624">
        <v>722.6</v>
      </c>
      <c r="F3624" s="2">
        <v>2390000000</v>
      </c>
    </row>
    <row r="3625" spans="1:6">
      <c r="A3625" s="32">
        <v>38418</v>
      </c>
      <c r="B3625">
        <v>731.12</v>
      </c>
      <c r="C3625">
        <v>737.42</v>
      </c>
      <c r="D3625">
        <v>730.68</v>
      </c>
      <c r="E3625">
        <v>737.42</v>
      </c>
      <c r="F3625" s="2">
        <v>2390000000</v>
      </c>
    </row>
    <row r="3626" spans="1:6">
      <c r="A3626" s="32">
        <v>38415</v>
      </c>
      <c r="B3626">
        <v>721.61</v>
      </c>
      <c r="C3626">
        <v>729.82</v>
      </c>
      <c r="D3626">
        <v>721.61</v>
      </c>
      <c r="E3626">
        <v>728.42</v>
      </c>
      <c r="F3626" s="2">
        <v>1990000000</v>
      </c>
    </row>
    <row r="3627" spans="1:6">
      <c r="A3627" s="32">
        <v>38414</v>
      </c>
      <c r="B3627">
        <v>718.89</v>
      </c>
      <c r="C3627">
        <v>724.86</v>
      </c>
      <c r="D3627">
        <v>715.8</v>
      </c>
      <c r="E3627">
        <v>720.39</v>
      </c>
      <c r="F3627" s="2">
        <v>2260000000</v>
      </c>
    </row>
    <row r="3628" spans="1:6">
      <c r="A3628" s="32">
        <v>38413</v>
      </c>
      <c r="B3628">
        <v>733.17</v>
      </c>
      <c r="C3628">
        <v>733.51</v>
      </c>
      <c r="D3628">
        <v>717.31</v>
      </c>
      <c r="E3628">
        <v>720.92</v>
      </c>
      <c r="F3628" s="2">
        <v>3110000000</v>
      </c>
    </row>
    <row r="3629" spans="1:6">
      <c r="A3629" s="32">
        <v>38412</v>
      </c>
      <c r="B3629">
        <v>740.45</v>
      </c>
      <c r="C3629">
        <v>743.3</v>
      </c>
      <c r="D3629">
        <v>733.26</v>
      </c>
      <c r="E3629">
        <v>738.75</v>
      </c>
      <c r="F3629" s="2">
        <v>2790000000</v>
      </c>
    </row>
    <row r="3630" spans="1:6">
      <c r="A3630" s="32">
        <v>38411</v>
      </c>
      <c r="B3630">
        <v>743.36</v>
      </c>
      <c r="C3630">
        <v>746.1</v>
      </c>
      <c r="D3630">
        <v>735.08</v>
      </c>
      <c r="E3630">
        <v>741.55</v>
      </c>
      <c r="F3630" s="2">
        <v>3010000000</v>
      </c>
    </row>
    <row r="3631" spans="1:6">
      <c r="A3631" s="32">
        <v>38408</v>
      </c>
      <c r="B3631">
        <v>740.32</v>
      </c>
      <c r="C3631">
        <v>745.23</v>
      </c>
      <c r="D3631">
        <v>737.5</v>
      </c>
      <c r="E3631">
        <v>740.04</v>
      </c>
      <c r="F3631" s="2">
        <v>3440000000</v>
      </c>
    </row>
    <row r="3632" spans="1:6">
      <c r="A3632" s="32">
        <v>38407</v>
      </c>
      <c r="B3632">
        <v>731.74</v>
      </c>
      <c r="C3632">
        <v>740.75</v>
      </c>
      <c r="D3632">
        <v>730.09</v>
      </c>
      <c r="E3632">
        <v>736.89</v>
      </c>
      <c r="F3632" s="2">
        <v>3200000000</v>
      </c>
    </row>
    <row r="3633" spans="1:6">
      <c r="A3633" s="32">
        <v>38405</v>
      </c>
      <c r="B3633">
        <v>726.61</v>
      </c>
      <c r="C3633">
        <v>732.88</v>
      </c>
      <c r="D3633">
        <v>720.89</v>
      </c>
      <c r="E3633">
        <v>730.56</v>
      </c>
      <c r="F3633" s="2">
        <v>3020000000</v>
      </c>
    </row>
    <row r="3634" spans="1:6">
      <c r="A3634" s="32">
        <v>38404</v>
      </c>
      <c r="B3634">
        <v>737.91</v>
      </c>
      <c r="C3634">
        <v>739.87</v>
      </c>
      <c r="D3634">
        <v>725.89</v>
      </c>
      <c r="E3634">
        <v>725.89</v>
      </c>
      <c r="F3634" s="2">
        <v>3570000000</v>
      </c>
    </row>
    <row r="3635" spans="1:6">
      <c r="A3635" s="32">
        <v>38401</v>
      </c>
      <c r="B3635">
        <v>729.99</v>
      </c>
      <c r="C3635">
        <v>737.97</v>
      </c>
      <c r="D3635">
        <v>729.27</v>
      </c>
      <c r="E3635">
        <v>737.5</v>
      </c>
      <c r="F3635" s="2">
        <v>5350000000</v>
      </c>
    </row>
    <row r="3636" spans="1:6">
      <c r="A3636" s="32">
        <v>38400</v>
      </c>
      <c r="B3636">
        <v>741.47</v>
      </c>
      <c r="C3636">
        <v>744.78</v>
      </c>
      <c r="D3636">
        <v>734.68</v>
      </c>
      <c r="E3636">
        <v>734.68</v>
      </c>
      <c r="F3636" s="2">
        <v>4830000000</v>
      </c>
    </row>
    <row r="3637" spans="1:6">
      <c r="A3637" s="32">
        <v>38399</v>
      </c>
      <c r="B3637">
        <v>739.91</v>
      </c>
      <c r="C3637">
        <v>740.84</v>
      </c>
      <c r="D3637">
        <v>735.34</v>
      </c>
      <c r="E3637">
        <v>739.37</v>
      </c>
      <c r="F3637" s="2">
        <v>4890000000</v>
      </c>
    </row>
    <row r="3638" spans="1:6">
      <c r="A3638" s="32">
        <v>38398</v>
      </c>
      <c r="B3638">
        <v>729.51</v>
      </c>
      <c r="C3638">
        <v>736.91</v>
      </c>
      <c r="D3638">
        <v>729.51</v>
      </c>
      <c r="E3638">
        <v>736.91</v>
      </c>
      <c r="F3638" s="2">
        <v>4760000000</v>
      </c>
    </row>
    <row r="3639" spans="1:6">
      <c r="A3639" s="32">
        <v>38397</v>
      </c>
      <c r="B3639">
        <v>728.76</v>
      </c>
      <c r="C3639">
        <v>730.27</v>
      </c>
      <c r="D3639">
        <v>727.41</v>
      </c>
      <c r="E3639">
        <v>728.8</v>
      </c>
      <c r="F3639" s="2">
        <v>2920000000</v>
      </c>
    </row>
    <row r="3640" spans="1:6">
      <c r="A3640" s="32">
        <v>38394</v>
      </c>
      <c r="B3640">
        <v>736.77</v>
      </c>
      <c r="C3640">
        <v>736.77</v>
      </c>
      <c r="D3640">
        <v>725.22</v>
      </c>
      <c r="E3640">
        <v>726.2</v>
      </c>
      <c r="F3640" s="2">
        <v>4160000000</v>
      </c>
    </row>
    <row r="3641" spans="1:6">
      <c r="A3641" s="32">
        <v>38393</v>
      </c>
      <c r="B3641">
        <v>737.08</v>
      </c>
      <c r="C3641">
        <v>739.16</v>
      </c>
      <c r="D3641">
        <v>732.16</v>
      </c>
      <c r="E3641">
        <v>736.22</v>
      </c>
      <c r="F3641" s="2">
        <v>4730000000</v>
      </c>
    </row>
    <row r="3642" spans="1:6">
      <c r="A3642" s="32">
        <v>38392</v>
      </c>
      <c r="B3642">
        <v>731.74</v>
      </c>
      <c r="C3642">
        <v>735.78</v>
      </c>
      <c r="D3642">
        <v>729.63</v>
      </c>
      <c r="E3642">
        <v>735.63</v>
      </c>
      <c r="F3642" s="2">
        <v>3060000000</v>
      </c>
    </row>
    <row r="3643" spans="1:6">
      <c r="A3643" s="32">
        <v>38391</v>
      </c>
      <c r="B3643">
        <v>727.54</v>
      </c>
      <c r="C3643">
        <v>731.42</v>
      </c>
      <c r="D3643">
        <v>722.78</v>
      </c>
      <c r="E3643">
        <v>731.42</v>
      </c>
      <c r="F3643" s="2">
        <v>3070000000</v>
      </c>
    </row>
    <row r="3644" spans="1:6">
      <c r="A3644" s="32">
        <v>38390</v>
      </c>
      <c r="B3644">
        <v>719.42</v>
      </c>
      <c r="C3644">
        <v>726.91</v>
      </c>
      <c r="D3644">
        <v>719.42</v>
      </c>
      <c r="E3644">
        <v>725.76</v>
      </c>
      <c r="F3644" s="2">
        <v>3270000000</v>
      </c>
    </row>
    <row r="3645" spans="1:6">
      <c r="A3645" s="32">
        <v>38387</v>
      </c>
      <c r="B3645">
        <v>720.35</v>
      </c>
      <c r="C3645">
        <v>721.49</v>
      </c>
      <c r="D3645">
        <v>715.65</v>
      </c>
      <c r="E3645">
        <v>719.1</v>
      </c>
      <c r="F3645" s="2">
        <v>3220000000</v>
      </c>
    </row>
    <row r="3646" spans="1:6">
      <c r="A3646" s="32">
        <v>38386</v>
      </c>
      <c r="B3646">
        <v>714.18</v>
      </c>
      <c r="C3646">
        <v>718.06</v>
      </c>
      <c r="D3646">
        <v>713.91</v>
      </c>
      <c r="E3646">
        <v>716.92</v>
      </c>
      <c r="F3646" s="2">
        <v>2710000000</v>
      </c>
    </row>
    <row r="3647" spans="1:6">
      <c r="A3647" s="32">
        <v>38385</v>
      </c>
      <c r="B3647">
        <v>708.98</v>
      </c>
      <c r="C3647">
        <v>712.78</v>
      </c>
      <c r="D3647">
        <v>708.81</v>
      </c>
      <c r="E3647">
        <v>710.33</v>
      </c>
      <c r="F3647" s="2">
        <v>3830000000</v>
      </c>
    </row>
    <row r="3648" spans="1:6">
      <c r="A3648" s="32">
        <v>38384</v>
      </c>
      <c r="B3648">
        <v>705.2</v>
      </c>
      <c r="C3648">
        <v>709.33</v>
      </c>
      <c r="D3648">
        <v>704.75</v>
      </c>
      <c r="E3648">
        <v>708.73</v>
      </c>
      <c r="F3648" s="2">
        <v>3540000000</v>
      </c>
    </row>
    <row r="3649" spans="1:6">
      <c r="A3649" s="32">
        <v>38383</v>
      </c>
      <c r="B3649">
        <v>702.84</v>
      </c>
      <c r="C3649">
        <v>705.23</v>
      </c>
      <c r="D3649">
        <v>701.36</v>
      </c>
      <c r="E3649">
        <v>701.91</v>
      </c>
      <c r="F3649" s="2">
        <v>2470000000</v>
      </c>
    </row>
    <row r="3650" spans="1:6">
      <c r="A3650" s="32">
        <v>38380</v>
      </c>
      <c r="B3650">
        <v>702.17</v>
      </c>
      <c r="C3650">
        <v>703.68</v>
      </c>
      <c r="D3650">
        <v>700.87</v>
      </c>
      <c r="E3650">
        <v>701.66</v>
      </c>
      <c r="F3650" s="2">
        <v>3180000000</v>
      </c>
    </row>
    <row r="3651" spans="1:6">
      <c r="A3651" s="32">
        <v>38379</v>
      </c>
      <c r="B3651">
        <v>705.69</v>
      </c>
      <c r="C3651">
        <v>706.22</v>
      </c>
      <c r="D3651">
        <v>701.08</v>
      </c>
      <c r="E3651">
        <v>701.25</v>
      </c>
      <c r="F3651" s="2">
        <v>3700000000</v>
      </c>
    </row>
    <row r="3652" spans="1:6">
      <c r="A3652" s="32">
        <v>38378</v>
      </c>
      <c r="B3652">
        <v>705.08</v>
      </c>
      <c r="C3652">
        <v>706.24</v>
      </c>
      <c r="D3652">
        <v>702.66</v>
      </c>
      <c r="E3652">
        <v>702.66</v>
      </c>
      <c r="F3652" s="2">
        <v>4360000000</v>
      </c>
    </row>
    <row r="3653" spans="1:6">
      <c r="A3653" s="32">
        <v>38377</v>
      </c>
      <c r="B3653">
        <v>694.85</v>
      </c>
      <c r="C3653">
        <v>703.04</v>
      </c>
      <c r="D3653">
        <v>694.27</v>
      </c>
      <c r="E3653">
        <v>702.14</v>
      </c>
      <c r="F3653" s="2">
        <v>4390000000</v>
      </c>
    </row>
    <row r="3654" spans="1:6">
      <c r="A3654" s="32">
        <v>38376</v>
      </c>
      <c r="B3654">
        <v>697.51</v>
      </c>
      <c r="C3654">
        <v>699.38</v>
      </c>
      <c r="D3654">
        <v>693.16</v>
      </c>
      <c r="E3654">
        <v>695.92</v>
      </c>
      <c r="F3654" s="2">
        <v>3230000000</v>
      </c>
    </row>
    <row r="3655" spans="1:6">
      <c r="A3655" s="32">
        <v>38373</v>
      </c>
      <c r="B3655">
        <v>706.96</v>
      </c>
      <c r="C3655">
        <v>706.97</v>
      </c>
      <c r="D3655">
        <v>695.15</v>
      </c>
      <c r="E3655">
        <v>696.85</v>
      </c>
      <c r="F3655" s="2">
        <v>4340000000</v>
      </c>
    </row>
    <row r="3656" spans="1:6">
      <c r="A3656" s="32">
        <v>38372</v>
      </c>
      <c r="B3656">
        <v>707.48</v>
      </c>
      <c r="C3656">
        <v>708.65</v>
      </c>
      <c r="D3656">
        <v>704.96</v>
      </c>
      <c r="E3656">
        <v>706.9</v>
      </c>
      <c r="F3656" s="2">
        <v>5850000000</v>
      </c>
    </row>
    <row r="3657" spans="1:6">
      <c r="A3657" s="32">
        <v>38371</v>
      </c>
      <c r="B3657">
        <v>710.91</v>
      </c>
      <c r="C3657">
        <v>714.44</v>
      </c>
      <c r="D3657">
        <v>707.07</v>
      </c>
      <c r="E3657">
        <v>709.03</v>
      </c>
      <c r="F3657" s="2">
        <v>4990000000</v>
      </c>
    </row>
    <row r="3658" spans="1:6">
      <c r="A3658" s="32">
        <v>38370</v>
      </c>
      <c r="B3658">
        <v>711.11</v>
      </c>
      <c r="C3658">
        <v>711.46</v>
      </c>
      <c r="D3658">
        <v>705.54</v>
      </c>
      <c r="E3658">
        <v>709.55</v>
      </c>
      <c r="F3658" s="2">
        <v>4840000000</v>
      </c>
    </row>
    <row r="3659" spans="1:6">
      <c r="A3659" s="32">
        <v>38369</v>
      </c>
      <c r="B3659">
        <v>703.16</v>
      </c>
      <c r="C3659">
        <v>710.97</v>
      </c>
      <c r="D3659">
        <v>703.16</v>
      </c>
      <c r="E3659">
        <v>708.3</v>
      </c>
      <c r="F3659" s="2">
        <v>3720000000</v>
      </c>
    </row>
    <row r="3660" spans="1:6">
      <c r="A3660" s="32">
        <v>38366</v>
      </c>
      <c r="B3660">
        <v>694.01</v>
      </c>
      <c r="C3660">
        <v>701.66</v>
      </c>
      <c r="D3660">
        <v>692.11</v>
      </c>
      <c r="E3660">
        <v>701.66</v>
      </c>
      <c r="F3660" s="2">
        <v>3310000000</v>
      </c>
    </row>
    <row r="3661" spans="1:6">
      <c r="A3661" s="32">
        <v>38365</v>
      </c>
      <c r="B3661">
        <v>695.76</v>
      </c>
      <c r="C3661">
        <v>699.73</v>
      </c>
      <c r="D3661">
        <v>691.87</v>
      </c>
      <c r="E3661">
        <v>693.43</v>
      </c>
      <c r="F3661" s="2">
        <v>3930000000</v>
      </c>
    </row>
    <row r="3662" spans="1:6">
      <c r="A3662" s="32">
        <v>38364</v>
      </c>
      <c r="B3662">
        <v>693.37</v>
      </c>
      <c r="C3662">
        <v>696.36</v>
      </c>
      <c r="D3662">
        <v>692.64</v>
      </c>
      <c r="E3662">
        <v>694.63</v>
      </c>
      <c r="F3662" s="2">
        <v>5240000000</v>
      </c>
    </row>
    <row r="3663" spans="1:6">
      <c r="A3663" s="32">
        <v>38363</v>
      </c>
      <c r="B3663">
        <v>696.09</v>
      </c>
      <c r="C3663">
        <v>696.09</v>
      </c>
      <c r="D3663">
        <v>688.01</v>
      </c>
      <c r="E3663">
        <v>691.97</v>
      </c>
      <c r="F3663" s="2">
        <v>5100000000</v>
      </c>
    </row>
    <row r="3664" spans="1:6">
      <c r="A3664" s="32">
        <v>38362</v>
      </c>
      <c r="B3664">
        <v>698.32</v>
      </c>
      <c r="C3664">
        <v>701.89</v>
      </c>
      <c r="D3664">
        <v>691.97</v>
      </c>
      <c r="E3664">
        <v>696.03</v>
      </c>
      <c r="F3664" s="2">
        <v>4990000000</v>
      </c>
    </row>
    <row r="3665" spans="1:6">
      <c r="A3665" s="32">
        <v>38359</v>
      </c>
      <c r="B3665">
        <v>697.52</v>
      </c>
      <c r="C3665">
        <v>700.35</v>
      </c>
      <c r="D3665">
        <v>692.09</v>
      </c>
      <c r="E3665">
        <v>697.84</v>
      </c>
      <c r="F3665" s="2">
        <v>6670000000</v>
      </c>
    </row>
    <row r="3666" spans="1:6">
      <c r="A3666" s="32">
        <v>38358</v>
      </c>
      <c r="B3666">
        <v>684.86</v>
      </c>
      <c r="C3666">
        <v>693.62</v>
      </c>
      <c r="D3666">
        <v>684.86</v>
      </c>
      <c r="E3666">
        <v>693.62</v>
      </c>
      <c r="F3666" s="2">
        <v>4180000000</v>
      </c>
    </row>
    <row r="3667" spans="1:6">
      <c r="A3667" s="32">
        <v>38357</v>
      </c>
      <c r="B3667">
        <v>687.63</v>
      </c>
      <c r="C3667">
        <v>689.87</v>
      </c>
      <c r="D3667">
        <v>683.27</v>
      </c>
      <c r="E3667">
        <v>683.5</v>
      </c>
      <c r="F3667" s="2">
        <v>3890000000</v>
      </c>
    </row>
    <row r="3668" spans="1:6">
      <c r="A3668" s="32">
        <v>38356</v>
      </c>
      <c r="B3668">
        <v>672.4</v>
      </c>
      <c r="C3668">
        <v>684.59</v>
      </c>
      <c r="D3668">
        <v>671.47</v>
      </c>
      <c r="E3668">
        <v>684.48</v>
      </c>
      <c r="F3668" s="2">
        <v>1980000000</v>
      </c>
    </row>
    <row r="3669" spans="1:6">
      <c r="A3669" s="32">
        <v>38351</v>
      </c>
      <c r="B3669">
        <v>666.61</v>
      </c>
      <c r="C3669">
        <v>670.41</v>
      </c>
      <c r="D3669">
        <v>666.61</v>
      </c>
      <c r="E3669">
        <v>668.1</v>
      </c>
      <c r="F3669" s="2">
        <v>1300000000</v>
      </c>
    </row>
    <row r="3670" spans="1:6">
      <c r="A3670" s="32">
        <v>38350</v>
      </c>
      <c r="B3670">
        <v>665.31</v>
      </c>
      <c r="C3670">
        <v>666.66</v>
      </c>
      <c r="D3670">
        <v>659.59</v>
      </c>
      <c r="E3670">
        <v>664.46</v>
      </c>
      <c r="F3670" s="2">
        <v>1440000000</v>
      </c>
    </row>
    <row r="3671" spans="1:6">
      <c r="A3671" s="32">
        <v>38349</v>
      </c>
      <c r="B3671">
        <v>665.21</v>
      </c>
      <c r="C3671">
        <v>665.83</v>
      </c>
      <c r="D3671">
        <v>661.02</v>
      </c>
      <c r="E3671">
        <v>662.39</v>
      </c>
      <c r="F3671" s="2">
        <v>1500000000</v>
      </c>
    </row>
    <row r="3672" spans="1:6">
      <c r="A3672" s="32">
        <v>38348</v>
      </c>
      <c r="B3672">
        <v>655.7</v>
      </c>
      <c r="C3672">
        <v>663.86</v>
      </c>
      <c r="D3672">
        <v>655.59</v>
      </c>
      <c r="E3672">
        <v>663.86</v>
      </c>
      <c r="F3672" s="2">
        <v>1800000000</v>
      </c>
    </row>
    <row r="3673" spans="1:6">
      <c r="A3673" s="32">
        <v>38345</v>
      </c>
      <c r="B3673">
        <v>669.88</v>
      </c>
      <c r="C3673">
        <v>671.76</v>
      </c>
      <c r="D3673">
        <v>668.52</v>
      </c>
      <c r="E3673">
        <v>670.35</v>
      </c>
      <c r="F3673" s="2">
        <v>1030000000</v>
      </c>
    </row>
    <row r="3674" spans="1:6">
      <c r="A3674" s="32">
        <v>38344</v>
      </c>
      <c r="B3674">
        <v>673.41</v>
      </c>
      <c r="C3674">
        <v>675.85</v>
      </c>
      <c r="D3674">
        <v>667.9</v>
      </c>
      <c r="E3674">
        <v>667.9</v>
      </c>
      <c r="F3674" s="2">
        <v>1820000000</v>
      </c>
    </row>
    <row r="3675" spans="1:6">
      <c r="A3675" s="32">
        <v>38343</v>
      </c>
      <c r="B3675">
        <v>675.45</v>
      </c>
      <c r="C3675">
        <v>678.07</v>
      </c>
      <c r="D3675">
        <v>671.34</v>
      </c>
      <c r="E3675">
        <v>672.79</v>
      </c>
      <c r="F3675" s="2">
        <v>2760000000</v>
      </c>
    </row>
    <row r="3676" spans="1:6">
      <c r="A3676" s="32">
        <v>38342</v>
      </c>
      <c r="B3676">
        <v>677.6</v>
      </c>
      <c r="C3676">
        <v>678.09</v>
      </c>
      <c r="D3676">
        <v>668.85</v>
      </c>
      <c r="E3676">
        <v>671.5</v>
      </c>
      <c r="F3676" s="2">
        <v>2070000000</v>
      </c>
    </row>
    <row r="3677" spans="1:6">
      <c r="A3677" s="32">
        <v>38341</v>
      </c>
      <c r="B3677">
        <v>671.19</v>
      </c>
      <c r="C3677">
        <v>675.71</v>
      </c>
      <c r="D3677">
        <v>668.16</v>
      </c>
      <c r="E3677">
        <v>675.71</v>
      </c>
      <c r="F3677" s="2">
        <v>2390000000</v>
      </c>
    </row>
    <row r="3678" spans="1:6">
      <c r="A3678" s="32">
        <v>38338</v>
      </c>
      <c r="B3678">
        <v>664.71</v>
      </c>
      <c r="C3678">
        <v>671.05</v>
      </c>
      <c r="D3678">
        <v>662.42</v>
      </c>
      <c r="E3678">
        <v>669.46</v>
      </c>
      <c r="F3678" s="2">
        <v>2770000000</v>
      </c>
    </row>
    <row r="3679" spans="1:6">
      <c r="A3679" s="32">
        <v>38337</v>
      </c>
      <c r="B3679">
        <v>658.23</v>
      </c>
      <c r="C3679">
        <v>661.8</v>
      </c>
      <c r="D3679">
        <v>655.53</v>
      </c>
      <c r="E3679">
        <v>661.42</v>
      </c>
      <c r="F3679" s="2">
        <v>2490000000</v>
      </c>
    </row>
    <row r="3680" spans="1:6">
      <c r="A3680" s="32">
        <v>38336</v>
      </c>
      <c r="B3680">
        <v>648.72</v>
      </c>
      <c r="C3680">
        <v>657.18</v>
      </c>
      <c r="D3680">
        <v>648.72</v>
      </c>
      <c r="E3680">
        <v>657.18</v>
      </c>
      <c r="F3680" s="2">
        <v>2320000000</v>
      </c>
    </row>
    <row r="3681" spans="1:6">
      <c r="A3681" s="32">
        <v>38335</v>
      </c>
      <c r="B3681">
        <v>649.74</v>
      </c>
      <c r="C3681">
        <v>651.35</v>
      </c>
      <c r="D3681">
        <v>646.08000000000004</v>
      </c>
      <c r="E3681">
        <v>646.08000000000004</v>
      </c>
      <c r="F3681" s="2">
        <v>2820000000</v>
      </c>
    </row>
    <row r="3682" spans="1:6">
      <c r="A3682" s="32">
        <v>38334</v>
      </c>
      <c r="B3682">
        <v>648.6</v>
      </c>
      <c r="C3682">
        <v>648.62</v>
      </c>
      <c r="D3682">
        <v>644.63</v>
      </c>
      <c r="E3682">
        <v>645.75</v>
      </c>
      <c r="F3682" s="2">
        <v>1280000000</v>
      </c>
    </row>
    <row r="3683" spans="1:6">
      <c r="A3683" s="32">
        <v>38330</v>
      </c>
      <c r="B3683">
        <v>644.55999999999995</v>
      </c>
      <c r="C3683">
        <v>649.32000000000005</v>
      </c>
      <c r="D3683">
        <v>641.89</v>
      </c>
      <c r="E3683">
        <v>648.78</v>
      </c>
      <c r="F3683" s="2">
        <v>2040000000</v>
      </c>
    </row>
    <row r="3684" spans="1:6">
      <c r="A3684" s="32">
        <v>38329</v>
      </c>
      <c r="B3684">
        <v>655.12</v>
      </c>
      <c r="C3684">
        <v>655.12</v>
      </c>
      <c r="D3684">
        <v>644.03</v>
      </c>
      <c r="E3684">
        <v>645.41</v>
      </c>
      <c r="F3684" s="2">
        <v>2230000000</v>
      </c>
    </row>
    <row r="3685" spans="1:6">
      <c r="A3685" s="32">
        <v>38328</v>
      </c>
      <c r="B3685">
        <v>664.04</v>
      </c>
      <c r="C3685">
        <v>664.88</v>
      </c>
      <c r="D3685">
        <v>654.78</v>
      </c>
      <c r="E3685">
        <v>655.83</v>
      </c>
      <c r="F3685" s="2">
        <v>2270000000</v>
      </c>
    </row>
    <row r="3686" spans="1:6">
      <c r="A3686" s="32">
        <v>38324</v>
      </c>
      <c r="B3686">
        <v>662.65</v>
      </c>
      <c r="C3686">
        <v>665.36</v>
      </c>
      <c r="D3686">
        <v>660.39</v>
      </c>
      <c r="E3686">
        <v>663.84</v>
      </c>
      <c r="F3686" s="2">
        <v>2300000000</v>
      </c>
    </row>
    <row r="3687" spans="1:6">
      <c r="A3687" s="32">
        <v>38323</v>
      </c>
      <c r="B3687">
        <v>657.11</v>
      </c>
      <c r="C3687">
        <v>665.4</v>
      </c>
      <c r="D3687">
        <v>657.11</v>
      </c>
      <c r="E3687">
        <v>661.08</v>
      </c>
      <c r="F3687" s="2">
        <v>3250000000</v>
      </c>
    </row>
    <row r="3688" spans="1:6">
      <c r="A3688" s="32">
        <v>38322</v>
      </c>
      <c r="B3688">
        <v>656.84</v>
      </c>
      <c r="C3688">
        <v>661.64</v>
      </c>
      <c r="D3688">
        <v>655.44</v>
      </c>
      <c r="E3688">
        <v>655.44</v>
      </c>
      <c r="F3688" s="2">
        <v>2750000000</v>
      </c>
    </row>
    <row r="3689" spans="1:6">
      <c r="A3689" s="32">
        <v>38321</v>
      </c>
      <c r="B3689">
        <v>656.86</v>
      </c>
      <c r="C3689">
        <v>658.92</v>
      </c>
      <c r="D3689">
        <v>653.84</v>
      </c>
      <c r="E3689">
        <v>656.73</v>
      </c>
      <c r="F3689" s="2">
        <v>4090000000</v>
      </c>
    </row>
    <row r="3690" spans="1:6">
      <c r="A3690" s="32">
        <v>38320</v>
      </c>
      <c r="B3690">
        <v>651.6</v>
      </c>
      <c r="C3690">
        <v>657.25</v>
      </c>
      <c r="D3690">
        <v>648.78</v>
      </c>
      <c r="E3690">
        <v>657.25</v>
      </c>
      <c r="F3690" s="2">
        <v>3000000000</v>
      </c>
    </row>
    <row r="3691" spans="1:6">
      <c r="A3691" s="32">
        <v>38317</v>
      </c>
      <c r="B3691">
        <v>650.09</v>
      </c>
      <c r="C3691">
        <v>652.4</v>
      </c>
      <c r="D3691">
        <v>645.53</v>
      </c>
      <c r="E3691">
        <v>648.75</v>
      </c>
      <c r="F3691" s="2">
        <v>2770000000</v>
      </c>
    </row>
    <row r="3692" spans="1:6">
      <c r="A3692" s="32">
        <v>38316</v>
      </c>
      <c r="B3692">
        <v>644.46</v>
      </c>
      <c r="C3692">
        <v>651.51</v>
      </c>
      <c r="D3692">
        <v>644.46</v>
      </c>
      <c r="E3692">
        <v>647.49</v>
      </c>
      <c r="F3692" s="2">
        <v>2640000000</v>
      </c>
    </row>
    <row r="3693" spans="1:6">
      <c r="A3693" s="32">
        <v>38315</v>
      </c>
      <c r="B3693">
        <v>651.42999999999995</v>
      </c>
      <c r="C3693">
        <v>652.1</v>
      </c>
      <c r="D3693">
        <v>641.85</v>
      </c>
      <c r="E3693">
        <v>643.05999999999995</v>
      </c>
      <c r="F3693" s="2">
        <v>2410000000</v>
      </c>
    </row>
    <row r="3694" spans="1:6">
      <c r="A3694" s="32">
        <v>38314</v>
      </c>
      <c r="B3694">
        <v>646.37</v>
      </c>
      <c r="C3694">
        <v>650.87</v>
      </c>
      <c r="D3694">
        <v>645.29999999999995</v>
      </c>
      <c r="E3694">
        <v>650.87</v>
      </c>
      <c r="F3694" s="2">
        <v>2290000000</v>
      </c>
    </row>
    <row r="3695" spans="1:6">
      <c r="A3695" s="32">
        <v>38313</v>
      </c>
      <c r="B3695">
        <v>650.15</v>
      </c>
      <c r="C3695">
        <v>650.15</v>
      </c>
      <c r="D3695">
        <v>641.75</v>
      </c>
      <c r="E3695">
        <v>644.95000000000005</v>
      </c>
      <c r="F3695" s="2">
        <v>1970000000</v>
      </c>
    </row>
    <row r="3696" spans="1:6">
      <c r="A3696" s="32">
        <v>38310</v>
      </c>
      <c r="B3696">
        <v>649.04</v>
      </c>
      <c r="C3696">
        <v>654.12</v>
      </c>
      <c r="D3696">
        <v>649.04</v>
      </c>
      <c r="E3696">
        <v>651.41999999999996</v>
      </c>
      <c r="F3696" s="2">
        <v>3460000000</v>
      </c>
    </row>
    <row r="3697" spans="1:6">
      <c r="A3697" s="32">
        <v>38309</v>
      </c>
      <c r="B3697">
        <v>646.79</v>
      </c>
      <c r="C3697">
        <v>648.77</v>
      </c>
      <c r="D3697">
        <v>645.39</v>
      </c>
      <c r="E3697">
        <v>646.92999999999995</v>
      </c>
      <c r="F3697" s="2">
        <v>2820000000</v>
      </c>
    </row>
    <row r="3698" spans="1:6">
      <c r="A3698" s="32">
        <v>38308</v>
      </c>
      <c r="B3698">
        <v>645.15</v>
      </c>
      <c r="C3698">
        <v>645.42999999999995</v>
      </c>
      <c r="D3698">
        <v>641.77</v>
      </c>
      <c r="E3698">
        <v>644.16</v>
      </c>
      <c r="F3698" s="2">
        <v>3410000000</v>
      </c>
    </row>
    <row r="3699" spans="1:6">
      <c r="A3699" s="32">
        <v>38307</v>
      </c>
      <c r="B3699">
        <v>648.05999999999995</v>
      </c>
      <c r="C3699">
        <v>648.78</v>
      </c>
      <c r="D3699">
        <v>642.36</v>
      </c>
      <c r="E3699">
        <v>642.65</v>
      </c>
      <c r="F3699" s="2">
        <v>2940000000</v>
      </c>
    </row>
    <row r="3700" spans="1:6">
      <c r="A3700" s="32">
        <v>38306</v>
      </c>
      <c r="B3700">
        <v>646.41999999999996</v>
      </c>
      <c r="C3700">
        <v>651.1</v>
      </c>
      <c r="D3700">
        <v>644.42999999999995</v>
      </c>
      <c r="E3700">
        <v>647.55999999999995</v>
      </c>
      <c r="F3700" s="2">
        <v>6780000000</v>
      </c>
    </row>
    <row r="3701" spans="1:6">
      <c r="A3701" s="32">
        <v>38303</v>
      </c>
      <c r="B3701">
        <v>629.87</v>
      </c>
      <c r="C3701">
        <v>641.58000000000004</v>
      </c>
      <c r="D3701">
        <v>629.87</v>
      </c>
      <c r="E3701">
        <v>639.74</v>
      </c>
      <c r="F3701" s="2">
        <v>2520000000</v>
      </c>
    </row>
    <row r="3702" spans="1:6">
      <c r="A3702" s="32">
        <v>38302</v>
      </c>
      <c r="B3702">
        <v>628.54999999999995</v>
      </c>
      <c r="C3702">
        <v>630.30999999999995</v>
      </c>
      <c r="D3702">
        <v>623.03</v>
      </c>
      <c r="E3702">
        <v>627.34</v>
      </c>
      <c r="F3702" s="2">
        <v>1530000000</v>
      </c>
    </row>
    <row r="3703" spans="1:6">
      <c r="A3703" s="32">
        <v>38301</v>
      </c>
      <c r="B3703">
        <v>634.08000000000004</v>
      </c>
      <c r="C3703">
        <v>636.66</v>
      </c>
      <c r="D3703">
        <v>625.78</v>
      </c>
      <c r="E3703">
        <v>625.78</v>
      </c>
      <c r="F3703" s="2">
        <v>2110000000</v>
      </c>
    </row>
    <row r="3704" spans="1:6">
      <c r="A3704" s="32">
        <v>38300</v>
      </c>
      <c r="B3704">
        <v>629.99</v>
      </c>
      <c r="C3704">
        <v>634.02</v>
      </c>
      <c r="D3704">
        <v>627.64</v>
      </c>
      <c r="E3704">
        <v>632.94000000000005</v>
      </c>
      <c r="F3704" s="2">
        <v>1460000000</v>
      </c>
    </row>
    <row r="3705" spans="1:6">
      <c r="A3705" s="32">
        <v>38299</v>
      </c>
      <c r="B3705">
        <v>636.59</v>
      </c>
      <c r="C3705">
        <v>636.59</v>
      </c>
      <c r="D3705">
        <v>629.20000000000005</v>
      </c>
      <c r="E3705">
        <v>629.20000000000005</v>
      </c>
      <c r="F3705" s="2">
        <v>927900000</v>
      </c>
    </row>
    <row r="3706" spans="1:6">
      <c r="A3706" s="32">
        <v>38296</v>
      </c>
      <c r="B3706">
        <v>645.34</v>
      </c>
      <c r="C3706">
        <v>645.46</v>
      </c>
      <c r="D3706">
        <v>635.09</v>
      </c>
      <c r="E3706">
        <v>635.09</v>
      </c>
      <c r="F3706" s="2">
        <v>2100000000</v>
      </c>
    </row>
    <row r="3707" spans="1:6">
      <c r="A3707" s="32">
        <v>38295</v>
      </c>
      <c r="B3707">
        <v>644.16999999999996</v>
      </c>
      <c r="C3707">
        <v>644.16999999999996</v>
      </c>
      <c r="D3707">
        <v>636.67999999999995</v>
      </c>
      <c r="E3707">
        <v>639.13</v>
      </c>
      <c r="F3707" s="2">
        <v>1840000000</v>
      </c>
    </row>
    <row r="3708" spans="1:6">
      <c r="A3708" s="32">
        <v>38294</v>
      </c>
      <c r="B3708">
        <v>633.88</v>
      </c>
      <c r="C3708">
        <v>641.29</v>
      </c>
      <c r="D3708">
        <v>633.88</v>
      </c>
      <c r="E3708">
        <v>641.29</v>
      </c>
      <c r="F3708" s="2">
        <v>2140000000</v>
      </c>
    </row>
    <row r="3709" spans="1:6">
      <c r="A3709" s="32">
        <v>38293</v>
      </c>
      <c r="B3709">
        <v>630.97</v>
      </c>
      <c r="C3709">
        <v>636.1</v>
      </c>
      <c r="D3709">
        <v>630.61</v>
      </c>
      <c r="E3709">
        <v>631.99</v>
      </c>
      <c r="F3709" s="2">
        <v>1420000000</v>
      </c>
    </row>
    <row r="3710" spans="1:6">
      <c r="A3710" s="32">
        <v>38292</v>
      </c>
      <c r="B3710">
        <v>629.71</v>
      </c>
      <c r="C3710">
        <v>629.76</v>
      </c>
      <c r="D3710">
        <v>626.54999999999995</v>
      </c>
      <c r="E3710">
        <v>626.96</v>
      </c>
      <c r="F3710" s="2">
        <v>1010000000</v>
      </c>
    </row>
    <row r="3711" spans="1:6">
      <c r="A3711" s="32">
        <v>38289</v>
      </c>
      <c r="B3711">
        <v>616.08000000000004</v>
      </c>
      <c r="C3711">
        <v>628.16</v>
      </c>
      <c r="D3711">
        <v>615.77</v>
      </c>
      <c r="E3711">
        <v>628.16</v>
      </c>
      <c r="F3711" s="2">
        <v>1160000000</v>
      </c>
    </row>
    <row r="3712" spans="1:6">
      <c r="A3712" s="32">
        <v>38288</v>
      </c>
      <c r="B3712">
        <v>633.37</v>
      </c>
      <c r="C3712">
        <v>634.87</v>
      </c>
      <c r="D3712">
        <v>616.9</v>
      </c>
      <c r="E3712">
        <v>621.57000000000005</v>
      </c>
      <c r="F3712" s="2">
        <v>1850000000</v>
      </c>
    </row>
    <row r="3713" spans="1:6">
      <c r="A3713" s="32">
        <v>38287</v>
      </c>
      <c r="B3713">
        <v>643.20000000000005</v>
      </c>
      <c r="C3713">
        <v>643.22</v>
      </c>
      <c r="D3713">
        <v>626.13</v>
      </c>
      <c r="E3713">
        <v>626.85</v>
      </c>
      <c r="F3713" s="2">
        <v>1860000000</v>
      </c>
    </row>
    <row r="3714" spans="1:6">
      <c r="A3714" s="32">
        <v>38286</v>
      </c>
      <c r="B3714">
        <v>656.35</v>
      </c>
      <c r="C3714">
        <v>656.35</v>
      </c>
      <c r="D3714">
        <v>646.59</v>
      </c>
      <c r="E3714">
        <v>648.38</v>
      </c>
      <c r="F3714" s="2">
        <v>1370000000</v>
      </c>
    </row>
    <row r="3715" spans="1:6">
      <c r="A3715" s="32">
        <v>38282</v>
      </c>
      <c r="B3715">
        <v>652.22</v>
      </c>
      <c r="C3715">
        <v>659.05</v>
      </c>
      <c r="D3715">
        <v>652.22</v>
      </c>
      <c r="E3715">
        <v>659.05</v>
      </c>
      <c r="F3715" s="2">
        <v>1520000000</v>
      </c>
    </row>
    <row r="3716" spans="1:6">
      <c r="A3716" s="32">
        <v>38281</v>
      </c>
      <c r="B3716">
        <v>654.04</v>
      </c>
      <c r="C3716">
        <v>655.66</v>
      </c>
      <c r="D3716">
        <v>648.61</v>
      </c>
      <c r="E3716">
        <v>649.27</v>
      </c>
      <c r="F3716" s="2">
        <v>1190000000</v>
      </c>
    </row>
    <row r="3717" spans="1:6">
      <c r="A3717" s="32">
        <v>38280</v>
      </c>
      <c r="B3717">
        <v>655.45</v>
      </c>
      <c r="C3717">
        <v>659.18</v>
      </c>
      <c r="D3717">
        <v>650.80999999999995</v>
      </c>
      <c r="E3717">
        <v>652.46</v>
      </c>
      <c r="F3717" s="2">
        <v>1450000000</v>
      </c>
    </row>
    <row r="3718" spans="1:6">
      <c r="A3718" s="32">
        <v>38279</v>
      </c>
      <c r="B3718">
        <v>650.42999999999995</v>
      </c>
      <c r="C3718">
        <v>661</v>
      </c>
      <c r="D3718">
        <v>650.42999999999995</v>
      </c>
      <c r="E3718">
        <v>661</v>
      </c>
      <c r="F3718" s="2">
        <v>1260000000</v>
      </c>
    </row>
    <row r="3719" spans="1:6">
      <c r="A3719" s="32">
        <v>38278</v>
      </c>
      <c r="B3719">
        <v>650.30999999999995</v>
      </c>
      <c r="C3719">
        <v>653.25</v>
      </c>
      <c r="D3719">
        <v>646.51</v>
      </c>
      <c r="E3719">
        <v>646.51</v>
      </c>
      <c r="F3719" s="2">
        <v>903240000</v>
      </c>
    </row>
    <row r="3720" spans="1:6">
      <c r="A3720" s="32">
        <v>38275</v>
      </c>
      <c r="B3720">
        <v>641.03</v>
      </c>
      <c r="C3720">
        <v>648.6</v>
      </c>
      <c r="D3720">
        <v>640.36</v>
      </c>
      <c r="E3720">
        <v>648.48</v>
      </c>
      <c r="F3720" s="2">
        <v>1450000000</v>
      </c>
    </row>
    <row r="3721" spans="1:6">
      <c r="A3721" s="32">
        <v>38274</v>
      </c>
      <c r="B3721">
        <v>660.97</v>
      </c>
      <c r="C3721">
        <v>660.97</v>
      </c>
      <c r="D3721">
        <v>641.29999999999995</v>
      </c>
      <c r="E3721">
        <v>641.29999999999995</v>
      </c>
      <c r="F3721" s="2">
        <v>1750000000</v>
      </c>
    </row>
    <row r="3722" spans="1:6">
      <c r="A3722" s="32">
        <v>38273</v>
      </c>
      <c r="B3722">
        <v>660.49</v>
      </c>
      <c r="C3722">
        <v>662.2</v>
      </c>
      <c r="D3722">
        <v>652.37</v>
      </c>
      <c r="E3722">
        <v>661.29</v>
      </c>
      <c r="F3722" s="2">
        <v>1660000000</v>
      </c>
    </row>
    <row r="3723" spans="1:6">
      <c r="A3723" s="32">
        <v>38272</v>
      </c>
      <c r="B3723">
        <v>676.85</v>
      </c>
      <c r="C3723">
        <v>676.85</v>
      </c>
      <c r="D3723">
        <v>658.27</v>
      </c>
      <c r="E3723">
        <v>658.27</v>
      </c>
      <c r="F3723" s="2">
        <v>2040000000</v>
      </c>
    </row>
    <row r="3724" spans="1:6">
      <c r="A3724" s="32">
        <v>38271</v>
      </c>
      <c r="B3724">
        <v>677.78</v>
      </c>
      <c r="C3724">
        <v>684.57</v>
      </c>
      <c r="D3724">
        <v>676.09</v>
      </c>
      <c r="E3724">
        <v>677.93</v>
      </c>
      <c r="F3724" s="2">
        <v>2040000000</v>
      </c>
    </row>
    <row r="3725" spans="1:6">
      <c r="A3725" s="32">
        <v>38268</v>
      </c>
      <c r="B3725">
        <v>668.2</v>
      </c>
      <c r="C3725">
        <v>676.15</v>
      </c>
      <c r="D3725">
        <v>667.16</v>
      </c>
      <c r="E3725">
        <v>676.15</v>
      </c>
      <c r="F3725" s="2">
        <v>1910000000</v>
      </c>
    </row>
    <row r="3726" spans="1:6">
      <c r="A3726" s="32">
        <v>38267</v>
      </c>
      <c r="B3726">
        <v>670.41</v>
      </c>
      <c r="C3726">
        <v>675.14</v>
      </c>
      <c r="D3726">
        <v>665.97</v>
      </c>
      <c r="E3726">
        <v>670.06</v>
      </c>
      <c r="F3726" s="2">
        <v>2990000000</v>
      </c>
    </row>
    <row r="3727" spans="1:6">
      <c r="A3727" s="32">
        <v>38266</v>
      </c>
      <c r="B3727">
        <v>674.69</v>
      </c>
      <c r="C3727">
        <v>681.14</v>
      </c>
      <c r="D3727">
        <v>666.7</v>
      </c>
      <c r="E3727">
        <v>668.51</v>
      </c>
      <c r="F3727" s="2">
        <v>3190000000</v>
      </c>
    </row>
    <row r="3728" spans="1:6">
      <c r="A3728" s="32">
        <v>38265</v>
      </c>
      <c r="B3728">
        <v>679.32</v>
      </c>
      <c r="C3728">
        <v>681.82</v>
      </c>
      <c r="D3728">
        <v>671.9</v>
      </c>
      <c r="E3728">
        <v>673.88</v>
      </c>
      <c r="F3728" s="2">
        <v>1850000000</v>
      </c>
    </row>
    <row r="3729" spans="1:6">
      <c r="A3729" s="32">
        <v>38264</v>
      </c>
      <c r="B3729">
        <v>670.45</v>
      </c>
      <c r="C3729">
        <v>679.48</v>
      </c>
      <c r="D3729">
        <v>667.92</v>
      </c>
      <c r="E3729">
        <v>679.13</v>
      </c>
      <c r="F3729" s="2">
        <v>3060000000</v>
      </c>
    </row>
    <row r="3730" spans="1:6">
      <c r="A3730" s="32">
        <v>38261</v>
      </c>
      <c r="B3730">
        <v>647.52</v>
      </c>
      <c r="C3730">
        <v>661.23</v>
      </c>
      <c r="D3730">
        <v>646.9</v>
      </c>
      <c r="E3730">
        <v>661.23</v>
      </c>
      <c r="F3730" s="2">
        <v>2170000000</v>
      </c>
    </row>
    <row r="3731" spans="1:6">
      <c r="A3731" s="32">
        <v>38260</v>
      </c>
      <c r="B3731">
        <v>641.30999999999995</v>
      </c>
      <c r="C3731">
        <v>645.95000000000005</v>
      </c>
      <c r="D3731">
        <v>641.16999999999996</v>
      </c>
      <c r="E3731">
        <v>644.66999999999996</v>
      </c>
      <c r="F3731" s="2">
        <v>1990000000</v>
      </c>
    </row>
    <row r="3732" spans="1:6">
      <c r="A3732" s="32">
        <v>38259</v>
      </c>
      <c r="B3732">
        <v>639.54</v>
      </c>
      <c r="C3732">
        <v>641.66</v>
      </c>
      <c r="D3732">
        <v>636.57000000000005</v>
      </c>
      <c r="E3732">
        <v>636.57000000000005</v>
      </c>
      <c r="F3732" s="2">
        <v>1610000000</v>
      </c>
    </row>
    <row r="3733" spans="1:6">
      <c r="A3733" s="32">
        <v>38258</v>
      </c>
      <c r="B3733">
        <v>641.04</v>
      </c>
      <c r="C3733">
        <v>643.15</v>
      </c>
      <c r="D3733">
        <v>633.35</v>
      </c>
      <c r="E3733">
        <v>637.89</v>
      </c>
      <c r="F3733" s="2">
        <v>1880000000</v>
      </c>
    </row>
    <row r="3734" spans="1:6">
      <c r="A3734" s="32">
        <v>38257</v>
      </c>
      <c r="B3734">
        <v>654.64</v>
      </c>
      <c r="C3734">
        <v>654.64</v>
      </c>
      <c r="D3734">
        <v>645.97</v>
      </c>
      <c r="E3734">
        <v>646.78</v>
      </c>
      <c r="F3734" s="2">
        <v>1520000000</v>
      </c>
    </row>
    <row r="3735" spans="1:6">
      <c r="A3735" s="32">
        <v>38254</v>
      </c>
      <c r="B3735">
        <v>648.77</v>
      </c>
      <c r="C3735">
        <v>654.6</v>
      </c>
      <c r="D3735">
        <v>644.23</v>
      </c>
      <c r="E3735">
        <v>654.6</v>
      </c>
      <c r="F3735" s="2">
        <v>2110000000</v>
      </c>
    </row>
    <row r="3736" spans="1:6">
      <c r="A3736" s="32">
        <v>38253</v>
      </c>
      <c r="B3736">
        <v>661.96</v>
      </c>
      <c r="C3736">
        <v>661.96</v>
      </c>
      <c r="D3736">
        <v>643.32000000000005</v>
      </c>
      <c r="E3736">
        <v>648.79999999999995</v>
      </c>
      <c r="F3736" s="2">
        <v>2660000000</v>
      </c>
    </row>
    <row r="3737" spans="1:6">
      <c r="A3737" s="32">
        <v>38252</v>
      </c>
      <c r="B3737">
        <v>661.87</v>
      </c>
      <c r="C3737">
        <v>667.23</v>
      </c>
      <c r="D3737">
        <v>656.89</v>
      </c>
      <c r="E3737">
        <v>663.51</v>
      </c>
      <c r="F3737" s="2">
        <v>2520000000</v>
      </c>
    </row>
    <row r="3738" spans="1:6">
      <c r="A3738" s="32">
        <v>38251</v>
      </c>
      <c r="B3738">
        <v>669.81</v>
      </c>
      <c r="C3738">
        <v>669.81</v>
      </c>
      <c r="D3738">
        <v>658.29</v>
      </c>
      <c r="E3738">
        <v>660.92</v>
      </c>
      <c r="F3738" s="2">
        <v>2800000000</v>
      </c>
    </row>
    <row r="3739" spans="1:6">
      <c r="A3739" s="32">
        <v>38250</v>
      </c>
      <c r="B3739">
        <v>673.95</v>
      </c>
      <c r="C3739">
        <v>676.4</v>
      </c>
      <c r="D3739">
        <v>667.73</v>
      </c>
      <c r="E3739">
        <v>668.29</v>
      </c>
      <c r="F3739" s="2">
        <v>3650000000</v>
      </c>
    </row>
    <row r="3740" spans="1:6">
      <c r="A3740" s="32">
        <v>38247</v>
      </c>
      <c r="B3740">
        <v>664.67</v>
      </c>
      <c r="C3740">
        <v>669.08</v>
      </c>
      <c r="D3740">
        <v>661.06</v>
      </c>
      <c r="E3740">
        <v>668.73</v>
      </c>
      <c r="F3740" s="2">
        <v>3480000000</v>
      </c>
    </row>
    <row r="3741" spans="1:6">
      <c r="A3741" s="32">
        <v>38246</v>
      </c>
      <c r="B3741">
        <v>666.05</v>
      </c>
      <c r="C3741">
        <v>666.5</v>
      </c>
      <c r="D3741">
        <v>659.26</v>
      </c>
      <c r="E3741">
        <v>662.39</v>
      </c>
      <c r="F3741" s="2">
        <v>3870000000</v>
      </c>
    </row>
    <row r="3742" spans="1:6">
      <c r="A3742" s="32">
        <v>38245</v>
      </c>
      <c r="B3742">
        <v>652.57000000000005</v>
      </c>
      <c r="C3742">
        <v>664.21</v>
      </c>
      <c r="D3742">
        <v>652.57000000000005</v>
      </c>
      <c r="E3742">
        <v>662.28</v>
      </c>
      <c r="F3742" s="2">
        <v>4040000000</v>
      </c>
    </row>
    <row r="3743" spans="1:6">
      <c r="A3743" s="32">
        <v>38244</v>
      </c>
      <c r="B3743">
        <v>650.04</v>
      </c>
      <c r="C3743">
        <v>655.21</v>
      </c>
      <c r="D3743">
        <v>650.04</v>
      </c>
      <c r="E3743">
        <v>651.89</v>
      </c>
      <c r="F3743" s="2">
        <v>3940000000</v>
      </c>
    </row>
    <row r="3744" spans="1:6">
      <c r="A3744" s="32">
        <v>38243</v>
      </c>
      <c r="B3744">
        <v>642.44000000000005</v>
      </c>
      <c r="C3744">
        <v>651.14</v>
      </c>
      <c r="D3744">
        <v>642.44000000000005</v>
      </c>
      <c r="E3744">
        <v>649.92999999999995</v>
      </c>
      <c r="F3744" s="2">
        <v>3320000000</v>
      </c>
    </row>
    <row r="3745" spans="1:6">
      <c r="A3745" s="32">
        <v>38240</v>
      </c>
      <c r="B3745">
        <v>640.41</v>
      </c>
      <c r="C3745">
        <v>643.02</v>
      </c>
      <c r="D3745">
        <v>637.87</v>
      </c>
      <c r="E3745">
        <v>640.6</v>
      </c>
      <c r="F3745" s="2">
        <v>3110000000</v>
      </c>
    </row>
    <row r="3746" spans="1:6">
      <c r="A3746" s="32">
        <v>38239</v>
      </c>
      <c r="B3746">
        <v>630.96</v>
      </c>
      <c r="C3746">
        <v>641.04</v>
      </c>
      <c r="D3746">
        <v>630.85</v>
      </c>
      <c r="E3746">
        <v>641.04</v>
      </c>
      <c r="F3746" s="2">
        <v>2990000000</v>
      </c>
    </row>
    <row r="3747" spans="1:6">
      <c r="A3747" s="32">
        <v>38238</v>
      </c>
      <c r="B3747">
        <v>633.94000000000005</v>
      </c>
      <c r="C3747">
        <v>634.98</v>
      </c>
      <c r="D3747">
        <v>629.29</v>
      </c>
      <c r="E3747">
        <v>630.21</v>
      </c>
      <c r="F3747" s="2">
        <v>1660000000</v>
      </c>
    </row>
    <row r="3748" spans="1:6">
      <c r="A3748" s="32">
        <v>38237</v>
      </c>
      <c r="B3748">
        <v>633.13</v>
      </c>
      <c r="C3748">
        <v>635.52</v>
      </c>
      <c r="D3748">
        <v>628.02</v>
      </c>
      <c r="E3748">
        <v>631.4</v>
      </c>
      <c r="F3748" s="2">
        <v>1800000000</v>
      </c>
    </row>
    <row r="3749" spans="1:6">
      <c r="A3749" s="32">
        <v>38236</v>
      </c>
      <c r="B3749">
        <v>628.52</v>
      </c>
      <c r="C3749">
        <v>632.95000000000005</v>
      </c>
      <c r="D3749">
        <v>627.47</v>
      </c>
      <c r="E3749">
        <v>630.87</v>
      </c>
      <c r="F3749" s="2">
        <v>1640000000</v>
      </c>
    </row>
    <row r="3750" spans="1:6">
      <c r="A3750" s="32">
        <v>38233</v>
      </c>
      <c r="B3750">
        <v>631.09</v>
      </c>
      <c r="C3750">
        <v>636.54999999999995</v>
      </c>
      <c r="D3750">
        <v>627.91</v>
      </c>
      <c r="E3750">
        <v>629.08000000000004</v>
      </c>
      <c r="F3750" s="2">
        <v>2620000000</v>
      </c>
    </row>
    <row r="3751" spans="1:6">
      <c r="A3751" s="32">
        <v>38232</v>
      </c>
      <c r="B3751">
        <v>628.58000000000004</v>
      </c>
      <c r="C3751">
        <v>632.77</v>
      </c>
      <c r="D3751">
        <v>626.09</v>
      </c>
      <c r="E3751">
        <v>628.78</v>
      </c>
      <c r="F3751" s="2">
        <v>3810000000</v>
      </c>
    </row>
    <row r="3752" spans="1:6">
      <c r="A3752" s="32">
        <v>38231</v>
      </c>
      <c r="B3752">
        <v>627.1</v>
      </c>
      <c r="C3752">
        <v>631.32000000000005</v>
      </c>
      <c r="D3752">
        <v>623.99</v>
      </c>
      <c r="E3752">
        <v>628.80999999999995</v>
      </c>
      <c r="F3752" s="2">
        <v>4100000000</v>
      </c>
    </row>
    <row r="3753" spans="1:6">
      <c r="A3753" s="32">
        <v>38230</v>
      </c>
      <c r="B3753">
        <v>613.87</v>
      </c>
      <c r="C3753">
        <v>624.87</v>
      </c>
      <c r="D3753">
        <v>613.53</v>
      </c>
      <c r="E3753">
        <v>624.59</v>
      </c>
      <c r="F3753" s="2">
        <v>3320000000</v>
      </c>
    </row>
    <row r="3754" spans="1:6">
      <c r="A3754" s="32">
        <v>38229</v>
      </c>
      <c r="B3754">
        <v>620.58000000000004</v>
      </c>
      <c r="C3754">
        <v>620.58000000000004</v>
      </c>
      <c r="D3754">
        <v>612.45000000000005</v>
      </c>
      <c r="E3754">
        <v>612.45000000000005</v>
      </c>
      <c r="F3754" s="2">
        <v>1470000000</v>
      </c>
    </row>
    <row r="3755" spans="1:6">
      <c r="A3755" s="32">
        <v>38226</v>
      </c>
      <c r="B3755">
        <v>620.08000000000004</v>
      </c>
      <c r="C3755">
        <v>622.41</v>
      </c>
      <c r="D3755">
        <v>616.46</v>
      </c>
      <c r="E3755">
        <v>620.12</v>
      </c>
      <c r="F3755" s="2">
        <v>3140000000</v>
      </c>
    </row>
    <row r="3756" spans="1:6">
      <c r="A3756" s="32">
        <v>38225</v>
      </c>
      <c r="B3756">
        <v>613.28</v>
      </c>
      <c r="C3756">
        <v>618.04</v>
      </c>
      <c r="D3756">
        <v>611.9</v>
      </c>
      <c r="E3756">
        <v>617.07000000000005</v>
      </c>
      <c r="F3756" s="2">
        <v>4170000000</v>
      </c>
    </row>
    <row r="3757" spans="1:6">
      <c r="A3757" s="32">
        <v>38224</v>
      </c>
      <c r="B3757">
        <v>600.01</v>
      </c>
      <c r="C3757">
        <v>609.04</v>
      </c>
      <c r="D3757">
        <v>599.32000000000005</v>
      </c>
      <c r="E3757">
        <v>607.69000000000005</v>
      </c>
      <c r="F3757" s="2">
        <v>2190000000</v>
      </c>
    </row>
    <row r="3758" spans="1:6">
      <c r="A3758" s="32">
        <v>38223</v>
      </c>
      <c r="B3758">
        <v>599.03</v>
      </c>
      <c r="C3758">
        <v>601.20000000000005</v>
      </c>
      <c r="D3758">
        <v>596.76</v>
      </c>
      <c r="E3758">
        <v>600.03</v>
      </c>
      <c r="F3758" s="2">
        <v>1680000000</v>
      </c>
    </row>
    <row r="3759" spans="1:6">
      <c r="A3759" s="32">
        <v>38222</v>
      </c>
      <c r="B3759">
        <v>601.6</v>
      </c>
      <c r="C3759">
        <v>602.38</v>
      </c>
      <c r="D3759">
        <v>596.65</v>
      </c>
      <c r="E3759">
        <v>599.54999999999995</v>
      </c>
      <c r="F3759" s="2">
        <v>1230000000</v>
      </c>
    </row>
    <row r="3760" spans="1:6">
      <c r="A3760" s="32">
        <v>38219</v>
      </c>
      <c r="B3760">
        <v>601.32000000000005</v>
      </c>
      <c r="C3760">
        <v>603.66</v>
      </c>
      <c r="D3760">
        <v>598.54999999999995</v>
      </c>
      <c r="E3760">
        <v>598.54999999999995</v>
      </c>
      <c r="F3760" s="2">
        <v>1830000000</v>
      </c>
    </row>
    <row r="3761" spans="1:6">
      <c r="A3761" s="32">
        <v>38218</v>
      </c>
      <c r="B3761">
        <v>608.96</v>
      </c>
      <c r="C3761">
        <v>610.34</v>
      </c>
      <c r="D3761">
        <v>602.08000000000004</v>
      </c>
      <c r="E3761">
        <v>602.54</v>
      </c>
      <c r="F3761" s="2">
        <v>2000000000</v>
      </c>
    </row>
    <row r="3762" spans="1:6">
      <c r="A3762" s="32">
        <v>38217</v>
      </c>
      <c r="B3762">
        <v>603.41</v>
      </c>
      <c r="C3762">
        <v>612.22</v>
      </c>
      <c r="D3762">
        <v>601.08000000000004</v>
      </c>
      <c r="E3762">
        <v>605.29999999999995</v>
      </c>
      <c r="F3762" s="2">
        <v>4400000000</v>
      </c>
    </row>
    <row r="3763" spans="1:6">
      <c r="A3763" s="32">
        <v>38216</v>
      </c>
      <c r="B3763">
        <v>601.87</v>
      </c>
      <c r="C3763">
        <v>603.79999999999995</v>
      </c>
      <c r="D3763">
        <v>598.63</v>
      </c>
      <c r="E3763">
        <v>602.75</v>
      </c>
      <c r="F3763" s="2">
        <v>2640000000</v>
      </c>
    </row>
    <row r="3764" spans="1:6">
      <c r="A3764" s="32">
        <v>38215</v>
      </c>
      <c r="B3764">
        <v>589.65</v>
      </c>
      <c r="C3764">
        <v>597.04999999999995</v>
      </c>
      <c r="D3764">
        <v>587.1</v>
      </c>
      <c r="E3764">
        <v>596.98</v>
      </c>
      <c r="F3764" s="2">
        <v>1840000000</v>
      </c>
    </row>
    <row r="3765" spans="1:6">
      <c r="A3765" s="32">
        <v>38212</v>
      </c>
      <c r="B3765">
        <v>591.67999999999995</v>
      </c>
      <c r="C3765">
        <v>597.52</v>
      </c>
      <c r="D3765">
        <v>586.80999999999995</v>
      </c>
      <c r="E3765">
        <v>588.87</v>
      </c>
      <c r="F3765" s="2">
        <v>2570000000</v>
      </c>
    </row>
    <row r="3766" spans="1:6">
      <c r="A3766" s="32">
        <v>38210</v>
      </c>
      <c r="B3766">
        <v>610.16999999999996</v>
      </c>
      <c r="C3766">
        <v>612.4</v>
      </c>
      <c r="D3766">
        <v>592.88</v>
      </c>
      <c r="E3766">
        <v>595.6</v>
      </c>
      <c r="F3766" s="2">
        <v>2060000000</v>
      </c>
    </row>
    <row r="3767" spans="1:6">
      <c r="A3767" s="32">
        <v>38209</v>
      </c>
      <c r="B3767">
        <v>609.32000000000005</v>
      </c>
      <c r="C3767">
        <v>610.69000000000005</v>
      </c>
      <c r="D3767">
        <v>603.27</v>
      </c>
      <c r="E3767">
        <v>606.94000000000005</v>
      </c>
      <c r="F3767" s="2">
        <v>1020000000</v>
      </c>
    </row>
    <row r="3768" spans="1:6">
      <c r="A3768" s="32">
        <v>38208</v>
      </c>
      <c r="B3768">
        <v>605.84</v>
      </c>
      <c r="C3768">
        <v>611.91</v>
      </c>
      <c r="D3768">
        <v>605.25</v>
      </c>
      <c r="E3768">
        <v>607.47</v>
      </c>
      <c r="F3768" s="2">
        <v>1080000000</v>
      </c>
    </row>
    <row r="3769" spans="1:6">
      <c r="A3769" s="32">
        <v>38205</v>
      </c>
      <c r="B3769">
        <v>610.58000000000004</v>
      </c>
      <c r="C3769">
        <v>613.98</v>
      </c>
      <c r="D3769">
        <v>609.57000000000005</v>
      </c>
      <c r="E3769">
        <v>610.94000000000005</v>
      </c>
      <c r="F3769" s="2">
        <v>1080000000</v>
      </c>
    </row>
    <row r="3770" spans="1:6">
      <c r="A3770" s="32">
        <v>38204</v>
      </c>
      <c r="B3770">
        <v>622.78</v>
      </c>
      <c r="C3770">
        <v>623.04999999999995</v>
      </c>
      <c r="D3770">
        <v>611.94000000000005</v>
      </c>
      <c r="E3770">
        <v>618.9</v>
      </c>
      <c r="F3770" s="2">
        <v>1640000000</v>
      </c>
    </row>
    <row r="3771" spans="1:6">
      <c r="A3771" s="32">
        <v>38203</v>
      </c>
      <c r="B3771">
        <v>627.47</v>
      </c>
      <c r="C3771">
        <v>627.47</v>
      </c>
      <c r="D3771">
        <v>619.19000000000005</v>
      </c>
      <c r="E3771">
        <v>619.19000000000005</v>
      </c>
      <c r="F3771" s="2">
        <v>1160000000</v>
      </c>
    </row>
    <row r="3772" spans="1:6">
      <c r="A3772" s="32">
        <v>38202</v>
      </c>
      <c r="B3772">
        <v>636.83000000000004</v>
      </c>
      <c r="C3772">
        <v>636.83000000000004</v>
      </c>
      <c r="D3772">
        <v>630.80999999999995</v>
      </c>
      <c r="E3772">
        <v>630.80999999999995</v>
      </c>
      <c r="F3772" s="2">
        <v>754080000</v>
      </c>
    </row>
    <row r="3773" spans="1:6">
      <c r="A3773" s="32">
        <v>38198</v>
      </c>
      <c r="B3773">
        <v>633.80999999999995</v>
      </c>
      <c r="C3773">
        <v>637.66999999999996</v>
      </c>
      <c r="D3773">
        <v>632.54</v>
      </c>
      <c r="E3773">
        <v>636.70000000000005</v>
      </c>
      <c r="F3773" s="2">
        <v>1050000000</v>
      </c>
    </row>
    <row r="3774" spans="1:6">
      <c r="A3774" s="32">
        <v>38197</v>
      </c>
      <c r="B3774">
        <v>633.54999999999995</v>
      </c>
      <c r="C3774">
        <v>634.48</v>
      </c>
      <c r="D3774">
        <v>625.23</v>
      </c>
      <c r="E3774">
        <v>631.41999999999996</v>
      </c>
      <c r="F3774" s="2">
        <v>1400000000</v>
      </c>
    </row>
    <row r="3775" spans="1:6">
      <c r="A3775" s="32">
        <v>38196</v>
      </c>
      <c r="B3775">
        <v>640.38</v>
      </c>
      <c r="C3775">
        <v>640.38</v>
      </c>
      <c r="D3775">
        <v>631.05999999999995</v>
      </c>
      <c r="E3775">
        <v>634.73</v>
      </c>
      <c r="F3775" s="2">
        <v>1250000000</v>
      </c>
    </row>
    <row r="3776" spans="1:6">
      <c r="A3776" s="32">
        <v>38195</v>
      </c>
      <c r="B3776">
        <v>633.41999999999996</v>
      </c>
      <c r="C3776">
        <v>638.15</v>
      </c>
      <c r="D3776">
        <v>632.13</v>
      </c>
      <c r="E3776">
        <v>633.21</v>
      </c>
      <c r="F3776" s="2">
        <v>1440000000</v>
      </c>
    </row>
    <row r="3777" spans="1:6">
      <c r="A3777" s="32">
        <v>38194</v>
      </c>
      <c r="B3777">
        <v>647.76</v>
      </c>
      <c r="C3777">
        <v>647.98</v>
      </c>
      <c r="D3777">
        <v>633.41999999999996</v>
      </c>
      <c r="E3777">
        <v>633.41999999999996</v>
      </c>
      <c r="F3777" s="2">
        <v>1410000000</v>
      </c>
    </row>
    <row r="3778" spans="1:6">
      <c r="A3778" s="32">
        <v>38191</v>
      </c>
      <c r="B3778">
        <v>651.09</v>
      </c>
      <c r="C3778">
        <v>651.59</v>
      </c>
      <c r="D3778">
        <v>646.24</v>
      </c>
      <c r="E3778">
        <v>648.47</v>
      </c>
      <c r="F3778" s="2">
        <v>1700000000</v>
      </c>
    </row>
    <row r="3779" spans="1:6">
      <c r="A3779" s="32">
        <v>38190</v>
      </c>
      <c r="B3779">
        <v>654.89</v>
      </c>
      <c r="C3779">
        <v>654.89</v>
      </c>
      <c r="D3779">
        <v>648.83000000000004</v>
      </c>
      <c r="E3779">
        <v>650.12</v>
      </c>
      <c r="F3779" s="2">
        <v>1690000000</v>
      </c>
    </row>
    <row r="3780" spans="1:6">
      <c r="A3780" s="32">
        <v>38189</v>
      </c>
      <c r="B3780">
        <v>650.57000000000005</v>
      </c>
      <c r="C3780">
        <v>656.54</v>
      </c>
      <c r="D3780">
        <v>650.57000000000005</v>
      </c>
      <c r="E3780">
        <v>655.82</v>
      </c>
      <c r="F3780" s="2">
        <v>2110000000</v>
      </c>
    </row>
    <row r="3781" spans="1:6">
      <c r="A3781" s="32">
        <v>38188</v>
      </c>
      <c r="B3781">
        <v>641.26</v>
      </c>
      <c r="C3781">
        <v>648.24</v>
      </c>
      <c r="D3781">
        <v>641.26</v>
      </c>
      <c r="E3781">
        <v>645.58000000000004</v>
      </c>
      <c r="F3781" s="2">
        <v>1290000000</v>
      </c>
    </row>
    <row r="3782" spans="1:6">
      <c r="A3782" s="32">
        <v>38187</v>
      </c>
      <c r="B3782">
        <v>644.25</v>
      </c>
      <c r="C3782">
        <v>644.25</v>
      </c>
      <c r="D3782">
        <v>637.85</v>
      </c>
      <c r="E3782">
        <v>642.12</v>
      </c>
      <c r="F3782" s="2">
        <v>1500000000</v>
      </c>
    </row>
    <row r="3783" spans="1:6">
      <c r="A3783" s="32">
        <v>38184</v>
      </c>
      <c r="B3783">
        <v>646.77</v>
      </c>
      <c r="C3783">
        <v>651.62</v>
      </c>
      <c r="D3783">
        <v>644.28</v>
      </c>
      <c r="E3783">
        <v>646.11</v>
      </c>
      <c r="F3783" s="2">
        <v>2080000000</v>
      </c>
    </row>
    <row r="3784" spans="1:6">
      <c r="A3784" s="32">
        <v>38183</v>
      </c>
      <c r="B3784">
        <v>652.79999999999995</v>
      </c>
      <c r="C3784">
        <v>654.84</v>
      </c>
      <c r="D3784">
        <v>644.35</v>
      </c>
      <c r="E3784">
        <v>646.76</v>
      </c>
      <c r="F3784" s="2">
        <v>1820000000</v>
      </c>
    </row>
    <row r="3785" spans="1:6">
      <c r="A3785" s="32">
        <v>38182</v>
      </c>
      <c r="B3785">
        <v>664.07</v>
      </c>
      <c r="C3785">
        <v>664.99</v>
      </c>
      <c r="D3785">
        <v>650.30999999999995</v>
      </c>
      <c r="E3785">
        <v>652.79</v>
      </c>
      <c r="F3785" s="2">
        <v>2360000000</v>
      </c>
    </row>
    <row r="3786" spans="1:6">
      <c r="A3786" s="32">
        <v>38181</v>
      </c>
      <c r="B3786">
        <v>661.07</v>
      </c>
      <c r="C3786">
        <v>666.9</v>
      </c>
      <c r="D3786">
        <v>659.92</v>
      </c>
      <c r="E3786">
        <v>663</v>
      </c>
      <c r="F3786" s="2">
        <v>1960000000</v>
      </c>
    </row>
    <row r="3787" spans="1:6">
      <c r="A3787" s="32">
        <v>38180</v>
      </c>
      <c r="B3787">
        <v>667.03</v>
      </c>
      <c r="C3787">
        <v>668.24</v>
      </c>
      <c r="D3787">
        <v>661.45</v>
      </c>
      <c r="E3787">
        <v>661.49</v>
      </c>
      <c r="F3787" s="2">
        <v>2500000000</v>
      </c>
    </row>
    <row r="3788" spans="1:6">
      <c r="A3788" s="32">
        <v>38177</v>
      </c>
      <c r="B3788">
        <v>659.86</v>
      </c>
      <c r="C3788">
        <v>666.59</v>
      </c>
      <c r="D3788">
        <v>656.66</v>
      </c>
      <c r="E3788">
        <v>666.59</v>
      </c>
      <c r="F3788" s="2">
        <v>2000000000</v>
      </c>
    </row>
    <row r="3789" spans="1:6">
      <c r="A3789" s="32">
        <v>38176</v>
      </c>
      <c r="B3789">
        <v>668.92</v>
      </c>
      <c r="C3789">
        <v>671.1</v>
      </c>
      <c r="D3789">
        <v>659.04</v>
      </c>
      <c r="E3789">
        <v>659.14</v>
      </c>
      <c r="F3789" s="2">
        <v>2590000000</v>
      </c>
    </row>
    <row r="3790" spans="1:6">
      <c r="A3790" s="32">
        <v>38175</v>
      </c>
      <c r="B3790">
        <v>661.57</v>
      </c>
      <c r="C3790">
        <v>669.83</v>
      </c>
      <c r="D3790">
        <v>661.09</v>
      </c>
      <c r="E3790">
        <v>666.43</v>
      </c>
      <c r="F3790" s="2">
        <v>3420000000</v>
      </c>
    </row>
    <row r="3791" spans="1:6">
      <c r="A3791" s="32">
        <v>38174</v>
      </c>
      <c r="B3791">
        <v>658.26</v>
      </c>
      <c r="C3791">
        <v>666.87</v>
      </c>
      <c r="D3791">
        <v>656.4</v>
      </c>
      <c r="E3791">
        <v>664.69</v>
      </c>
      <c r="F3791" s="2">
        <v>2510000000</v>
      </c>
    </row>
    <row r="3792" spans="1:6">
      <c r="A3792" s="32">
        <v>38173</v>
      </c>
      <c r="B3792">
        <v>648.6</v>
      </c>
      <c r="C3792">
        <v>655.87</v>
      </c>
      <c r="D3792">
        <v>646.54999999999995</v>
      </c>
      <c r="E3792">
        <v>655.87</v>
      </c>
      <c r="F3792" s="2">
        <v>1110000000</v>
      </c>
    </row>
    <row r="3793" spans="1:6">
      <c r="A3793" s="32">
        <v>38170</v>
      </c>
      <c r="B3793">
        <v>642.45000000000005</v>
      </c>
      <c r="C3793">
        <v>647.57000000000005</v>
      </c>
      <c r="D3793">
        <v>640.21</v>
      </c>
      <c r="E3793">
        <v>647.57000000000005</v>
      </c>
      <c r="F3793" s="2">
        <v>1000000000</v>
      </c>
    </row>
    <row r="3794" spans="1:6">
      <c r="A3794" s="32">
        <v>38168</v>
      </c>
      <c r="B3794">
        <v>654.12</v>
      </c>
      <c r="C3794">
        <v>656.32</v>
      </c>
      <c r="D3794">
        <v>646.64</v>
      </c>
      <c r="E3794">
        <v>646.64</v>
      </c>
      <c r="F3794" s="2">
        <v>2590000000</v>
      </c>
    </row>
    <row r="3795" spans="1:6">
      <c r="A3795" s="32">
        <v>38167</v>
      </c>
      <c r="B3795">
        <v>652.89</v>
      </c>
      <c r="C3795">
        <v>655.19000000000005</v>
      </c>
      <c r="D3795">
        <v>647.49</v>
      </c>
      <c r="E3795">
        <v>649.62</v>
      </c>
      <c r="F3795" s="2">
        <v>2630000000</v>
      </c>
    </row>
    <row r="3796" spans="1:6">
      <c r="A3796" s="32">
        <v>38166</v>
      </c>
      <c r="B3796">
        <v>647.86</v>
      </c>
      <c r="C3796">
        <v>651.86</v>
      </c>
      <c r="D3796">
        <v>646.48</v>
      </c>
      <c r="E3796">
        <v>651.86</v>
      </c>
      <c r="F3796" s="2">
        <v>2710000000</v>
      </c>
    </row>
    <row r="3797" spans="1:6">
      <c r="A3797" s="32">
        <v>38163</v>
      </c>
      <c r="B3797">
        <v>641.54999999999995</v>
      </c>
      <c r="C3797">
        <v>645.74</v>
      </c>
      <c r="D3797">
        <v>639.01</v>
      </c>
      <c r="E3797">
        <v>644</v>
      </c>
      <c r="F3797" s="2">
        <v>2600000000</v>
      </c>
    </row>
    <row r="3798" spans="1:6">
      <c r="A3798" s="32">
        <v>38162</v>
      </c>
      <c r="B3798">
        <v>631.26</v>
      </c>
      <c r="C3798">
        <v>638.47</v>
      </c>
      <c r="D3798">
        <v>631.26</v>
      </c>
      <c r="E3798">
        <v>637.03</v>
      </c>
      <c r="F3798" s="2">
        <v>2020000000</v>
      </c>
    </row>
    <row r="3799" spans="1:6">
      <c r="A3799" s="32">
        <v>38161</v>
      </c>
      <c r="B3799">
        <v>631.28</v>
      </c>
      <c r="C3799">
        <v>631.96</v>
      </c>
      <c r="D3799">
        <v>626.19000000000005</v>
      </c>
      <c r="E3799">
        <v>627.24</v>
      </c>
      <c r="F3799" s="2">
        <v>1630000000</v>
      </c>
    </row>
    <row r="3800" spans="1:6">
      <c r="A3800" s="32">
        <v>38160</v>
      </c>
      <c r="B3800">
        <v>631.78</v>
      </c>
      <c r="C3800">
        <v>635.34</v>
      </c>
      <c r="D3800">
        <v>628.36</v>
      </c>
      <c r="E3800">
        <v>629.36</v>
      </c>
      <c r="F3800" s="2">
        <v>2680000000</v>
      </c>
    </row>
    <row r="3801" spans="1:6">
      <c r="A3801" s="32">
        <v>38159</v>
      </c>
      <c r="B3801">
        <v>624.88</v>
      </c>
      <c r="C3801">
        <v>631.52</v>
      </c>
      <c r="D3801">
        <v>624</v>
      </c>
      <c r="E3801">
        <v>630.03</v>
      </c>
      <c r="F3801" s="2">
        <v>2430000000</v>
      </c>
    </row>
    <row r="3802" spans="1:6">
      <c r="A3802" s="32">
        <v>38156</v>
      </c>
      <c r="B3802">
        <v>621.54</v>
      </c>
      <c r="C3802">
        <v>624.01</v>
      </c>
      <c r="D3802">
        <v>620.41</v>
      </c>
      <c r="E3802">
        <v>622.71</v>
      </c>
      <c r="F3802" s="2">
        <v>1960000000</v>
      </c>
    </row>
    <row r="3803" spans="1:6">
      <c r="A3803" s="32">
        <v>38155</v>
      </c>
      <c r="B3803">
        <v>624.80999999999995</v>
      </c>
      <c r="C3803">
        <v>629.24</v>
      </c>
      <c r="D3803">
        <v>621.69000000000005</v>
      </c>
      <c r="E3803">
        <v>623.72</v>
      </c>
      <c r="F3803" s="2">
        <v>2870000000</v>
      </c>
    </row>
    <row r="3804" spans="1:6">
      <c r="A3804" s="32">
        <v>38154</v>
      </c>
      <c r="B3804">
        <v>616.4</v>
      </c>
      <c r="C3804">
        <v>626.13</v>
      </c>
      <c r="D3804">
        <v>616.4</v>
      </c>
      <c r="E3804">
        <v>624.36</v>
      </c>
      <c r="F3804" s="2">
        <v>3600000000</v>
      </c>
    </row>
    <row r="3805" spans="1:6">
      <c r="A3805" s="32">
        <v>38153</v>
      </c>
      <c r="B3805">
        <v>609.64</v>
      </c>
      <c r="C3805">
        <v>616.84</v>
      </c>
      <c r="D3805">
        <v>609.30999999999995</v>
      </c>
      <c r="E3805">
        <v>613.76</v>
      </c>
      <c r="F3805" s="2">
        <v>1420000000</v>
      </c>
    </row>
    <row r="3806" spans="1:6">
      <c r="A3806" s="32">
        <v>38152</v>
      </c>
      <c r="B3806">
        <v>613.70000000000005</v>
      </c>
      <c r="C3806">
        <v>617.30999999999995</v>
      </c>
      <c r="D3806">
        <v>607.41</v>
      </c>
      <c r="E3806">
        <v>614</v>
      </c>
      <c r="F3806" s="2">
        <v>1640000000</v>
      </c>
    </row>
    <row r="3807" spans="1:6">
      <c r="A3807" s="32">
        <v>38149</v>
      </c>
      <c r="B3807">
        <v>612.54</v>
      </c>
      <c r="C3807">
        <v>618.36</v>
      </c>
      <c r="D3807">
        <v>612.02</v>
      </c>
      <c r="E3807">
        <v>613.13</v>
      </c>
      <c r="F3807" s="2">
        <v>2250000000</v>
      </c>
    </row>
    <row r="3808" spans="1:6">
      <c r="A3808" s="32">
        <v>38148</v>
      </c>
      <c r="B3808">
        <v>610.11</v>
      </c>
      <c r="C3808">
        <v>613.65</v>
      </c>
      <c r="D3808">
        <v>608.21</v>
      </c>
      <c r="E3808">
        <v>612.21</v>
      </c>
      <c r="F3808" s="2">
        <v>1680000000</v>
      </c>
    </row>
    <row r="3809" spans="1:6">
      <c r="A3809" s="32">
        <v>38147</v>
      </c>
      <c r="B3809">
        <v>607.38</v>
      </c>
      <c r="C3809">
        <v>613.02</v>
      </c>
      <c r="D3809">
        <v>605.66</v>
      </c>
      <c r="E3809">
        <v>611.61</v>
      </c>
      <c r="F3809" s="2">
        <v>1260000000</v>
      </c>
    </row>
    <row r="3810" spans="1:6">
      <c r="A3810" s="32">
        <v>38146</v>
      </c>
      <c r="B3810">
        <v>627.79999999999995</v>
      </c>
      <c r="C3810">
        <v>628.23</v>
      </c>
      <c r="D3810">
        <v>610.88</v>
      </c>
      <c r="E3810">
        <v>611.46</v>
      </c>
      <c r="F3810" s="2">
        <v>1970000000</v>
      </c>
    </row>
    <row r="3811" spans="1:6">
      <c r="A3811" s="32">
        <v>38145</v>
      </c>
      <c r="B3811">
        <v>631.04999999999995</v>
      </c>
      <c r="C3811">
        <v>633.67999999999995</v>
      </c>
      <c r="D3811">
        <v>624.41</v>
      </c>
      <c r="E3811">
        <v>625.83000000000004</v>
      </c>
      <c r="F3811" s="2">
        <v>2060000000</v>
      </c>
    </row>
    <row r="3812" spans="1:6">
      <c r="A3812" s="32">
        <v>38142</v>
      </c>
      <c r="B3812">
        <v>625.99</v>
      </c>
      <c r="C3812">
        <v>628.19000000000005</v>
      </c>
      <c r="D3812">
        <v>622.08000000000004</v>
      </c>
      <c r="E3812">
        <v>626.47</v>
      </c>
      <c r="F3812" s="2">
        <v>1800000000</v>
      </c>
    </row>
    <row r="3813" spans="1:6">
      <c r="A3813" s="32">
        <v>38141</v>
      </c>
      <c r="B3813">
        <v>636.61</v>
      </c>
      <c r="C3813">
        <v>640.25</v>
      </c>
      <c r="D3813">
        <v>623.03</v>
      </c>
      <c r="E3813">
        <v>627.54</v>
      </c>
      <c r="F3813" s="2">
        <v>2740000000</v>
      </c>
    </row>
    <row r="3814" spans="1:6">
      <c r="A3814" s="32">
        <v>38139</v>
      </c>
      <c r="B3814">
        <v>641.16999999999996</v>
      </c>
      <c r="C3814">
        <v>642.64</v>
      </c>
      <c r="D3814">
        <v>634.36</v>
      </c>
      <c r="E3814">
        <v>635.01</v>
      </c>
      <c r="F3814" s="2">
        <v>3570000000</v>
      </c>
    </row>
    <row r="3815" spans="1:6">
      <c r="A3815" s="32">
        <v>38138</v>
      </c>
      <c r="B3815">
        <v>627.30999999999995</v>
      </c>
      <c r="C3815">
        <v>641.04999999999995</v>
      </c>
      <c r="D3815">
        <v>625.83000000000004</v>
      </c>
      <c r="E3815">
        <v>641.04999999999995</v>
      </c>
      <c r="F3815" s="2">
        <v>2590000000</v>
      </c>
    </row>
    <row r="3816" spans="1:6">
      <c r="A3816" s="32">
        <v>38135</v>
      </c>
      <c r="B3816">
        <v>639.92999999999995</v>
      </c>
      <c r="C3816">
        <v>642.54999999999995</v>
      </c>
      <c r="D3816">
        <v>632.75</v>
      </c>
      <c r="E3816">
        <v>638.59</v>
      </c>
      <c r="F3816" s="2">
        <v>4380000000</v>
      </c>
    </row>
    <row r="3817" spans="1:6">
      <c r="A3817" s="32">
        <v>38134</v>
      </c>
      <c r="B3817">
        <v>614.65</v>
      </c>
      <c r="C3817">
        <v>630.72</v>
      </c>
      <c r="D3817">
        <v>614.6</v>
      </c>
      <c r="E3817">
        <v>630.72</v>
      </c>
      <c r="F3817" s="2">
        <v>3580000000</v>
      </c>
    </row>
    <row r="3818" spans="1:6">
      <c r="A3818" s="32">
        <v>38133</v>
      </c>
      <c r="B3818">
        <v>611.11</v>
      </c>
      <c r="C3818">
        <v>612.59</v>
      </c>
      <c r="D3818">
        <v>607.16999999999996</v>
      </c>
      <c r="E3818">
        <v>609.6</v>
      </c>
      <c r="F3818" s="2">
        <v>2450000000</v>
      </c>
    </row>
    <row r="3819" spans="1:6">
      <c r="A3819" s="32">
        <v>38132</v>
      </c>
      <c r="B3819">
        <v>608.79999999999995</v>
      </c>
      <c r="C3819">
        <v>608.79999999999995</v>
      </c>
      <c r="D3819">
        <v>600.52</v>
      </c>
      <c r="E3819">
        <v>601.51</v>
      </c>
      <c r="F3819" s="2">
        <v>2030000000</v>
      </c>
    </row>
    <row r="3820" spans="1:6">
      <c r="A3820" s="32">
        <v>38131</v>
      </c>
      <c r="B3820">
        <v>621.91</v>
      </c>
      <c r="C3820">
        <v>623.24</v>
      </c>
      <c r="D3820">
        <v>608.89</v>
      </c>
      <c r="E3820">
        <v>608.9</v>
      </c>
      <c r="F3820" s="2">
        <v>2290000000</v>
      </c>
    </row>
    <row r="3821" spans="1:6">
      <c r="A3821" s="32">
        <v>38128</v>
      </c>
      <c r="B3821">
        <v>603.08000000000004</v>
      </c>
      <c r="C3821">
        <v>617.89</v>
      </c>
      <c r="D3821">
        <v>603.08000000000004</v>
      </c>
      <c r="E3821">
        <v>615.41</v>
      </c>
      <c r="F3821" s="2">
        <v>2840000000</v>
      </c>
    </row>
    <row r="3822" spans="1:6">
      <c r="A3822" s="32">
        <v>38127</v>
      </c>
      <c r="B3822">
        <v>614.87</v>
      </c>
      <c r="C3822">
        <v>614.87</v>
      </c>
      <c r="D3822">
        <v>594.91999999999996</v>
      </c>
      <c r="E3822">
        <v>599.88</v>
      </c>
      <c r="F3822" s="2">
        <v>2360000000</v>
      </c>
    </row>
    <row r="3823" spans="1:6">
      <c r="A3823" s="32">
        <v>38126</v>
      </c>
      <c r="B3823">
        <v>591.48</v>
      </c>
      <c r="C3823">
        <v>614.99</v>
      </c>
      <c r="D3823">
        <v>591.48</v>
      </c>
      <c r="E3823">
        <v>614.99</v>
      </c>
      <c r="F3823" s="2">
        <v>2820000000</v>
      </c>
    </row>
    <row r="3824" spans="1:6">
      <c r="A3824" s="32">
        <v>38125</v>
      </c>
      <c r="B3824">
        <v>586.91999999999996</v>
      </c>
      <c r="C3824">
        <v>588.17999999999995</v>
      </c>
      <c r="D3824">
        <v>576.63</v>
      </c>
      <c r="E3824">
        <v>582.51</v>
      </c>
      <c r="F3824" s="2">
        <v>2600000000</v>
      </c>
    </row>
    <row r="3825" spans="1:6">
      <c r="A3825" s="32">
        <v>38124</v>
      </c>
      <c r="B3825">
        <v>604.87</v>
      </c>
      <c r="C3825">
        <v>604.87</v>
      </c>
      <c r="D3825">
        <v>579.38</v>
      </c>
      <c r="E3825">
        <v>581.61</v>
      </c>
      <c r="F3825" s="2">
        <v>1590000000</v>
      </c>
    </row>
    <row r="3826" spans="1:6">
      <c r="A3826" s="32">
        <v>38121</v>
      </c>
      <c r="B3826">
        <v>611.04</v>
      </c>
      <c r="C3826">
        <v>613.63</v>
      </c>
      <c r="D3826">
        <v>606.32000000000005</v>
      </c>
      <c r="E3826">
        <v>609.72</v>
      </c>
      <c r="F3826" s="2">
        <v>1220000000</v>
      </c>
    </row>
    <row r="3827" spans="1:6">
      <c r="A3827" s="32">
        <v>38120</v>
      </c>
      <c r="B3827">
        <v>621.25</v>
      </c>
      <c r="C3827">
        <v>624.53</v>
      </c>
      <c r="D3827">
        <v>610.26</v>
      </c>
      <c r="E3827">
        <v>611.23</v>
      </c>
      <c r="F3827" s="2">
        <v>1140000000</v>
      </c>
    </row>
    <row r="3828" spans="1:6">
      <c r="A3828" s="32">
        <v>38119</v>
      </c>
      <c r="B3828">
        <v>624.46</v>
      </c>
      <c r="C3828">
        <v>630.49</v>
      </c>
      <c r="D3828">
        <v>620.47</v>
      </c>
      <c r="E3828">
        <v>622.01</v>
      </c>
      <c r="F3828" s="2">
        <v>1880000000</v>
      </c>
    </row>
    <row r="3829" spans="1:6">
      <c r="A3829" s="32">
        <v>38118</v>
      </c>
      <c r="B3829">
        <v>606.04</v>
      </c>
      <c r="C3829">
        <v>619.77</v>
      </c>
      <c r="D3829">
        <v>606.04</v>
      </c>
      <c r="E3829">
        <v>618.1</v>
      </c>
      <c r="F3829" s="2">
        <v>2080000000</v>
      </c>
    </row>
    <row r="3830" spans="1:6">
      <c r="A3830" s="32">
        <v>38117</v>
      </c>
      <c r="B3830">
        <v>626.85</v>
      </c>
      <c r="C3830">
        <v>627.01</v>
      </c>
      <c r="D3830">
        <v>605.62</v>
      </c>
      <c r="E3830">
        <v>605.62</v>
      </c>
      <c r="F3830" s="2">
        <v>1570000000</v>
      </c>
    </row>
    <row r="3831" spans="1:6">
      <c r="A3831" s="32">
        <v>38114</v>
      </c>
      <c r="B3831">
        <v>633.04999999999995</v>
      </c>
      <c r="C3831">
        <v>637.15</v>
      </c>
      <c r="D3831">
        <v>620.09</v>
      </c>
      <c r="E3831">
        <v>636.79999999999995</v>
      </c>
      <c r="F3831" s="2">
        <v>1660000000</v>
      </c>
    </row>
    <row r="3832" spans="1:6">
      <c r="A3832" s="32">
        <v>38113</v>
      </c>
      <c r="B3832">
        <v>644.29</v>
      </c>
      <c r="C3832">
        <v>649.07000000000005</v>
      </c>
      <c r="D3832">
        <v>632.4</v>
      </c>
      <c r="E3832">
        <v>634.01</v>
      </c>
      <c r="F3832" s="2">
        <v>1060000000</v>
      </c>
    </row>
    <row r="3833" spans="1:6">
      <c r="A3833" s="32">
        <v>38111</v>
      </c>
      <c r="B3833">
        <v>648.35</v>
      </c>
      <c r="C3833">
        <v>649.54</v>
      </c>
      <c r="D3833">
        <v>641.79999999999995</v>
      </c>
      <c r="E3833">
        <v>644.1</v>
      </c>
      <c r="F3833" s="2">
        <v>729880000</v>
      </c>
    </row>
    <row r="3834" spans="1:6">
      <c r="A3834" s="32">
        <v>38107</v>
      </c>
      <c r="B3834">
        <v>650.09</v>
      </c>
      <c r="C3834">
        <v>651.83000000000004</v>
      </c>
      <c r="D3834">
        <v>641.84</v>
      </c>
      <c r="E3834">
        <v>648.15</v>
      </c>
      <c r="F3834" s="2">
        <v>1250000000</v>
      </c>
    </row>
    <row r="3835" spans="1:6">
      <c r="A3835" s="32">
        <v>38106</v>
      </c>
      <c r="B3835">
        <v>667.63</v>
      </c>
      <c r="C3835">
        <v>668.16</v>
      </c>
      <c r="D3835">
        <v>652.66</v>
      </c>
      <c r="E3835">
        <v>656.38</v>
      </c>
      <c r="F3835" s="2">
        <v>1400000000</v>
      </c>
    </row>
    <row r="3836" spans="1:6">
      <c r="A3836" s="32">
        <v>38105</v>
      </c>
      <c r="B3836">
        <v>680.17</v>
      </c>
      <c r="C3836">
        <v>680.17</v>
      </c>
      <c r="D3836">
        <v>669.09</v>
      </c>
      <c r="E3836">
        <v>672.34</v>
      </c>
      <c r="F3836" s="2">
        <v>1240000000</v>
      </c>
    </row>
    <row r="3837" spans="1:6">
      <c r="A3837" s="32">
        <v>38104</v>
      </c>
      <c r="B3837">
        <v>668.5</v>
      </c>
      <c r="C3837">
        <v>680.89</v>
      </c>
      <c r="D3837">
        <v>665.01</v>
      </c>
      <c r="E3837">
        <v>680.89</v>
      </c>
      <c r="F3837" s="2">
        <v>1380000000</v>
      </c>
    </row>
    <row r="3838" spans="1:6">
      <c r="A3838" s="32">
        <v>38103</v>
      </c>
      <c r="B3838">
        <v>675.9</v>
      </c>
      <c r="C3838">
        <v>676.5</v>
      </c>
      <c r="D3838">
        <v>666.17</v>
      </c>
      <c r="E3838">
        <v>667.61</v>
      </c>
      <c r="F3838" s="2">
        <v>1390000000</v>
      </c>
    </row>
    <row r="3839" spans="1:6">
      <c r="A3839" s="32">
        <v>38100</v>
      </c>
      <c r="B3839">
        <v>691.82</v>
      </c>
      <c r="C3839">
        <v>691.91</v>
      </c>
      <c r="D3839">
        <v>678.31</v>
      </c>
      <c r="E3839">
        <v>681.88</v>
      </c>
      <c r="F3839" s="2">
        <v>1580000000</v>
      </c>
    </row>
    <row r="3840" spans="1:6">
      <c r="A3840" s="32">
        <v>38099</v>
      </c>
      <c r="B3840">
        <v>708.75</v>
      </c>
      <c r="C3840">
        <v>709.16</v>
      </c>
      <c r="D3840">
        <v>690.67</v>
      </c>
      <c r="E3840">
        <v>690.96</v>
      </c>
      <c r="F3840" s="2">
        <v>1790000000</v>
      </c>
    </row>
    <row r="3841" spans="1:6">
      <c r="A3841" s="32">
        <v>38098</v>
      </c>
      <c r="B3841">
        <v>711.74</v>
      </c>
      <c r="C3841">
        <v>717.3</v>
      </c>
      <c r="D3841">
        <v>706.64</v>
      </c>
      <c r="E3841">
        <v>706.65</v>
      </c>
      <c r="F3841" s="2">
        <v>1970000000</v>
      </c>
    </row>
    <row r="3842" spans="1:6">
      <c r="A3842" s="32">
        <v>38097</v>
      </c>
      <c r="B3842">
        <v>710.14</v>
      </c>
      <c r="C3842">
        <v>713.95</v>
      </c>
      <c r="D3842">
        <v>702.93</v>
      </c>
      <c r="E3842">
        <v>713.95</v>
      </c>
      <c r="F3842" s="2">
        <v>1590000000</v>
      </c>
    </row>
    <row r="3843" spans="1:6">
      <c r="A3843" s="32">
        <v>38096</v>
      </c>
      <c r="B3843">
        <v>714.27</v>
      </c>
      <c r="C3843">
        <v>719.37</v>
      </c>
      <c r="D3843">
        <v>704.65</v>
      </c>
      <c r="E3843">
        <v>704.65</v>
      </c>
      <c r="F3843" s="2">
        <v>1590000000</v>
      </c>
    </row>
    <row r="3844" spans="1:6">
      <c r="A3844" s="32">
        <v>38093</v>
      </c>
      <c r="B3844">
        <v>703.3</v>
      </c>
      <c r="C3844">
        <v>715.08</v>
      </c>
      <c r="D3844">
        <v>703.3</v>
      </c>
      <c r="E3844">
        <v>712.2</v>
      </c>
      <c r="F3844" s="2">
        <v>1710000000</v>
      </c>
    </row>
    <row r="3845" spans="1:6">
      <c r="A3845" s="32">
        <v>38089</v>
      </c>
      <c r="B3845">
        <v>692.5</v>
      </c>
      <c r="C3845">
        <v>702.08</v>
      </c>
      <c r="D3845">
        <v>690.76</v>
      </c>
      <c r="E3845">
        <v>701.72</v>
      </c>
      <c r="F3845" s="2">
        <v>1070000000</v>
      </c>
    </row>
    <row r="3846" spans="1:6">
      <c r="A3846" s="32">
        <v>38086</v>
      </c>
      <c r="B3846">
        <v>690.53</v>
      </c>
      <c r="C3846">
        <v>694.6</v>
      </c>
      <c r="D3846">
        <v>684.37</v>
      </c>
      <c r="E3846">
        <v>691.39</v>
      </c>
      <c r="F3846" s="2">
        <v>1240000000</v>
      </c>
    </row>
    <row r="3847" spans="1:6">
      <c r="A3847" s="32">
        <v>38085</v>
      </c>
      <c r="B3847">
        <v>701.16</v>
      </c>
      <c r="C3847">
        <v>705.79</v>
      </c>
      <c r="D3847">
        <v>691.69</v>
      </c>
      <c r="E3847">
        <v>691.69</v>
      </c>
      <c r="F3847" s="2">
        <v>2100000000</v>
      </c>
    </row>
    <row r="3848" spans="1:6">
      <c r="A3848" s="32">
        <v>38084</v>
      </c>
      <c r="B3848">
        <v>713.53</v>
      </c>
      <c r="C3848">
        <v>715.73</v>
      </c>
      <c r="D3848">
        <v>697.08</v>
      </c>
      <c r="E3848">
        <v>698.82</v>
      </c>
      <c r="F3848" s="2">
        <v>2870000000</v>
      </c>
    </row>
    <row r="3849" spans="1:6">
      <c r="A3849" s="32">
        <v>38082</v>
      </c>
      <c r="B3849">
        <v>693.85</v>
      </c>
      <c r="C3849">
        <v>713.27</v>
      </c>
      <c r="D3849">
        <v>693.85</v>
      </c>
      <c r="E3849">
        <v>709.89</v>
      </c>
      <c r="F3849" s="2">
        <v>3120000000</v>
      </c>
    </row>
    <row r="3850" spans="1:6">
      <c r="A3850" s="32">
        <v>38079</v>
      </c>
      <c r="B3850">
        <v>679.29</v>
      </c>
      <c r="C3850">
        <v>693.12</v>
      </c>
      <c r="D3850">
        <v>675.72</v>
      </c>
      <c r="E3850">
        <v>693.12</v>
      </c>
      <c r="F3850" s="2">
        <v>3190000000</v>
      </c>
    </row>
    <row r="3851" spans="1:6">
      <c r="A3851" s="32">
        <v>38078</v>
      </c>
      <c r="B3851">
        <v>646.13</v>
      </c>
      <c r="C3851">
        <v>671.92</v>
      </c>
      <c r="D3851">
        <v>641.29</v>
      </c>
      <c r="E3851">
        <v>671.92</v>
      </c>
      <c r="F3851" s="2">
        <v>2290000000</v>
      </c>
    </row>
    <row r="3852" spans="1:6">
      <c r="A3852" s="32">
        <v>38077</v>
      </c>
      <c r="B3852">
        <v>648.6</v>
      </c>
      <c r="C3852">
        <v>652.48</v>
      </c>
      <c r="D3852">
        <v>636.80999999999995</v>
      </c>
      <c r="E3852">
        <v>647.29999999999995</v>
      </c>
      <c r="F3852" s="2">
        <v>1280000000</v>
      </c>
    </row>
    <row r="3853" spans="1:6">
      <c r="A3853" s="32">
        <v>38076</v>
      </c>
      <c r="B3853">
        <v>647.07000000000005</v>
      </c>
      <c r="C3853">
        <v>654.94000000000005</v>
      </c>
      <c r="D3853">
        <v>647.07000000000005</v>
      </c>
      <c r="E3853">
        <v>649.21</v>
      </c>
      <c r="F3853" s="2">
        <v>1190000000</v>
      </c>
    </row>
    <row r="3854" spans="1:6">
      <c r="A3854" s="32">
        <v>38075</v>
      </c>
      <c r="B3854">
        <v>662.58</v>
      </c>
      <c r="C3854">
        <v>662.58</v>
      </c>
      <c r="D3854">
        <v>645.20000000000005</v>
      </c>
      <c r="E3854">
        <v>645.79999999999995</v>
      </c>
      <c r="F3854" s="2">
        <v>1130000000</v>
      </c>
    </row>
    <row r="3855" spans="1:6">
      <c r="A3855" s="32">
        <v>38072</v>
      </c>
      <c r="B3855">
        <v>665.52</v>
      </c>
      <c r="C3855">
        <v>668.13</v>
      </c>
      <c r="D3855">
        <v>659.31</v>
      </c>
      <c r="E3855">
        <v>665.25</v>
      </c>
      <c r="F3855" s="2">
        <v>1070000000</v>
      </c>
    </row>
    <row r="3856" spans="1:6">
      <c r="A3856" s="32">
        <v>38071</v>
      </c>
      <c r="B3856">
        <v>679.13</v>
      </c>
      <c r="C3856">
        <v>679.13</v>
      </c>
      <c r="D3856">
        <v>662.67</v>
      </c>
      <c r="E3856">
        <v>664.66</v>
      </c>
      <c r="F3856" s="2">
        <v>1480000000</v>
      </c>
    </row>
    <row r="3857" spans="1:6">
      <c r="A3857" s="32">
        <v>38070</v>
      </c>
      <c r="B3857">
        <v>679.18</v>
      </c>
      <c r="C3857">
        <v>682.97</v>
      </c>
      <c r="D3857">
        <v>677.61</v>
      </c>
      <c r="E3857">
        <v>677.61</v>
      </c>
      <c r="F3857" s="2">
        <v>900070000</v>
      </c>
    </row>
    <row r="3858" spans="1:6">
      <c r="A3858" s="32">
        <v>38069</v>
      </c>
      <c r="B3858">
        <v>678.85</v>
      </c>
      <c r="C3858">
        <v>682.28</v>
      </c>
      <c r="D3858">
        <v>676.31</v>
      </c>
      <c r="E3858">
        <v>679.22</v>
      </c>
      <c r="F3858" s="2">
        <v>1030000000</v>
      </c>
    </row>
    <row r="3859" spans="1:6">
      <c r="A3859" s="32">
        <v>38068</v>
      </c>
      <c r="B3859">
        <v>679.77</v>
      </c>
      <c r="C3859">
        <v>684.38</v>
      </c>
      <c r="D3859">
        <v>676.64</v>
      </c>
      <c r="E3859">
        <v>681.34</v>
      </c>
      <c r="F3859" s="2">
        <v>1090000000</v>
      </c>
    </row>
    <row r="3860" spans="1:6">
      <c r="A3860" s="32">
        <v>38065</v>
      </c>
      <c r="B3860">
        <v>687.71</v>
      </c>
      <c r="C3860">
        <v>689.82</v>
      </c>
      <c r="D3860">
        <v>680.05</v>
      </c>
      <c r="E3860">
        <v>681.27</v>
      </c>
      <c r="F3860" s="2">
        <v>1640000000</v>
      </c>
    </row>
    <row r="3861" spans="1:6">
      <c r="A3861" s="32">
        <v>38064</v>
      </c>
      <c r="B3861">
        <v>680.03</v>
      </c>
      <c r="C3861">
        <v>690.63</v>
      </c>
      <c r="D3861">
        <v>680.03</v>
      </c>
      <c r="E3861">
        <v>687.19</v>
      </c>
      <c r="F3861" s="2">
        <v>2360000000</v>
      </c>
    </row>
    <row r="3862" spans="1:6">
      <c r="A3862" s="32">
        <v>38063</v>
      </c>
      <c r="B3862">
        <v>670.32</v>
      </c>
      <c r="C3862">
        <v>676.09</v>
      </c>
      <c r="D3862">
        <v>670.32</v>
      </c>
      <c r="E3862">
        <v>674.41</v>
      </c>
      <c r="F3862" s="2">
        <v>1540000000</v>
      </c>
    </row>
    <row r="3863" spans="1:6">
      <c r="A3863" s="32">
        <v>38062</v>
      </c>
      <c r="B3863">
        <v>677.88</v>
      </c>
      <c r="C3863">
        <v>677.88</v>
      </c>
      <c r="D3863">
        <v>665.38</v>
      </c>
      <c r="E3863">
        <v>669.8</v>
      </c>
      <c r="F3863" s="2">
        <v>1730000000</v>
      </c>
    </row>
    <row r="3864" spans="1:6">
      <c r="A3864" s="32">
        <v>38061</v>
      </c>
      <c r="B3864">
        <v>695.22</v>
      </c>
      <c r="C3864">
        <v>699.45</v>
      </c>
      <c r="D3864">
        <v>678.42</v>
      </c>
      <c r="E3864">
        <v>678.42</v>
      </c>
      <c r="F3864" s="2">
        <v>1890000000</v>
      </c>
    </row>
    <row r="3865" spans="1:6">
      <c r="A3865" s="32">
        <v>38058</v>
      </c>
      <c r="B3865">
        <v>706.72</v>
      </c>
      <c r="C3865">
        <v>706.72</v>
      </c>
      <c r="D3865">
        <v>693.95</v>
      </c>
      <c r="E3865">
        <v>695.08</v>
      </c>
      <c r="F3865" s="2">
        <v>2820000000</v>
      </c>
    </row>
    <row r="3866" spans="1:6">
      <c r="A3866" s="32">
        <v>38057</v>
      </c>
      <c r="B3866">
        <v>702.87</v>
      </c>
      <c r="C3866">
        <v>708.67</v>
      </c>
      <c r="D3866">
        <v>697.88</v>
      </c>
      <c r="E3866">
        <v>707.74</v>
      </c>
      <c r="F3866" s="2">
        <v>2820000000</v>
      </c>
    </row>
    <row r="3867" spans="1:6">
      <c r="A3867" s="32">
        <v>38056</v>
      </c>
      <c r="B3867">
        <v>713.69</v>
      </c>
      <c r="C3867">
        <v>714.63</v>
      </c>
      <c r="D3867">
        <v>702.47</v>
      </c>
      <c r="E3867">
        <v>705.29</v>
      </c>
      <c r="F3867" s="2">
        <v>2590000000</v>
      </c>
    </row>
    <row r="3868" spans="1:6">
      <c r="A3868" s="32">
        <v>38055</v>
      </c>
      <c r="B3868">
        <v>704.78</v>
      </c>
      <c r="C3868">
        <v>712.15</v>
      </c>
      <c r="D3868">
        <v>704.78</v>
      </c>
      <c r="E3868">
        <v>710.66</v>
      </c>
      <c r="F3868" s="2">
        <v>2280000000</v>
      </c>
    </row>
    <row r="3869" spans="1:6">
      <c r="A3869" s="32">
        <v>38054</v>
      </c>
      <c r="B3869">
        <v>703.74</v>
      </c>
      <c r="C3869">
        <v>707.7</v>
      </c>
      <c r="D3869">
        <v>701.37</v>
      </c>
      <c r="E3869">
        <v>704.46</v>
      </c>
      <c r="F3869" s="2">
        <v>1100000000</v>
      </c>
    </row>
    <row r="3870" spans="1:6">
      <c r="A3870" s="32">
        <v>38050</v>
      </c>
      <c r="B3870">
        <v>697.74</v>
      </c>
      <c r="C3870">
        <v>701.95</v>
      </c>
      <c r="D3870">
        <v>693.75</v>
      </c>
      <c r="E3870">
        <v>700.59</v>
      </c>
      <c r="F3870" s="2">
        <v>1460000000</v>
      </c>
    </row>
    <row r="3871" spans="1:6">
      <c r="A3871" s="32">
        <v>38049</v>
      </c>
      <c r="B3871">
        <v>701.23</v>
      </c>
      <c r="C3871">
        <v>704.21</v>
      </c>
      <c r="D3871">
        <v>694.21</v>
      </c>
      <c r="E3871">
        <v>696.24</v>
      </c>
      <c r="F3871" s="2">
        <v>1500000000</v>
      </c>
    </row>
    <row r="3872" spans="1:6">
      <c r="A3872" s="32">
        <v>38048</v>
      </c>
      <c r="B3872">
        <v>705.37</v>
      </c>
      <c r="C3872">
        <v>711.07</v>
      </c>
      <c r="D3872">
        <v>700.83</v>
      </c>
      <c r="E3872">
        <v>701.75</v>
      </c>
      <c r="F3872" s="2">
        <v>3160000000</v>
      </c>
    </row>
    <row r="3873" spans="1:6">
      <c r="A3873" s="32">
        <v>38047</v>
      </c>
      <c r="B3873">
        <v>717.52</v>
      </c>
      <c r="C3873">
        <v>721.72</v>
      </c>
      <c r="D3873">
        <v>704.53</v>
      </c>
      <c r="E3873">
        <v>705.25</v>
      </c>
      <c r="F3873" s="2">
        <v>1880000000</v>
      </c>
    </row>
    <row r="3874" spans="1:6">
      <c r="A3874" s="32">
        <v>38044</v>
      </c>
      <c r="B3874">
        <v>694.26</v>
      </c>
      <c r="C3874">
        <v>716.3</v>
      </c>
      <c r="D3874">
        <v>693.94</v>
      </c>
      <c r="E3874">
        <v>716.3</v>
      </c>
      <c r="F3874" s="2">
        <v>2350000000</v>
      </c>
    </row>
    <row r="3875" spans="1:6">
      <c r="A3875" s="32">
        <v>38043</v>
      </c>
      <c r="B3875">
        <v>706.27</v>
      </c>
      <c r="C3875">
        <v>711.86</v>
      </c>
      <c r="D3875">
        <v>686.41</v>
      </c>
      <c r="E3875">
        <v>697.92</v>
      </c>
      <c r="F3875" s="2">
        <v>1700000000</v>
      </c>
    </row>
    <row r="3876" spans="1:6">
      <c r="A3876" s="32">
        <v>38042</v>
      </c>
      <c r="B3876">
        <v>719.65</v>
      </c>
      <c r="C3876">
        <v>722.91</v>
      </c>
      <c r="D3876">
        <v>703.98</v>
      </c>
      <c r="E3876">
        <v>704.65</v>
      </c>
      <c r="F3876" s="2">
        <v>1240000000</v>
      </c>
    </row>
    <row r="3877" spans="1:6">
      <c r="A3877" s="32">
        <v>38041</v>
      </c>
      <c r="B3877">
        <v>724.96</v>
      </c>
      <c r="C3877">
        <v>727.51</v>
      </c>
      <c r="D3877">
        <v>717.94</v>
      </c>
      <c r="E3877">
        <v>720.28</v>
      </c>
      <c r="F3877" s="2">
        <v>1010000000</v>
      </c>
    </row>
    <row r="3878" spans="1:6">
      <c r="A3878" s="32">
        <v>38040</v>
      </c>
      <c r="B3878">
        <v>729.4</v>
      </c>
      <c r="C3878">
        <v>731.74</v>
      </c>
      <c r="D3878">
        <v>724.2</v>
      </c>
      <c r="E3878">
        <v>724.86</v>
      </c>
      <c r="F3878" s="2">
        <v>954290000</v>
      </c>
    </row>
    <row r="3879" spans="1:6">
      <c r="A3879" s="32">
        <v>38037</v>
      </c>
      <c r="B3879">
        <v>728.71</v>
      </c>
      <c r="C3879">
        <v>728.95</v>
      </c>
      <c r="D3879">
        <v>715.51</v>
      </c>
      <c r="E3879">
        <v>728.64</v>
      </c>
      <c r="F3879" s="2">
        <v>1610000000</v>
      </c>
    </row>
    <row r="3880" spans="1:6">
      <c r="A3880" s="32">
        <v>38036</v>
      </c>
      <c r="B3880">
        <v>744.66</v>
      </c>
      <c r="C3880">
        <v>744.7</v>
      </c>
      <c r="D3880">
        <v>731.28</v>
      </c>
      <c r="E3880">
        <v>732.97</v>
      </c>
      <c r="F3880" s="2">
        <v>1460000000</v>
      </c>
    </row>
    <row r="3881" spans="1:6">
      <c r="A3881" s="32">
        <v>38035</v>
      </c>
      <c r="B3881">
        <v>750.21</v>
      </c>
      <c r="C3881">
        <v>750.76</v>
      </c>
      <c r="D3881">
        <v>742.33</v>
      </c>
      <c r="E3881">
        <v>742.33</v>
      </c>
      <c r="F3881" s="2">
        <v>1550000000</v>
      </c>
    </row>
    <row r="3882" spans="1:6">
      <c r="A3882" s="32">
        <v>38034</v>
      </c>
      <c r="B3882">
        <v>738.24</v>
      </c>
      <c r="C3882">
        <v>748.86</v>
      </c>
      <c r="D3882">
        <v>734.69</v>
      </c>
      <c r="E3882">
        <v>748.83</v>
      </c>
      <c r="F3882" s="2">
        <v>1740000000</v>
      </c>
    </row>
    <row r="3883" spans="1:6">
      <c r="A3883" s="32">
        <v>38033</v>
      </c>
      <c r="B3883">
        <v>755.07</v>
      </c>
      <c r="C3883">
        <v>757.7</v>
      </c>
      <c r="D3883">
        <v>736.13</v>
      </c>
      <c r="E3883">
        <v>738.92</v>
      </c>
      <c r="F3883" s="2">
        <v>2520000000</v>
      </c>
    </row>
    <row r="3884" spans="1:6">
      <c r="A3884" s="32">
        <v>38030</v>
      </c>
      <c r="B3884">
        <v>750.09</v>
      </c>
      <c r="C3884">
        <v>755.18</v>
      </c>
      <c r="D3884">
        <v>743.65</v>
      </c>
      <c r="E3884">
        <v>755.18</v>
      </c>
      <c r="F3884" s="2">
        <v>2100000000</v>
      </c>
    </row>
    <row r="3885" spans="1:6">
      <c r="A3885" s="32">
        <v>38029</v>
      </c>
      <c r="B3885">
        <v>755.43</v>
      </c>
      <c r="C3885">
        <v>762.77</v>
      </c>
      <c r="D3885">
        <v>748.16</v>
      </c>
      <c r="E3885">
        <v>748.16</v>
      </c>
      <c r="F3885" s="2">
        <v>2960000000</v>
      </c>
    </row>
    <row r="3886" spans="1:6">
      <c r="A3886" s="32">
        <v>38028</v>
      </c>
      <c r="B3886">
        <v>742.31</v>
      </c>
      <c r="C3886">
        <v>753.24</v>
      </c>
      <c r="D3886">
        <v>741.72</v>
      </c>
      <c r="E3886">
        <v>753.24</v>
      </c>
      <c r="F3886" s="2">
        <v>2990000000</v>
      </c>
    </row>
    <row r="3887" spans="1:6">
      <c r="A3887" s="32">
        <v>38027</v>
      </c>
      <c r="B3887">
        <v>734.14</v>
      </c>
      <c r="C3887">
        <v>741.81</v>
      </c>
      <c r="D3887">
        <v>730.49</v>
      </c>
      <c r="E3887">
        <v>739.64</v>
      </c>
      <c r="F3887" s="2">
        <v>2770000000</v>
      </c>
    </row>
    <row r="3888" spans="1:6">
      <c r="A3888" s="32">
        <v>38026</v>
      </c>
      <c r="B3888">
        <v>717.39</v>
      </c>
      <c r="C3888">
        <v>732.05</v>
      </c>
      <c r="D3888">
        <v>717.39</v>
      </c>
      <c r="E3888">
        <v>732.05</v>
      </c>
      <c r="F3888" s="2">
        <v>2620000000</v>
      </c>
    </row>
    <row r="3889" spans="1:6">
      <c r="A3889" s="32">
        <v>38023</v>
      </c>
      <c r="B3889">
        <v>735.92</v>
      </c>
      <c r="C3889">
        <v>740.83</v>
      </c>
      <c r="D3889">
        <v>707.23</v>
      </c>
      <c r="E3889">
        <v>711.15</v>
      </c>
      <c r="F3889" s="2">
        <v>4460000000</v>
      </c>
    </row>
    <row r="3890" spans="1:6">
      <c r="A3890" s="32">
        <v>38022</v>
      </c>
      <c r="B3890">
        <v>720.36</v>
      </c>
      <c r="C3890">
        <v>734.55</v>
      </c>
      <c r="D3890">
        <v>716.37</v>
      </c>
      <c r="E3890">
        <v>734.55</v>
      </c>
      <c r="F3890" s="2">
        <v>3420000000</v>
      </c>
    </row>
    <row r="3891" spans="1:6">
      <c r="A3891" s="32">
        <v>38021</v>
      </c>
      <c r="B3891">
        <v>700.94</v>
      </c>
      <c r="C3891">
        <v>718.06</v>
      </c>
      <c r="D3891">
        <v>693.94</v>
      </c>
      <c r="E3891">
        <v>718.06</v>
      </c>
      <c r="F3891" s="2">
        <v>3350000000</v>
      </c>
    </row>
    <row r="3892" spans="1:6">
      <c r="A3892" s="32">
        <v>38020</v>
      </c>
      <c r="B3892">
        <v>660.05</v>
      </c>
      <c r="C3892">
        <v>699.75</v>
      </c>
      <c r="D3892">
        <v>649.30999999999995</v>
      </c>
      <c r="E3892">
        <v>699.75</v>
      </c>
      <c r="F3892" s="2">
        <v>2990000000</v>
      </c>
    </row>
    <row r="3893" spans="1:6">
      <c r="A3893" s="32">
        <v>38019</v>
      </c>
      <c r="B3893">
        <v>700.67</v>
      </c>
      <c r="C3893">
        <v>702.93</v>
      </c>
      <c r="D3893">
        <v>666.57</v>
      </c>
      <c r="E3893">
        <v>667.33</v>
      </c>
      <c r="F3893" s="2">
        <v>1970000000</v>
      </c>
    </row>
    <row r="3894" spans="1:6">
      <c r="A3894" s="32">
        <v>38016</v>
      </c>
      <c r="B3894">
        <v>715.09</v>
      </c>
      <c r="C3894">
        <v>722.32</v>
      </c>
      <c r="D3894">
        <v>693.91</v>
      </c>
      <c r="E3894">
        <v>698.9</v>
      </c>
      <c r="F3894" s="2">
        <v>2290000000</v>
      </c>
    </row>
    <row r="3895" spans="1:6">
      <c r="A3895" s="32">
        <v>38015</v>
      </c>
      <c r="B3895">
        <v>715.94</v>
      </c>
      <c r="C3895">
        <v>722.89</v>
      </c>
      <c r="D3895">
        <v>711.95</v>
      </c>
      <c r="E3895">
        <v>714.04</v>
      </c>
      <c r="F3895" s="2">
        <v>1910000000</v>
      </c>
    </row>
    <row r="3896" spans="1:6">
      <c r="A3896" s="32">
        <v>38014</v>
      </c>
      <c r="B3896">
        <v>737.4</v>
      </c>
      <c r="C3896">
        <v>740.63</v>
      </c>
      <c r="D3896">
        <v>721.93</v>
      </c>
      <c r="E3896">
        <v>722.14</v>
      </c>
      <c r="F3896" s="2">
        <v>1610000000</v>
      </c>
    </row>
    <row r="3897" spans="1:6">
      <c r="A3897" s="32">
        <v>38013</v>
      </c>
      <c r="B3897">
        <v>727.25</v>
      </c>
      <c r="C3897">
        <v>740.41</v>
      </c>
      <c r="D3897">
        <v>717.03</v>
      </c>
      <c r="E3897">
        <v>739.47</v>
      </c>
      <c r="F3897" s="2">
        <v>1910000000</v>
      </c>
    </row>
    <row r="3898" spans="1:6">
      <c r="A3898" s="32">
        <v>38012</v>
      </c>
      <c r="B3898">
        <v>752.82</v>
      </c>
      <c r="C3898">
        <v>756.23</v>
      </c>
      <c r="D3898">
        <v>725.56</v>
      </c>
      <c r="E3898">
        <v>725.56</v>
      </c>
      <c r="F3898" s="2">
        <v>1760000000</v>
      </c>
    </row>
    <row r="3899" spans="1:6">
      <c r="A3899" s="32">
        <v>38009</v>
      </c>
      <c r="B3899">
        <v>757.65</v>
      </c>
      <c r="C3899">
        <v>757.65</v>
      </c>
      <c r="D3899">
        <v>738.15</v>
      </c>
      <c r="E3899">
        <v>754.44</v>
      </c>
      <c r="F3899" s="2">
        <v>2290000000</v>
      </c>
    </row>
    <row r="3900" spans="1:6">
      <c r="A3900" s="32">
        <v>38008</v>
      </c>
      <c r="B3900">
        <v>765.15</v>
      </c>
      <c r="C3900">
        <v>769.6</v>
      </c>
      <c r="D3900">
        <v>756.64</v>
      </c>
      <c r="E3900">
        <v>760.17</v>
      </c>
      <c r="F3900" s="2">
        <v>1950000000</v>
      </c>
    </row>
    <row r="3901" spans="1:6">
      <c r="A3901" s="32">
        <v>38007</v>
      </c>
      <c r="B3901">
        <v>779.48</v>
      </c>
      <c r="C3901">
        <v>783.35</v>
      </c>
      <c r="D3901">
        <v>757.49</v>
      </c>
      <c r="E3901">
        <v>766.72</v>
      </c>
      <c r="F3901" s="2">
        <v>2750000000</v>
      </c>
    </row>
    <row r="3902" spans="1:6">
      <c r="A3902" s="32">
        <v>38006</v>
      </c>
      <c r="B3902">
        <v>776.64</v>
      </c>
      <c r="C3902">
        <v>778.41</v>
      </c>
      <c r="D3902">
        <v>769.22</v>
      </c>
      <c r="E3902">
        <v>771.88</v>
      </c>
      <c r="F3902" s="2">
        <v>2590000000</v>
      </c>
    </row>
    <row r="3903" spans="1:6">
      <c r="A3903" s="32">
        <v>38005</v>
      </c>
      <c r="B3903">
        <v>779.59</v>
      </c>
      <c r="C3903">
        <v>788.84</v>
      </c>
      <c r="D3903">
        <v>773.24</v>
      </c>
      <c r="E3903">
        <v>774.67</v>
      </c>
      <c r="F3903" s="2">
        <v>2590000000</v>
      </c>
    </row>
    <row r="3904" spans="1:6">
      <c r="A3904" s="32">
        <v>38002</v>
      </c>
      <c r="B3904">
        <v>767.39</v>
      </c>
      <c r="C3904">
        <v>778.96</v>
      </c>
      <c r="D3904">
        <v>757.75</v>
      </c>
      <c r="E3904">
        <v>778.44</v>
      </c>
      <c r="F3904" s="2">
        <v>2950000000</v>
      </c>
    </row>
    <row r="3905" spans="1:6">
      <c r="A3905" s="32">
        <v>38001</v>
      </c>
      <c r="B3905">
        <v>793.2</v>
      </c>
      <c r="C3905">
        <v>794.33</v>
      </c>
      <c r="D3905">
        <v>766.53</v>
      </c>
      <c r="E3905">
        <v>767.39</v>
      </c>
      <c r="F3905" s="2">
        <v>4940000000</v>
      </c>
    </row>
    <row r="3906" spans="1:6">
      <c r="A3906" s="32">
        <v>38000</v>
      </c>
      <c r="B3906">
        <v>793.68</v>
      </c>
      <c r="C3906">
        <v>797.71</v>
      </c>
      <c r="D3906">
        <v>784.82</v>
      </c>
      <c r="E3906">
        <v>790.84</v>
      </c>
      <c r="F3906" s="2">
        <v>6070000000</v>
      </c>
    </row>
    <row r="3907" spans="1:6">
      <c r="A3907" s="32">
        <v>37999</v>
      </c>
      <c r="B3907">
        <v>797.9</v>
      </c>
      <c r="C3907">
        <v>802.19</v>
      </c>
      <c r="D3907">
        <v>790.01</v>
      </c>
      <c r="E3907">
        <v>792.23</v>
      </c>
      <c r="F3907" s="2">
        <v>6030000000</v>
      </c>
    </row>
    <row r="3908" spans="1:6">
      <c r="A3908" s="32">
        <v>37998</v>
      </c>
      <c r="B3908">
        <v>792.6</v>
      </c>
      <c r="C3908">
        <v>794.01</v>
      </c>
      <c r="D3908">
        <v>786.86</v>
      </c>
      <c r="E3908">
        <v>794.01</v>
      </c>
      <c r="F3908" s="2">
        <v>5230000000</v>
      </c>
    </row>
    <row r="3909" spans="1:6">
      <c r="A3909" s="32">
        <v>37995</v>
      </c>
      <c r="B3909">
        <v>780.8</v>
      </c>
      <c r="C3909">
        <v>788.36</v>
      </c>
      <c r="D3909">
        <v>775.53</v>
      </c>
      <c r="E3909">
        <v>783.44</v>
      </c>
      <c r="F3909" s="2">
        <v>6420000000</v>
      </c>
    </row>
    <row r="3910" spans="1:6">
      <c r="A3910" s="32">
        <v>37994</v>
      </c>
      <c r="B3910">
        <v>757.8</v>
      </c>
      <c r="C3910">
        <v>773.55</v>
      </c>
      <c r="D3910">
        <v>757.71</v>
      </c>
      <c r="E3910">
        <v>773.55</v>
      </c>
      <c r="F3910" s="2">
        <v>5200000000</v>
      </c>
    </row>
    <row r="3911" spans="1:6">
      <c r="A3911" s="32">
        <v>37993</v>
      </c>
      <c r="B3911">
        <v>763.54</v>
      </c>
      <c r="C3911">
        <v>765.44</v>
      </c>
      <c r="D3911">
        <v>750.97</v>
      </c>
      <c r="E3911">
        <v>750.97</v>
      </c>
      <c r="F3911" s="2">
        <v>3550000000</v>
      </c>
    </row>
    <row r="3912" spans="1:6">
      <c r="A3912" s="32">
        <v>37992</v>
      </c>
      <c r="B3912">
        <v>792.5</v>
      </c>
      <c r="C3912">
        <v>799.2</v>
      </c>
      <c r="D3912">
        <v>767.56</v>
      </c>
      <c r="E3912">
        <v>769.68</v>
      </c>
      <c r="F3912" s="2">
        <v>4320000000</v>
      </c>
    </row>
    <row r="3913" spans="1:6">
      <c r="A3913" s="32">
        <v>37991</v>
      </c>
      <c r="B3913">
        <v>774.19</v>
      </c>
      <c r="C3913">
        <v>790.93</v>
      </c>
      <c r="D3913">
        <v>773.56</v>
      </c>
      <c r="E3913">
        <v>790.93</v>
      </c>
      <c r="F3913" s="2">
        <v>3100000000</v>
      </c>
    </row>
    <row r="3914" spans="1:6">
      <c r="A3914" s="32">
        <v>37986</v>
      </c>
      <c r="B3914">
        <v>767.16</v>
      </c>
      <c r="C3914">
        <v>776.78</v>
      </c>
      <c r="D3914">
        <v>767.16</v>
      </c>
      <c r="E3914">
        <v>772.15</v>
      </c>
      <c r="F3914" s="2">
        <v>2490000000</v>
      </c>
    </row>
    <row r="3915" spans="1:6">
      <c r="A3915" s="32">
        <v>37985</v>
      </c>
      <c r="B3915">
        <v>746.89</v>
      </c>
      <c r="C3915">
        <v>767.41</v>
      </c>
      <c r="D3915">
        <v>746.89</v>
      </c>
      <c r="E3915">
        <v>764.23</v>
      </c>
      <c r="F3915" s="2">
        <v>2960000000</v>
      </c>
    </row>
    <row r="3916" spans="1:6">
      <c r="A3916" s="32">
        <v>37984</v>
      </c>
      <c r="B3916">
        <v>749.06</v>
      </c>
      <c r="C3916">
        <v>755.09</v>
      </c>
      <c r="D3916">
        <v>741.37</v>
      </c>
      <c r="E3916">
        <v>746.81</v>
      </c>
      <c r="F3916" s="2">
        <v>2760000000</v>
      </c>
    </row>
    <row r="3917" spans="1:6">
      <c r="A3917" s="32">
        <v>37981</v>
      </c>
      <c r="B3917">
        <v>723.36</v>
      </c>
      <c r="C3917">
        <v>736.3</v>
      </c>
      <c r="D3917">
        <v>716.61</v>
      </c>
      <c r="E3917">
        <v>734.89</v>
      </c>
      <c r="F3917" s="2">
        <v>3430000000</v>
      </c>
    </row>
    <row r="3918" spans="1:6">
      <c r="A3918" s="32">
        <v>37980</v>
      </c>
      <c r="B3918">
        <v>723.33</v>
      </c>
      <c r="C3918">
        <v>733.79</v>
      </c>
      <c r="D3918">
        <v>715.41</v>
      </c>
      <c r="E3918">
        <v>721.65</v>
      </c>
      <c r="F3918" s="2">
        <v>3670000000</v>
      </c>
    </row>
    <row r="3919" spans="1:6">
      <c r="A3919" s="32">
        <v>37979</v>
      </c>
      <c r="B3919">
        <v>721.05</v>
      </c>
      <c r="C3919">
        <v>727.85</v>
      </c>
      <c r="D3919">
        <v>720.4</v>
      </c>
      <c r="E3919">
        <v>723.39</v>
      </c>
      <c r="F3919" s="2">
        <v>4090000000</v>
      </c>
    </row>
    <row r="3920" spans="1:6">
      <c r="A3920" s="32">
        <v>37978</v>
      </c>
      <c r="B3920">
        <v>722.99</v>
      </c>
      <c r="C3920">
        <v>727.92</v>
      </c>
      <c r="D3920">
        <v>717.19</v>
      </c>
      <c r="E3920">
        <v>718.47</v>
      </c>
      <c r="F3920" s="2">
        <v>5050000000</v>
      </c>
    </row>
    <row r="3921" spans="1:6">
      <c r="A3921" s="32">
        <v>37977</v>
      </c>
      <c r="B3921">
        <v>716.98</v>
      </c>
      <c r="C3921">
        <v>723.68</v>
      </c>
      <c r="D3921">
        <v>715.48</v>
      </c>
      <c r="E3921">
        <v>718.33</v>
      </c>
      <c r="F3921" s="2">
        <v>4670000000</v>
      </c>
    </row>
    <row r="3922" spans="1:6">
      <c r="A3922" s="32">
        <v>37974</v>
      </c>
      <c r="B3922">
        <v>701.79</v>
      </c>
      <c r="C3922">
        <v>715.56</v>
      </c>
      <c r="D3922">
        <v>701.79</v>
      </c>
      <c r="E3922">
        <v>709.15</v>
      </c>
      <c r="F3922" s="2">
        <v>4850000000</v>
      </c>
    </row>
    <row r="3923" spans="1:6">
      <c r="A3923" s="32">
        <v>37973</v>
      </c>
      <c r="B3923">
        <v>689.99</v>
      </c>
      <c r="C3923">
        <v>702.12</v>
      </c>
      <c r="D3923">
        <v>689.99</v>
      </c>
      <c r="E3923">
        <v>700.93</v>
      </c>
      <c r="F3923" s="2">
        <v>3700000000</v>
      </c>
    </row>
    <row r="3924" spans="1:6">
      <c r="A3924" s="32">
        <v>37972</v>
      </c>
      <c r="B3924">
        <v>696.66</v>
      </c>
      <c r="C3924">
        <v>699.22</v>
      </c>
      <c r="D3924">
        <v>680.4</v>
      </c>
      <c r="E3924">
        <v>687.88</v>
      </c>
      <c r="F3924" s="2">
        <v>3440000000</v>
      </c>
    </row>
    <row r="3925" spans="1:6">
      <c r="A3925" s="32">
        <v>37971</v>
      </c>
      <c r="B3925">
        <v>687.64</v>
      </c>
      <c r="C3925">
        <v>694.81</v>
      </c>
      <c r="D3925">
        <v>685.48</v>
      </c>
      <c r="E3925">
        <v>691.88</v>
      </c>
      <c r="F3925" s="2">
        <v>3660000000</v>
      </c>
    </row>
    <row r="3926" spans="1:6">
      <c r="A3926" s="32">
        <v>37970</v>
      </c>
      <c r="B3926">
        <v>675.13</v>
      </c>
      <c r="C3926">
        <v>690.64</v>
      </c>
      <c r="D3926">
        <v>675.13</v>
      </c>
      <c r="E3926">
        <v>689.05</v>
      </c>
      <c r="F3926" s="2">
        <v>2630000000</v>
      </c>
    </row>
    <row r="3927" spans="1:6">
      <c r="A3927" s="32">
        <v>37967</v>
      </c>
      <c r="B3927">
        <v>680.71</v>
      </c>
      <c r="C3927">
        <v>682.97</v>
      </c>
      <c r="D3927">
        <v>671.39</v>
      </c>
      <c r="E3927">
        <v>674.45</v>
      </c>
      <c r="F3927" s="2">
        <v>2360000000</v>
      </c>
    </row>
    <row r="3928" spans="1:6">
      <c r="A3928" s="32">
        <v>37966</v>
      </c>
      <c r="B3928">
        <v>668.42</v>
      </c>
      <c r="C3928">
        <v>680.87</v>
      </c>
      <c r="D3928">
        <v>668.42</v>
      </c>
      <c r="E3928">
        <v>674</v>
      </c>
      <c r="F3928" s="2">
        <v>3120000000</v>
      </c>
    </row>
    <row r="3929" spans="1:6">
      <c r="A3929" s="32">
        <v>37964</v>
      </c>
      <c r="B3929">
        <v>664.74</v>
      </c>
      <c r="C3929">
        <v>670.46</v>
      </c>
      <c r="D3929">
        <v>664.74</v>
      </c>
      <c r="E3929">
        <v>667.08</v>
      </c>
      <c r="F3929" s="2">
        <v>2660000000</v>
      </c>
    </row>
    <row r="3930" spans="1:6">
      <c r="A3930" s="32">
        <v>37963</v>
      </c>
      <c r="B3930">
        <v>660.18</v>
      </c>
      <c r="C3930">
        <v>664.65</v>
      </c>
      <c r="D3930">
        <v>656.36</v>
      </c>
      <c r="E3930">
        <v>664.36</v>
      </c>
      <c r="F3930" s="2">
        <v>2580000000</v>
      </c>
    </row>
    <row r="3931" spans="1:6">
      <c r="A3931" s="32">
        <v>37959</v>
      </c>
      <c r="B3931">
        <v>661.07</v>
      </c>
      <c r="C3931">
        <v>664.82</v>
      </c>
      <c r="D3931">
        <v>654.95000000000005</v>
      </c>
      <c r="E3931">
        <v>659.29</v>
      </c>
      <c r="F3931" s="2">
        <v>3900000000</v>
      </c>
    </row>
    <row r="3932" spans="1:6">
      <c r="A3932" s="32">
        <v>37958</v>
      </c>
      <c r="B3932">
        <v>646.55999999999995</v>
      </c>
      <c r="C3932">
        <v>659.43</v>
      </c>
      <c r="D3932">
        <v>646.55999999999995</v>
      </c>
      <c r="E3932">
        <v>659.43</v>
      </c>
      <c r="F3932" s="2">
        <v>3960000000</v>
      </c>
    </row>
    <row r="3933" spans="1:6">
      <c r="A3933" s="32">
        <v>37957</v>
      </c>
      <c r="B3933">
        <v>644.64</v>
      </c>
      <c r="C3933">
        <v>650.04999999999995</v>
      </c>
      <c r="D3933">
        <v>643.30999999999995</v>
      </c>
      <c r="E3933">
        <v>646.64</v>
      </c>
      <c r="F3933" s="2">
        <v>2650000000</v>
      </c>
    </row>
    <row r="3934" spans="1:6">
      <c r="A3934" s="32">
        <v>37956</v>
      </c>
      <c r="B3934">
        <v>648.72</v>
      </c>
      <c r="C3934">
        <v>650.30999999999995</v>
      </c>
      <c r="D3934">
        <v>641.15</v>
      </c>
      <c r="E3934">
        <v>641.15</v>
      </c>
      <c r="F3934" s="2">
        <v>2440000000</v>
      </c>
    </row>
    <row r="3935" spans="1:6">
      <c r="A3935" s="32">
        <v>37953</v>
      </c>
      <c r="B3935">
        <v>639</v>
      </c>
      <c r="C3935">
        <v>646.03</v>
      </c>
      <c r="D3935">
        <v>638.86</v>
      </c>
      <c r="E3935">
        <v>646.03</v>
      </c>
      <c r="F3935" s="2">
        <v>2430000000</v>
      </c>
    </row>
    <row r="3936" spans="1:6">
      <c r="A3936" s="32">
        <v>37952</v>
      </c>
      <c r="B3936">
        <v>632.83000000000004</v>
      </c>
      <c r="C3936">
        <v>638.33000000000004</v>
      </c>
      <c r="D3936">
        <v>626.14</v>
      </c>
      <c r="E3936">
        <v>635.25</v>
      </c>
      <c r="F3936" s="2">
        <v>2980000000</v>
      </c>
    </row>
    <row r="3937" spans="1:6">
      <c r="A3937" s="32">
        <v>37951</v>
      </c>
      <c r="B3937">
        <v>605.37</v>
      </c>
      <c r="C3937">
        <v>630.82000000000005</v>
      </c>
      <c r="D3937">
        <v>605.37</v>
      </c>
      <c r="E3937">
        <v>630.82000000000005</v>
      </c>
      <c r="F3937" s="2">
        <v>2870000000</v>
      </c>
    </row>
    <row r="3938" spans="1:6">
      <c r="A3938" s="32">
        <v>37950</v>
      </c>
      <c r="B3938">
        <v>611.17999999999995</v>
      </c>
      <c r="C3938">
        <v>613.82000000000005</v>
      </c>
      <c r="D3938">
        <v>604.29999999999995</v>
      </c>
      <c r="E3938">
        <v>605.03</v>
      </c>
      <c r="F3938" s="2">
        <v>1610000000</v>
      </c>
    </row>
    <row r="3939" spans="1:6">
      <c r="A3939" s="32">
        <v>37949</v>
      </c>
      <c r="B3939">
        <v>614.13</v>
      </c>
      <c r="C3939">
        <v>615.37</v>
      </c>
      <c r="D3939">
        <v>604.66</v>
      </c>
      <c r="E3939">
        <v>605.29</v>
      </c>
      <c r="F3939" s="2">
        <v>1730000000</v>
      </c>
    </row>
    <row r="3940" spans="1:6">
      <c r="A3940" s="32">
        <v>37946</v>
      </c>
      <c r="B3940">
        <v>612.13</v>
      </c>
      <c r="C3940">
        <v>620.09</v>
      </c>
      <c r="D3940">
        <v>603.82000000000005</v>
      </c>
      <c r="E3940">
        <v>613.42999999999995</v>
      </c>
      <c r="F3940" s="2">
        <v>3540000000</v>
      </c>
    </row>
    <row r="3941" spans="1:6">
      <c r="A3941" s="32">
        <v>37945</v>
      </c>
      <c r="B3941">
        <v>627.72</v>
      </c>
      <c r="C3941">
        <v>628.69000000000005</v>
      </c>
      <c r="D3941">
        <v>613.99</v>
      </c>
      <c r="E3941">
        <v>614.23</v>
      </c>
      <c r="F3941" s="2">
        <v>3450000000</v>
      </c>
    </row>
    <row r="3942" spans="1:6">
      <c r="A3942" s="32">
        <v>37944</v>
      </c>
      <c r="B3942">
        <v>635.37</v>
      </c>
      <c r="C3942">
        <v>637.66</v>
      </c>
      <c r="D3942">
        <v>609.13</v>
      </c>
      <c r="E3942">
        <v>619.03</v>
      </c>
      <c r="F3942" s="2">
        <v>4870000000</v>
      </c>
    </row>
    <row r="3943" spans="1:6">
      <c r="A3943" s="32">
        <v>37943</v>
      </c>
      <c r="B3943">
        <v>640.76</v>
      </c>
      <c r="C3943">
        <v>642.54</v>
      </c>
      <c r="D3943">
        <v>632.85</v>
      </c>
      <c r="E3943">
        <v>636.75</v>
      </c>
      <c r="F3943" s="2">
        <v>5210000000</v>
      </c>
    </row>
    <row r="3944" spans="1:6">
      <c r="A3944" s="32">
        <v>37942</v>
      </c>
      <c r="B3944">
        <v>645.82000000000005</v>
      </c>
      <c r="C3944">
        <v>648.19000000000005</v>
      </c>
      <c r="D3944">
        <v>636.97</v>
      </c>
      <c r="E3944">
        <v>640.84</v>
      </c>
      <c r="F3944" s="2">
        <v>2090000000</v>
      </c>
    </row>
    <row r="3945" spans="1:6">
      <c r="A3945" s="32">
        <v>37939</v>
      </c>
      <c r="B3945">
        <v>662.3</v>
      </c>
      <c r="C3945">
        <v>665.05</v>
      </c>
      <c r="D3945">
        <v>652.23</v>
      </c>
      <c r="E3945">
        <v>657.38</v>
      </c>
      <c r="F3945" s="2">
        <v>2240000000</v>
      </c>
    </row>
    <row r="3946" spans="1:6">
      <c r="A3946" s="32">
        <v>37938</v>
      </c>
      <c r="B3946">
        <v>656.98</v>
      </c>
      <c r="C3946">
        <v>662.78</v>
      </c>
      <c r="D3946">
        <v>656.25</v>
      </c>
      <c r="E3946">
        <v>658.15</v>
      </c>
      <c r="F3946" s="2">
        <v>2440000000</v>
      </c>
    </row>
    <row r="3947" spans="1:6">
      <c r="A3947" s="32">
        <v>37937</v>
      </c>
      <c r="B3947">
        <v>648.64</v>
      </c>
      <c r="C3947">
        <v>653.83000000000004</v>
      </c>
      <c r="D3947">
        <v>642.91999999999996</v>
      </c>
      <c r="E3947">
        <v>653.49</v>
      </c>
      <c r="F3947" s="2">
        <v>2150000000</v>
      </c>
    </row>
    <row r="3948" spans="1:6">
      <c r="A3948" s="32">
        <v>37936</v>
      </c>
      <c r="B3948">
        <v>659.93</v>
      </c>
      <c r="C3948">
        <v>662.3</v>
      </c>
      <c r="D3948">
        <v>643.95000000000005</v>
      </c>
      <c r="E3948">
        <v>647.54999999999995</v>
      </c>
      <c r="F3948" s="2">
        <v>2940000000</v>
      </c>
    </row>
    <row r="3949" spans="1:6">
      <c r="A3949" s="32">
        <v>37935</v>
      </c>
      <c r="B3949">
        <v>671.43</v>
      </c>
      <c r="C3949">
        <v>676.09</v>
      </c>
      <c r="D3949">
        <v>663.01</v>
      </c>
      <c r="E3949">
        <v>664.36</v>
      </c>
      <c r="F3949" s="2">
        <v>3840000000</v>
      </c>
    </row>
    <row r="3950" spans="1:6">
      <c r="A3950" s="32">
        <v>37932</v>
      </c>
      <c r="B3950">
        <v>669.53</v>
      </c>
      <c r="C3950">
        <v>674.25</v>
      </c>
      <c r="D3950">
        <v>661.44</v>
      </c>
      <c r="E3950">
        <v>671</v>
      </c>
      <c r="F3950" s="2">
        <v>3980000000</v>
      </c>
    </row>
    <row r="3951" spans="1:6">
      <c r="A3951" s="32">
        <v>37931</v>
      </c>
      <c r="B3951">
        <v>675.11</v>
      </c>
      <c r="C3951">
        <v>679.3</v>
      </c>
      <c r="D3951">
        <v>667.54</v>
      </c>
      <c r="E3951">
        <v>667.54</v>
      </c>
      <c r="F3951" s="2">
        <v>4140000000</v>
      </c>
    </row>
    <row r="3952" spans="1:6">
      <c r="A3952" s="32">
        <v>37930</v>
      </c>
      <c r="B3952">
        <v>666.69</v>
      </c>
      <c r="C3952">
        <v>676.84</v>
      </c>
      <c r="D3952">
        <v>661.09</v>
      </c>
      <c r="E3952">
        <v>673.7</v>
      </c>
      <c r="F3952" s="2">
        <v>3920000000</v>
      </c>
    </row>
    <row r="3953" spans="1:6">
      <c r="A3953" s="32">
        <v>37929</v>
      </c>
      <c r="B3953">
        <v>661.64</v>
      </c>
      <c r="C3953">
        <v>674.95</v>
      </c>
      <c r="D3953">
        <v>656.04</v>
      </c>
      <c r="E3953">
        <v>665.06</v>
      </c>
      <c r="F3953" s="2">
        <v>4650000000</v>
      </c>
    </row>
    <row r="3954" spans="1:6">
      <c r="A3954" s="32">
        <v>37928</v>
      </c>
      <c r="B3954">
        <v>640.74</v>
      </c>
      <c r="C3954">
        <v>659.96</v>
      </c>
      <c r="D3954">
        <v>640.74</v>
      </c>
      <c r="E3954">
        <v>659.96</v>
      </c>
      <c r="F3954" s="2">
        <v>4180000000</v>
      </c>
    </row>
    <row r="3955" spans="1:6">
      <c r="A3955" s="32">
        <v>37925</v>
      </c>
      <c r="B3955">
        <v>629.98</v>
      </c>
      <c r="C3955">
        <v>639.45000000000005</v>
      </c>
      <c r="D3955">
        <v>627.80999999999995</v>
      </c>
      <c r="E3955">
        <v>639.45000000000005</v>
      </c>
      <c r="F3955" s="2">
        <v>4730000000</v>
      </c>
    </row>
    <row r="3956" spans="1:6">
      <c r="A3956" s="32">
        <v>37924</v>
      </c>
      <c r="B3956">
        <v>624.20000000000005</v>
      </c>
      <c r="C3956">
        <v>633.23</v>
      </c>
      <c r="D3956">
        <v>621.16999999999996</v>
      </c>
      <c r="E3956">
        <v>624.37</v>
      </c>
      <c r="F3956" s="2">
        <v>5130000000</v>
      </c>
    </row>
    <row r="3957" spans="1:6">
      <c r="A3957" s="32">
        <v>37923</v>
      </c>
      <c r="B3957">
        <v>622.19000000000005</v>
      </c>
      <c r="C3957">
        <v>625.03</v>
      </c>
      <c r="D3957">
        <v>620.91</v>
      </c>
      <c r="E3957">
        <v>624.05999999999995</v>
      </c>
      <c r="F3957" s="2">
        <v>3790000000</v>
      </c>
    </row>
    <row r="3958" spans="1:6">
      <c r="A3958" s="32">
        <v>37922</v>
      </c>
      <c r="B3958">
        <v>616.38</v>
      </c>
      <c r="C3958">
        <v>621.91999999999996</v>
      </c>
      <c r="D3958">
        <v>611.99</v>
      </c>
      <c r="E3958">
        <v>615.39</v>
      </c>
      <c r="F3958" s="2">
        <v>3520000000</v>
      </c>
    </row>
    <row r="3959" spans="1:6">
      <c r="A3959" s="32">
        <v>37921</v>
      </c>
      <c r="B3959">
        <v>609.24</v>
      </c>
      <c r="C3959">
        <v>619.79</v>
      </c>
      <c r="D3959">
        <v>609.24</v>
      </c>
      <c r="E3959">
        <v>615.67999999999995</v>
      </c>
      <c r="F3959" s="2">
        <v>3130000000</v>
      </c>
    </row>
    <row r="3960" spans="1:6">
      <c r="A3960" s="32">
        <v>37918</v>
      </c>
      <c r="B3960">
        <v>601.27</v>
      </c>
      <c r="C3960">
        <v>613.01</v>
      </c>
      <c r="D3960">
        <v>598.09</v>
      </c>
      <c r="E3960">
        <v>609.25</v>
      </c>
      <c r="F3960" s="2">
        <v>2760000000</v>
      </c>
    </row>
    <row r="3961" spans="1:6">
      <c r="A3961" s="32">
        <v>37916</v>
      </c>
      <c r="B3961">
        <v>594.03</v>
      </c>
      <c r="C3961">
        <v>605.04999999999995</v>
      </c>
      <c r="D3961">
        <v>594.03</v>
      </c>
      <c r="E3961">
        <v>604.77</v>
      </c>
      <c r="F3961" s="2">
        <v>2630000000</v>
      </c>
    </row>
    <row r="3962" spans="1:6">
      <c r="A3962" s="32">
        <v>37915</v>
      </c>
      <c r="B3962">
        <v>597.70000000000005</v>
      </c>
      <c r="C3962">
        <v>598.72</v>
      </c>
      <c r="D3962">
        <v>589</v>
      </c>
      <c r="E3962">
        <v>593.02</v>
      </c>
      <c r="F3962" s="2">
        <v>1990000000</v>
      </c>
    </row>
    <row r="3963" spans="1:6">
      <c r="A3963" s="32">
        <v>37914</v>
      </c>
      <c r="B3963">
        <v>591.4</v>
      </c>
      <c r="C3963">
        <v>597.59</v>
      </c>
      <c r="D3963">
        <v>588.29999999999995</v>
      </c>
      <c r="E3963">
        <v>592.78</v>
      </c>
      <c r="F3963" s="2">
        <v>2020000000</v>
      </c>
    </row>
    <row r="3964" spans="1:6">
      <c r="A3964" s="32">
        <v>37911</v>
      </c>
      <c r="B3964">
        <v>587.76</v>
      </c>
      <c r="C3964">
        <v>592.36</v>
      </c>
      <c r="D3964">
        <v>585.73</v>
      </c>
      <c r="E3964">
        <v>588.6</v>
      </c>
      <c r="F3964" s="2">
        <v>2640000000</v>
      </c>
    </row>
    <row r="3965" spans="1:6">
      <c r="A3965" s="32">
        <v>37910</v>
      </c>
      <c r="B3965">
        <v>577.45000000000005</v>
      </c>
      <c r="C3965">
        <v>583.85</v>
      </c>
      <c r="D3965">
        <v>577.45000000000005</v>
      </c>
      <c r="E3965">
        <v>583.61</v>
      </c>
      <c r="F3965" s="2">
        <v>2610000000</v>
      </c>
    </row>
    <row r="3966" spans="1:6">
      <c r="A3966" s="32">
        <v>37909</v>
      </c>
      <c r="B3966">
        <v>568.75</v>
      </c>
      <c r="C3966">
        <v>576.53</v>
      </c>
      <c r="D3966">
        <v>567.61</v>
      </c>
      <c r="E3966">
        <v>576.1</v>
      </c>
      <c r="F3966" s="2">
        <v>2040000000</v>
      </c>
    </row>
    <row r="3967" spans="1:6">
      <c r="A3967" s="32">
        <v>37908</v>
      </c>
      <c r="B3967">
        <v>581.66</v>
      </c>
      <c r="C3967">
        <v>581.82000000000005</v>
      </c>
      <c r="D3967">
        <v>568.47</v>
      </c>
      <c r="E3967">
        <v>568.47</v>
      </c>
      <c r="F3967" s="2">
        <v>2160000000</v>
      </c>
    </row>
    <row r="3968" spans="1:6">
      <c r="A3968" s="32">
        <v>37907</v>
      </c>
      <c r="B3968">
        <v>584.80999999999995</v>
      </c>
      <c r="C3968">
        <v>588.33000000000004</v>
      </c>
      <c r="D3968">
        <v>578.54</v>
      </c>
      <c r="E3968">
        <v>578.59</v>
      </c>
      <c r="F3968" s="2">
        <v>2450000000</v>
      </c>
    </row>
    <row r="3969" spans="1:6">
      <c r="A3969" s="32">
        <v>37904</v>
      </c>
      <c r="B3969">
        <v>578.77</v>
      </c>
      <c r="C3969">
        <v>582.41</v>
      </c>
      <c r="D3969">
        <v>574.22</v>
      </c>
      <c r="E3969">
        <v>582.15</v>
      </c>
      <c r="F3969" s="2">
        <v>2780000000</v>
      </c>
    </row>
    <row r="3970" spans="1:6">
      <c r="A3970" s="32">
        <v>37903</v>
      </c>
      <c r="B3970">
        <v>561.24</v>
      </c>
      <c r="C3970">
        <v>573.76</v>
      </c>
      <c r="D3970">
        <v>561.24</v>
      </c>
      <c r="E3970">
        <v>573.63</v>
      </c>
      <c r="F3970" s="2">
        <v>2420000000</v>
      </c>
    </row>
    <row r="3971" spans="1:6">
      <c r="A3971" s="32">
        <v>37902</v>
      </c>
      <c r="B3971">
        <v>549.23</v>
      </c>
      <c r="C3971">
        <v>560.74</v>
      </c>
      <c r="D3971">
        <v>547.30999999999995</v>
      </c>
      <c r="E3971">
        <v>560.74</v>
      </c>
      <c r="F3971" s="2">
        <v>1780000000</v>
      </c>
    </row>
    <row r="3972" spans="1:6">
      <c r="A3972" s="32">
        <v>37901</v>
      </c>
      <c r="B3972">
        <v>544.39</v>
      </c>
      <c r="C3972">
        <v>550.07000000000005</v>
      </c>
      <c r="D3972">
        <v>541.41</v>
      </c>
      <c r="E3972">
        <v>544.39</v>
      </c>
      <c r="F3972" s="2">
        <v>1310000000</v>
      </c>
    </row>
    <row r="3973" spans="1:6">
      <c r="A3973" s="32">
        <v>37900</v>
      </c>
      <c r="B3973">
        <v>559.53</v>
      </c>
      <c r="C3973">
        <v>561.4</v>
      </c>
      <c r="D3973">
        <v>544.36</v>
      </c>
      <c r="E3973">
        <v>544.36</v>
      </c>
      <c r="F3973" s="2">
        <v>1610000000</v>
      </c>
    </row>
    <row r="3974" spans="1:6">
      <c r="A3974" s="32">
        <v>37897</v>
      </c>
      <c r="B3974">
        <v>569.57000000000005</v>
      </c>
      <c r="C3974">
        <v>569.79</v>
      </c>
      <c r="D3974">
        <v>557.4</v>
      </c>
      <c r="E3974">
        <v>558.34</v>
      </c>
      <c r="F3974" s="2">
        <v>1870000000</v>
      </c>
    </row>
    <row r="3975" spans="1:6">
      <c r="A3975" s="32">
        <v>37896</v>
      </c>
      <c r="B3975">
        <v>571.82000000000005</v>
      </c>
      <c r="C3975">
        <v>573.37</v>
      </c>
      <c r="D3975">
        <v>564.91999999999996</v>
      </c>
      <c r="E3975">
        <v>567.02</v>
      </c>
      <c r="F3975" s="2">
        <v>2350000000</v>
      </c>
    </row>
    <row r="3976" spans="1:6">
      <c r="A3976" s="32">
        <v>37895</v>
      </c>
      <c r="B3976">
        <v>579</v>
      </c>
      <c r="C3976">
        <v>581.29999999999995</v>
      </c>
      <c r="D3976">
        <v>567.70000000000005</v>
      </c>
      <c r="E3976">
        <v>569.75</v>
      </c>
      <c r="F3976" s="2">
        <v>2390000000</v>
      </c>
    </row>
    <row r="3977" spans="1:6">
      <c r="A3977" s="32">
        <v>37894</v>
      </c>
      <c r="B3977">
        <v>584.55999999999995</v>
      </c>
      <c r="C3977">
        <v>585.23</v>
      </c>
      <c r="D3977">
        <v>576.12</v>
      </c>
      <c r="E3977">
        <v>578.98</v>
      </c>
      <c r="F3977" s="2">
        <v>2710000000</v>
      </c>
    </row>
    <row r="3978" spans="1:6">
      <c r="A3978" s="32">
        <v>37893</v>
      </c>
      <c r="B3978">
        <v>580.83000000000004</v>
      </c>
      <c r="C3978">
        <v>581.86</v>
      </c>
      <c r="D3978">
        <v>575.67999999999995</v>
      </c>
      <c r="E3978">
        <v>580.92999999999995</v>
      </c>
      <c r="F3978" s="2">
        <v>2140000000</v>
      </c>
    </row>
    <row r="3979" spans="1:6">
      <c r="A3979" s="32">
        <v>37890</v>
      </c>
      <c r="B3979">
        <v>578.20000000000005</v>
      </c>
      <c r="C3979">
        <v>585.09</v>
      </c>
      <c r="D3979">
        <v>577.79</v>
      </c>
      <c r="E3979">
        <v>580.87</v>
      </c>
      <c r="F3979" s="2">
        <v>3050000000</v>
      </c>
    </row>
    <row r="3980" spans="1:6">
      <c r="A3980" s="32">
        <v>37889</v>
      </c>
      <c r="B3980">
        <v>574.41</v>
      </c>
      <c r="C3980">
        <v>578.87</v>
      </c>
      <c r="D3980">
        <v>573.25</v>
      </c>
      <c r="E3980">
        <v>576.67999999999995</v>
      </c>
      <c r="F3980" s="2">
        <v>2620000000</v>
      </c>
    </row>
    <row r="3981" spans="1:6">
      <c r="A3981" s="32">
        <v>37888</v>
      </c>
      <c r="B3981">
        <v>569.27</v>
      </c>
      <c r="C3981">
        <v>575.66999999999996</v>
      </c>
      <c r="D3981">
        <v>568.67999999999995</v>
      </c>
      <c r="E3981">
        <v>575.54999999999995</v>
      </c>
      <c r="F3981" s="2">
        <v>3590000000</v>
      </c>
    </row>
    <row r="3982" spans="1:6">
      <c r="A3982" s="32">
        <v>37887</v>
      </c>
      <c r="B3982">
        <v>562.44000000000005</v>
      </c>
      <c r="C3982">
        <v>567.05999999999995</v>
      </c>
      <c r="D3982">
        <v>560.57000000000005</v>
      </c>
      <c r="E3982">
        <v>566.13</v>
      </c>
      <c r="F3982" s="2">
        <v>3100000000</v>
      </c>
    </row>
    <row r="3983" spans="1:6">
      <c r="A3983" s="32">
        <v>37886</v>
      </c>
      <c r="B3983">
        <v>566.54</v>
      </c>
      <c r="C3983">
        <v>568.44000000000005</v>
      </c>
      <c r="D3983">
        <v>560.16999999999996</v>
      </c>
      <c r="E3983">
        <v>562.19000000000005</v>
      </c>
      <c r="F3983" s="2">
        <v>2770000000</v>
      </c>
    </row>
    <row r="3984" spans="1:6">
      <c r="A3984" s="32">
        <v>37883</v>
      </c>
      <c r="B3984">
        <v>561.17999999999995</v>
      </c>
      <c r="C3984">
        <v>567.99</v>
      </c>
      <c r="D3984">
        <v>558.36</v>
      </c>
      <c r="E3984">
        <v>567.21</v>
      </c>
      <c r="F3984" s="2">
        <v>3230000000</v>
      </c>
    </row>
    <row r="3985" spans="1:6">
      <c r="A3985" s="32">
        <v>37882</v>
      </c>
      <c r="B3985">
        <v>563.26</v>
      </c>
      <c r="C3985">
        <v>565.78</v>
      </c>
      <c r="D3985">
        <v>546.63</v>
      </c>
      <c r="E3985">
        <v>553.32000000000005</v>
      </c>
      <c r="F3985" s="2">
        <v>4080000000</v>
      </c>
    </row>
    <row r="3986" spans="1:6">
      <c r="A3986" s="32">
        <v>37881</v>
      </c>
      <c r="B3986">
        <v>573.22</v>
      </c>
      <c r="C3986">
        <v>577.48</v>
      </c>
      <c r="D3986">
        <v>558.29999999999995</v>
      </c>
      <c r="E3986">
        <v>558.70000000000005</v>
      </c>
      <c r="F3986" s="2">
        <v>7010000000</v>
      </c>
    </row>
    <row r="3987" spans="1:6">
      <c r="A3987" s="32">
        <v>37880</v>
      </c>
      <c r="B3987">
        <v>570.70000000000005</v>
      </c>
      <c r="C3987">
        <v>572.84</v>
      </c>
      <c r="D3987">
        <v>564.66</v>
      </c>
      <c r="E3987">
        <v>568.83000000000004</v>
      </c>
      <c r="F3987" s="2">
        <v>5330000000</v>
      </c>
    </row>
    <row r="3988" spans="1:6">
      <c r="A3988" s="32">
        <v>37879</v>
      </c>
      <c r="B3988">
        <v>568.6</v>
      </c>
      <c r="C3988">
        <v>574.51</v>
      </c>
      <c r="D3988">
        <v>564.07000000000005</v>
      </c>
      <c r="E3988">
        <v>566.54</v>
      </c>
      <c r="F3988" s="2">
        <v>5390000000</v>
      </c>
    </row>
    <row r="3989" spans="1:6">
      <c r="A3989" s="32">
        <v>37876</v>
      </c>
      <c r="B3989">
        <v>564.5</v>
      </c>
      <c r="C3989">
        <v>568.83000000000004</v>
      </c>
      <c r="D3989">
        <v>564.13</v>
      </c>
      <c r="E3989">
        <v>568.37</v>
      </c>
      <c r="F3989" s="2">
        <v>6780000000</v>
      </c>
    </row>
    <row r="3990" spans="1:6">
      <c r="A3990" s="32">
        <v>37875</v>
      </c>
      <c r="B3990">
        <v>558.29999999999995</v>
      </c>
      <c r="C3990">
        <v>563.71</v>
      </c>
      <c r="D3990">
        <v>556.98</v>
      </c>
      <c r="E3990">
        <v>561.66</v>
      </c>
      <c r="F3990" s="2">
        <v>6860000000</v>
      </c>
    </row>
    <row r="3991" spans="1:6">
      <c r="A3991" s="32">
        <v>37874</v>
      </c>
      <c r="B3991">
        <v>557.66999999999996</v>
      </c>
      <c r="C3991">
        <v>560.57000000000005</v>
      </c>
      <c r="D3991">
        <v>555.30999999999995</v>
      </c>
      <c r="E3991">
        <v>560.57000000000005</v>
      </c>
      <c r="F3991" s="2">
        <v>3800000000</v>
      </c>
    </row>
    <row r="3992" spans="1:6">
      <c r="A3992" s="32">
        <v>37873</v>
      </c>
      <c r="B3992">
        <v>566.34</v>
      </c>
      <c r="C3992">
        <v>571.73</v>
      </c>
      <c r="D3992">
        <v>557.54999999999995</v>
      </c>
      <c r="E3992">
        <v>557.54999999999995</v>
      </c>
      <c r="F3992" s="2">
        <v>4730000000</v>
      </c>
    </row>
    <row r="3993" spans="1:6">
      <c r="A3993" s="32">
        <v>37872</v>
      </c>
      <c r="B3993">
        <v>558.91</v>
      </c>
      <c r="C3993">
        <v>564.84</v>
      </c>
      <c r="D3993">
        <v>556.69000000000005</v>
      </c>
      <c r="E3993">
        <v>564.41</v>
      </c>
      <c r="F3993" s="2">
        <v>3590000000</v>
      </c>
    </row>
    <row r="3994" spans="1:6">
      <c r="A3994" s="32">
        <v>37869</v>
      </c>
      <c r="B3994">
        <v>550.29999999999995</v>
      </c>
      <c r="C3994">
        <v>559.16999999999996</v>
      </c>
      <c r="D3994">
        <v>549.70000000000005</v>
      </c>
      <c r="E3994">
        <v>557.80999999999995</v>
      </c>
      <c r="F3994" s="2">
        <v>3780000000</v>
      </c>
    </row>
    <row r="3995" spans="1:6">
      <c r="A3995" s="32">
        <v>37868</v>
      </c>
      <c r="B3995">
        <v>544.23</v>
      </c>
      <c r="C3995">
        <v>548.61</v>
      </c>
      <c r="D3995">
        <v>543.07000000000005</v>
      </c>
      <c r="E3995">
        <v>545.42999999999995</v>
      </c>
      <c r="F3995" s="2">
        <v>3260000000</v>
      </c>
    </row>
    <row r="3996" spans="1:6">
      <c r="A3996" s="32">
        <v>37867</v>
      </c>
      <c r="B3996">
        <v>542.04999999999995</v>
      </c>
      <c r="C3996">
        <v>547.53</v>
      </c>
      <c r="D3996">
        <v>539.71</v>
      </c>
      <c r="E3996">
        <v>539.88</v>
      </c>
      <c r="F3996" s="2">
        <v>3480000000</v>
      </c>
    </row>
    <row r="3997" spans="1:6">
      <c r="A3997" s="32">
        <v>37866</v>
      </c>
      <c r="B3997">
        <v>545.65</v>
      </c>
      <c r="C3997">
        <v>549.49</v>
      </c>
      <c r="D3997">
        <v>540.84</v>
      </c>
      <c r="E3997">
        <v>541.9</v>
      </c>
      <c r="F3997" s="2">
        <v>4040000000</v>
      </c>
    </row>
    <row r="3998" spans="1:6">
      <c r="A3998" s="32">
        <v>37865</v>
      </c>
      <c r="B3998">
        <v>543.36</v>
      </c>
      <c r="C3998">
        <v>546.87</v>
      </c>
      <c r="D3998">
        <v>540.69000000000005</v>
      </c>
      <c r="E3998">
        <v>545.23</v>
      </c>
      <c r="F3998" s="2">
        <v>3540000000</v>
      </c>
    </row>
    <row r="3999" spans="1:6">
      <c r="A3999" s="32">
        <v>37862</v>
      </c>
      <c r="B3999">
        <v>537.77</v>
      </c>
      <c r="C3999">
        <v>540.70000000000005</v>
      </c>
      <c r="D3999">
        <v>535.94000000000005</v>
      </c>
      <c r="E3999">
        <v>537.71</v>
      </c>
      <c r="F3999" s="2">
        <v>4280000000</v>
      </c>
    </row>
    <row r="4000" spans="1:6">
      <c r="A4000" s="32">
        <v>37861</v>
      </c>
      <c r="B4000">
        <v>526.26</v>
      </c>
      <c r="C4000">
        <v>535.91</v>
      </c>
      <c r="D4000">
        <v>526.26</v>
      </c>
      <c r="E4000">
        <v>535.91</v>
      </c>
      <c r="F4000" s="2">
        <v>4490000000</v>
      </c>
    </row>
    <row r="4001" spans="1:6">
      <c r="A4001" s="32">
        <v>37860</v>
      </c>
      <c r="B4001">
        <v>531.70000000000005</v>
      </c>
      <c r="C4001">
        <v>532.46</v>
      </c>
      <c r="D4001">
        <v>524.19000000000005</v>
      </c>
      <c r="E4001">
        <v>525.82000000000005</v>
      </c>
      <c r="F4001" s="2">
        <v>3990000000</v>
      </c>
    </row>
    <row r="4002" spans="1:6">
      <c r="A4002" s="32">
        <v>37859</v>
      </c>
      <c r="B4002">
        <v>528.67999999999995</v>
      </c>
      <c r="C4002">
        <v>531.05999999999995</v>
      </c>
      <c r="D4002">
        <v>523.04</v>
      </c>
      <c r="E4002">
        <v>531.05999999999995</v>
      </c>
      <c r="F4002" s="2">
        <v>2670000000</v>
      </c>
    </row>
    <row r="4003" spans="1:6">
      <c r="A4003" s="32">
        <v>37858</v>
      </c>
      <c r="B4003">
        <v>538.91</v>
      </c>
      <c r="C4003">
        <v>539.91</v>
      </c>
      <c r="D4003">
        <v>527.99</v>
      </c>
      <c r="E4003">
        <v>529.53</v>
      </c>
      <c r="F4003" s="2">
        <v>2810000000</v>
      </c>
    </row>
    <row r="4004" spans="1:6">
      <c r="A4004" s="32">
        <v>37855</v>
      </c>
      <c r="B4004">
        <v>534.82000000000005</v>
      </c>
      <c r="C4004">
        <v>537.26</v>
      </c>
      <c r="D4004">
        <v>533.16</v>
      </c>
      <c r="E4004">
        <v>534.80999999999995</v>
      </c>
      <c r="F4004" s="2">
        <v>3360000000</v>
      </c>
    </row>
    <row r="4005" spans="1:6">
      <c r="A4005" s="32">
        <v>37854</v>
      </c>
      <c r="B4005">
        <v>523.95000000000005</v>
      </c>
      <c r="C4005">
        <v>534.63</v>
      </c>
      <c r="D4005">
        <v>523.95000000000005</v>
      </c>
      <c r="E4005">
        <v>530.21</v>
      </c>
      <c r="F4005" s="2">
        <v>3870000000</v>
      </c>
    </row>
    <row r="4006" spans="1:6">
      <c r="A4006" s="32">
        <v>37853</v>
      </c>
      <c r="B4006">
        <v>526.29</v>
      </c>
      <c r="C4006">
        <v>528.54</v>
      </c>
      <c r="D4006">
        <v>517.63</v>
      </c>
      <c r="E4006">
        <v>521.1</v>
      </c>
      <c r="F4006" s="2">
        <v>3750000000</v>
      </c>
    </row>
    <row r="4007" spans="1:6">
      <c r="A4007" s="32">
        <v>37852</v>
      </c>
      <c r="B4007">
        <v>523.51</v>
      </c>
      <c r="C4007">
        <v>528.74</v>
      </c>
      <c r="D4007">
        <v>523.51</v>
      </c>
      <c r="E4007">
        <v>525.94000000000005</v>
      </c>
      <c r="F4007" s="2">
        <v>4180000000</v>
      </c>
    </row>
    <row r="4008" spans="1:6">
      <c r="A4008" s="32">
        <v>37851</v>
      </c>
      <c r="B4008">
        <v>522.34</v>
      </c>
      <c r="C4008">
        <v>525.55999999999995</v>
      </c>
      <c r="D4008">
        <v>520.42999999999995</v>
      </c>
      <c r="E4008">
        <v>520.51</v>
      </c>
      <c r="F4008" s="2">
        <v>2740000000</v>
      </c>
    </row>
    <row r="4009" spans="1:6">
      <c r="A4009" s="32">
        <v>37848</v>
      </c>
      <c r="B4009">
        <v>518.9</v>
      </c>
      <c r="C4009">
        <v>520.74</v>
      </c>
      <c r="D4009">
        <v>516.38</v>
      </c>
      <c r="E4009">
        <v>519.04</v>
      </c>
      <c r="F4009" s="2">
        <v>2000000000</v>
      </c>
    </row>
    <row r="4010" spans="1:6">
      <c r="A4010" s="32">
        <v>37847</v>
      </c>
      <c r="B4010">
        <v>521.79999999999995</v>
      </c>
      <c r="C4010">
        <v>524.37</v>
      </c>
      <c r="D4010">
        <v>516.34</v>
      </c>
      <c r="E4010">
        <v>518.83000000000004</v>
      </c>
      <c r="F4010" s="2">
        <v>3490000000</v>
      </c>
    </row>
    <row r="4011" spans="1:6">
      <c r="A4011" s="32">
        <v>37846</v>
      </c>
      <c r="B4011">
        <v>518.78</v>
      </c>
      <c r="C4011">
        <v>525.73</v>
      </c>
      <c r="D4011">
        <v>518.04999999999995</v>
      </c>
      <c r="E4011">
        <v>525.15</v>
      </c>
      <c r="F4011" s="2">
        <v>3120000000</v>
      </c>
    </row>
    <row r="4012" spans="1:6">
      <c r="A4012" s="32">
        <v>37844</v>
      </c>
      <c r="B4012">
        <v>507.05</v>
      </c>
      <c r="C4012">
        <v>513.49</v>
      </c>
      <c r="D4012">
        <v>507.05</v>
      </c>
      <c r="E4012">
        <v>513.19000000000005</v>
      </c>
      <c r="F4012" s="2">
        <v>2490000000</v>
      </c>
    </row>
    <row r="4013" spans="1:6">
      <c r="A4013" s="32">
        <v>37841</v>
      </c>
      <c r="B4013">
        <v>504.53</v>
      </c>
      <c r="C4013">
        <v>505.64</v>
      </c>
      <c r="D4013">
        <v>501.84</v>
      </c>
      <c r="E4013">
        <v>503.2</v>
      </c>
      <c r="F4013" s="2">
        <v>3870000000</v>
      </c>
    </row>
    <row r="4014" spans="1:6">
      <c r="A4014" s="32">
        <v>37840</v>
      </c>
      <c r="B4014">
        <v>491.2</v>
      </c>
      <c r="C4014">
        <v>498.43</v>
      </c>
      <c r="D4014">
        <v>491.2</v>
      </c>
      <c r="E4014">
        <v>498.38</v>
      </c>
      <c r="F4014" s="2">
        <v>2780000000</v>
      </c>
    </row>
    <row r="4015" spans="1:6">
      <c r="A4015" s="32">
        <v>37839</v>
      </c>
      <c r="B4015">
        <v>488.93</v>
      </c>
      <c r="C4015">
        <v>492.04</v>
      </c>
      <c r="D4015">
        <v>486.57</v>
      </c>
      <c r="E4015">
        <v>489.77</v>
      </c>
      <c r="F4015" s="2">
        <v>1910000000</v>
      </c>
    </row>
    <row r="4016" spans="1:6">
      <c r="A4016" s="32">
        <v>37838</v>
      </c>
      <c r="B4016">
        <v>497.3</v>
      </c>
      <c r="C4016">
        <v>497.89</v>
      </c>
      <c r="D4016">
        <v>489.86</v>
      </c>
      <c r="E4016">
        <v>489.99</v>
      </c>
      <c r="F4016" s="2">
        <v>2400000000</v>
      </c>
    </row>
    <row r="4017" spans="1:6">
      <c r="A4017" s="32">
        <v>37837</v>
      </c>
      <c r="B4017">
        <v>492.45</v>
      </c>
      <c r="C4017">
        <v>495.82</v>
      </c>
      <c r="D4017">
        <v>491.99</v>
      </c>
      <c r="E4017">
        <v>494.84</v>
      </c>
      <c r="F4017" s="2">
        <v>2510000000</v>
      </c>
    </row>
    <row r="4018" spans="1:6">
      <c r="A4018" s="32">
        <v>37834</v>
      </c>
      <c r="B4018">
        <v>487.52</v>
      </c>
      <c r="C4018">
        <v>492.09</v>
      </c>
      <c r="D4018">
        <v>486.81</v>
      </c>
      <c r="E4018">
        <v>491.54</v>
      </c>
      <c r="F4018" s="2">
        <v>2830000000</v>
      </c>
    </row>
    <row r="4019" spans="1:6">
      <c r="A4019" s="32">
        <v>37833</v>
      </c>
      <c r="B4019">
        <v>475.39</v>
      </c>
      <c r="C4019">
        <v>484.11</v>
      </c>
      <c r="D4019">
        <v>475.39</v>
      </c>
      <c r="E4019">
        <v>484.11</v>
      </c>
      <c r="F4019" s="2">
        <v>2120000000</v>
      </c>
    </row>
    <row r="4020" spans="1:6">
      <c r="A4020" s="32">
        <v>37832</v>
      </c>
      <c r="B4020">
        <v>478.01</v>
      </c>
      <c r="C4020">
        <v>481.88</v>
      </c>
      <c r="D4020">
        <v>474.1</v>
      </c>
      <c r="E4020">
        <v>474.9</v>
      </c>
      <c r="F4020" s="2">
        <v>2090000000</v>
      </c>
    </row>
    <row r="4021" spans="1:6">
      <c r="A4021" s="32">
        <v>37831</v>
      </c>
      <c r="B4021">
        <v>481.88</v>
      </c>
      <c r="C4021">
        <v>482.04</v>
      </c>
      <c r="D4021">
        <v>476.76</v>
      </c>
      <c r="E4021">
        <v>478.29</v>
      </c>
      <c r="F4021" s="2">
        <v>2070000000</v>
      </c>
    </row>
    <row r="4022" spans="1:6">
      <c r="A4022" s="32">
        <v>37830</v>
      </c>
      <c r="B4022">
        <v>486.23</v>
      </c>
      <c r="C4022">
        <v>489</v>
      </c>
      <c r="D4022">
        <v>480.48</v>
      </c>
      <c r="E4022">
        <v>480.48</v>
      </c>
      <c r="F4022" s="2">
        <v>2540000000</v>
      </c>
    </row>
    <row r="4023" spans="1:6">
      <c r="A4023" s="32">
        <v>37827</v>
      </c>
      <c r="B4023">
        <v>479.07</v>
      </c>
      <c r="C4023">
        <v>485.9</v>
      </c>
      <c r="D4023">
        <v>477.49</v>
      </c>
      <c r="E4023">
        <v>484.86</v>
      </c>
      <c r="F4023" s="2">
        <v>2220000000</v>
      </c>
    </row>
    <row r="4024" spans="1:6">
      <c r="A4024" s="32">
        <v>37826</v>
      </c>
      <c r="B4024">
        <v>480.75</v>
      </c>
      <c r="C4024">
        <v>483.13</v>
      </c>
      <c r="D4024">
        <v>476.56</v>
      </c>
      <c r="E4024">
        <v>478.9</v>
      </c>
      <c r="F4024" s="2">
        <v>2010000000</v>
      </c>
    </row>
    <row r="4025" spans="1:6">
      <c r="A4025" s="32">
        <v>37825</v>
      </c>
      <c r="B4025">
        <v>488.63</v>
      </c>
      <c r="C4025">
        <v>489.25</v>
      </c>
      <c r="D4025">
        <v>480.16</v>
      </c>
      <c r="E4025">
        <v>480.44</v>
      </c>
      <c r="F4025" s="2">
        <v>2510000000</v>
      </c>
    </row>
    <row r="4026" spans="1:6">
      <c r="A4026" s="32">
        <v>37824</v>
      </c>
      <c r="B4026">
        <v>487.43</v>
      </c>
      <c r="C4026">
        <v>489.37</v>
      </c>
      <c r="D4026">
        <v>481.03</v>
      </c>
      <c r="E4026">
        <v>488.58</v>
      </c>
      <c r="F4026" s="2">
        <v>2210000000</v>
      </c>
    </row>
    <row r="4027" spans="1:6">
      <c r="A4027" s="32">
        <v>37823</v>
      </c>
      <c r="B4027">
        <v>495.7</v>
      </c>
      <c r="C4027">
        <v>496.81</v>
      </c>
      <c r="D4027">
        <v>486.44</v>
      </c>
      <c r="E4027">
        <v>487.44</v>
      </c>
      <c r="F4027" s="2">
        <v>2310000000</v>
      </c>
    </row>
    <row r="4028" spans="1:6">
      <c r="A4028" s="32">
        <v>37820</v>
      </c>
      <c r="B4028">
        <v>495.54</v>
      </c>
      <c r="C4028">
        <v>498.1</v>
      </c>
      <c r="D4028">
        <v>491.08</v>
      </c>
      <c r="E4028">
        <v>493.04</v>
      </c>
      <c r="F4028" s="2">
        <v>3570000000</v>
      </c>
    </row>
    <row r="4029" spans="1:6">
      <c r="A4029" s="32">
        <v>37819</v>
      </c>
      <c r="B4029">
        <v>503.62</v>
      </c>
      <c r="C4029">
        <v>505.35</v>
      </c>
      <c r="D4029">
        <v>494.67</v>
      </c>
      <c r="E4029">
        <v>495.08</v>
      </c>
      <c r="F4029" s="2">
        <v>5000000000</v>
      </c>
    </row>
    <row r="4030" spans="1:6">
      <c r="A4030" s="32">
        <v>37818</v>
      </c>
      <c r="B4030">
        <v>498.83</v>
      </c>
      <c r="C4030">
        <v>503.19</v>
      </c>
      <c r="D4030">
        <v>496.58</v>
      </c>
      <c r="E4030">
        <v>503.19</v>
      </c>
      <c r="F4030" s="2">
        <v>3030000000</v>
      </c>
    </row>
    <row r="4031" spans="1:6">
      <c r="A4031" s="32">
        <v>37817</v>
      </c>
      <c r="B4031">
        <v>490.12</v>
      </c>
      <c r="C4031">
        <v>495.63</v>
      </c>
      <c r="D4031">
        <v>488.98</v>
      </c>
      <c r="E4031">
        <v>494.2</v>
      </c>
      <c r="F4031" s="2">
        <v>3580000000</v>
      </c>
    </row>
    <row r="4032" spans="1:6">
      <c r="A4032" s="32">
        <v>37813</v>
      </c>
      <c r="B4032">
        <v>468.59</v>
      </c>
      <c r="C4032">
        <v>484.46</v>
      </c>
      <c r="D4032">
        <v>467.54</v>
      </c>
      <c r="E4032">
        <v>484.39</v>
      </c>
      <c r="F4032" s="2">
        <v>3810000000</v>
      </c>
    </row>
    <row r="4033" spans="1:6">
      <c r="A4033" s="32">
        <v>37812</v>
      </c>
      <c r="B4033">
        <v>480.78</v>
      </c>
      <c r="C4033">
        <v>480.78</v>
      </c>
      <c r="D4033">
        <v>464.79</v>
      </c>
      <c r="E4033">
        <v>474.28</v>
      </c>
      <c r="F4033" s="2">
        <v>3730000000</v>
      </c>
    </row>
    <row r="4034" spans="1:6">
      <c r="A4034" s="32">
        <v>37811</v>
      </c>
      <c r="B4034">
        <v>497.61</v>
      </c>
      <c r="C4034">
        <v>498.66</v>
      </c>
      <c r="D4034">
        <v>482.52</v>
      </c>
      <c r="E4034">
        <v>482.52</v>
      </c>
      <c r="F4034" s="2">
        <v>3980000000</v>
      </c>
    </row>
    <row r="4035" spans="1:6">
      <c r="A4035" s="32">
        <v>37810</v>
      </c>
      <c r="B4035">
        <v>495.39</v>
      </c>
      <c r="C4035">
        <v>498.18</v>
      </c>
      <c r="D4035">
        <v>491.3</v>
      </c>
      <c r="E4035">
        <v>496.64</v>
      </c>
      <c r="F4035" s="2">
        <v>5130000000</v>
      </c>
    </row>
    <row r="4036" spans="1:6">
      <c r="A4036" s="32">
        <v>37809</v>
      </c>
      <c r="B4036">
        <v>498.32</v>
      </c>
      <c r="C4036">
        <v>499.97</v>
      </c>
      <c r="D4036">
        <v>486.47</v>
      </c>
      <c r="E4036">
        <v>489.33</v>
      </c>
      <c r="F4036" s="2">
        <v>5340000000</v>
      </c>
    </row>
    <row r="4037" spans="1:6">
      <c r="A4037" s="32">
        <v>37806</v>
      </c>
      <c r="B4037">
        <v>492.21</v>
      </c>
      <c r="C4037">
        <v>498.05</v>
      </c>
      <c r="D4037">
        <v>486.57</v>
      </c>
      <c r="E4037">
        <v>495.72</v>
      </c>
      <c r="F4037" s="2">
        <v>5210000000</v>
      </c>
    </row>
    <row r="4038" spans="1:6">
      <c r="A4038" s="32">
        <v>37805</v>
      </c>
      <c r="B4038">
        <v>480.15</v>
      </c>
      <c r="C4038">
        <v>492.96</v>
      </c>
      <c r="D4038">
        <v>480.15</v>
      </c>
      <c r="E4038">
        <v>489.8</v>
      </c>
      <c r="F4038" s="2">
        <v>4220000000</v>
      </c>
    </row>
    <row r="4039" spans="1:6">
      <c r="A4039" s="32">
        <v>37804</v>
      </c>
      <c r="B4039">
        <v>462.85</v>
      </c>
      <c r="C4039">
        <v>477.73</v>
      </c>
      <c r="D4039">
        <v>462.85</v>
      </c>
      <c r="E4039">
        <v>477.73</v>
      </c>
      <c r="F4039" s="2">
        <v>2530000000</v>
      </c>
    </row>
    <row r="4040" spans="1:6">
      <c r="A4040" s="32">
        <v>37802</v>
      </c>
      <c r="B4040">
        <v>459.07</v>
      </c>
      <c r="C4040">
        <v>461.92</v>
      </c>
      <c r="D4040">
        <v>457.24</v>
      </c>
      <c r="E4040">
        <v>461.82</v>
      </c>
      <c r="F4040" s="2">
        <v>1740000000</v>
      </c>
    </row>
    <row r="4041" spans="1:6">
      <c r="A4041" s="32">
        <v>37799</v>
      </c>
      <c r="B4041">
        <v>461.8</v>
      </c>
      <c r="C4041">
        <v>467.33</v>
      </c>
      <c r="D4041">
        <v>456.46</v>
      </c>
      <c r="E4041">
        <v>457.51</v>
      </c>
      <c r="F4041" s="2">
        <v>2950000000</v>
      </c>
    </row>
    <row r="4042" spans="1:6">
      <c r="A4042" s="32">
        <v>37798</v>
      </c>
      <c r="B4042">
        <v>453.93</v>
      </c>
      <c r="C4042">
        <v>460.51</v>
      </c>
      <c r="D4042">
        <v>453.25</v>
      </c>
      <c r="E4042">
        <v>459.34</v>
      </c>
      <c r="F4042" s="2">
        <v>2820000000</v>
      </c>
    </row>
    <row r="4043" spans="1:6">
      <c r="A4043" s="32">
        <v>37797</v>
      </c>
      <c r="B4043">
        <v>450.81</v>
      </c>
      <c r="C4043">
        <v>453.89</v>
      </c>
      <c r="D4043">
        <v>445.53</v>
      </c>
      <c r="E4043">
        <v>453.89</v>
      </c>
      <c r="F4043" s="2">
        <v>2000000000</v>
      </c>
    </row>
    <row r="4044" spans="1:6">
      <c r="A4044" s="32">
        <v>37796</v>
      </c>
      <c r="B4044">
        <v>458.28</v>
      </c>
      <c r="C4044">
        <v>459.59</v>
      </c>
      <c r="D4044">
        <v>448.8</v>
      </c>
      <c r="E4044">
        <v>450.02</v>
      </c>
      <c r="F4044" s="2">
        <v>2660000000</v>
      </c>
    </row>
    <row r="4045" spans="1:6">
      <c r="A4045" s="32">
        <v>37795</v>
      </c>
      <c r="B4045">
        <v>454.04</v>
      </c>
      <c r="C4045">
        <v>460.3</v>
      </c>
      <c r="D4045">
        <v>454.04</v>
      </c>
      <c r="E4045">
        <v>458.79</v>
      </c>
      <c r="F4045" s="2">
        <v>2540000000</v>
      </c>
    </row>
    <row r="4046" spans="1:6">
      <c r="A4046" s="32">
        <v>37792</v>
      </c>
      <c r="B4046">
        <v>453.92</v>
      </c>
      <c r="C4046">
        <v>455.27</v>
      </c>
      <c r="D4046">
        <v>450.79</v>
      </c>
      <c r="E4046">
        <v>452.66</v>
      </c>
      <c r="F4046" s="2">
        <v>3160000000</v>
      </c>
    </row>
    <row r="4047" spans="1:6">
      <c r="A4047" s="32">
        <v>37791</v>
      </c>
      <c r="B4047">
        <v>447.01</v>
      </c>
      <c r="C4047">
        <v>454.19</v>
      </c>
      <c r="D4047">
        <v>444.77</v>
      </c>
      <c r="E4047">
        <v>454.19</v>
      </c>
      <c r="F4047" s="2">
        <v>2940000000</v>
      </c>
    </row>
    <row r="4048" spans="1:6">
      <c r="A4048" s="32">
        <v>37790</v>
      </c>
      <c r="B4048">
        <v>445.78</v>
      </c>
      <c r="C4048">
        <v>447.72</v>
      </c>
      <c r="D4048">
        <v>440.4</v>
      </c>
      <c r="E4048">
        <v>446.2</v>
      </c>
      <c r="F4048" s="2">
        <v>2220000000</v>
      </c>
    </row>
    <row r="4049" spans="1:6">
      <c r="A4049" s="32">
        <v>37789</v>
      </c>
      <c r="B4049">
        <v>429.81</v>
      </c>
      <c r="C4049">
        <v>443.55</v>
      </c>
      <c r="D4049">
        <v>429.81</v>
      </c>
      <c r="E4049">
        <v>442.3</v>
      </c>
      <c r="F4049" s="2">
        <v>1370000000</v>
      </c>
    </row>
    <row r="4050" spans="1:6">
      <c r="A4050" s="32">
        <v>37788</v>
      </c>
      <c r="B4050">
        <v>429.34</v>
      </c>
      <c r="C4050">
        <v>434.77</v>
      </c>
      <c r="D4050">
        <v>428.1</v>
      </c>
      <c r="E4050">
        <v>429.75</v>
      </c>
      <c r="F4050" s="2">
        <v>784610000</v>
      </c>
    </row>
    <row r="4051" spans="1:6">
      <c r="A4051" s="32">
        <v>37785</v>
      </c>
      <c r="B4051">
        <v>433.24</v>
      </c>
      <c r="C4051">
        <v>443.3</v>
      </c>
      <c r="D4051">
        <v>427.97</v>
      </c>
      <c r="E4051">
        <v>427.97</v>
      </c>
      <c r="F4051" s="2">
        <v>2020000000</v>
      </c>
    </row>
    <row r="4052" spans="1:6">
      <c r="A4052" s="32">
        <v>37784</v>
      </c>
      <c r="B4052">
        <v>423.96</v>
      </c>
      <c r="C4052">
        <v>431.94</v>
      </c>
      <c r="D4052">
        <v>423.96</v>
      </c>
      <c r="E4052">
        <v>431.73</v>
      </c>
      <c r="F4052" s="2">
        <v>1560000000</v>
      </c>
    </row>
    <row r="4053" spans="1:6">
      <c r="A4053" s="32">
        <v>37783</v>
      </c>
      <c r="B4053">
        <v>424.01</v>
      </c>
      <c r="C4053">
        <v>425.09</v>
      </c>
      <c r="D4053">
        <v>420.31</v>
      </c>
      <c r="E4053">
        <v>422.6</v>
      </c>
      <c r="F4053" s="2">
        <v>1300000000</v>
      </c>
    </row>
    <row r="4054" spans="1:6">
      <c r="A4054" s="32">
        <v>37782</v>
      </c>
      <c r="B4054">
        <v>417.71</v>
      </c>
      <c r="C4054">
        <v>424.05</v>
      </c>
      <c r="D4054">
        <v>416.67</v>
      </c>
      <c r="E4054">
        <v>424.05</v>
      </c>
      <c r="F4054" s="2">
        <v>1100000000</v>
      </c>
    </row>
    <row r="4055" spans="1:6">
      <c r="A4055" s="32">
        <v>37781</v>
      </c>
      <c r="B4055">
        <v>418.58</v>
      </c>
      <c r="C4055">
        <v>419.67</v>
      </c>
      <c r="D4055">
        <v>416.83</v>
      </c>
      <c r="E4055">
        <v>419.28</v>
      </c>
      <c r="F4055" s="2">
        <v>898280000</v>
      </c>
    </row>
    <row r="4056" spans="1:6">
      <c r="A4056" s="32">
        <v>37778</v>
      </c>
      <c r="B4056">
        <v>417.76</v>
      </c>
      <c r="C4056">
        <v>418.7</v>
      </c>
      <c r="D4056">
        <v>414.64</v>
      </c>
      <c r="E4056">
        <v>418.21</v>
      </c>
      <c r="F4056" s="2">
        <v>1140000000</v>
      </c>
    </row>
    <row r="4057" spans="1:6">
      <c r="A4057" s="32">
        <v>37777</v>
      </c>
      <c r="B4057">
        <v>413.82</v>
      </c>
      <c r="C4057">
        <v>420.42</v>
      </c>
      <c r="D4057">
        <v>413.82</v>
      </c>
      <c r="E4057">
        <v>415.63</v>
      </c>
      <c r="F4057" s="2">
        <v>1580000000</v>
      </c>
    </row>
    <row r="4058" spans="1:6">
      <c r="A4058" s="32">
        <v>37776</v>
      </c>
      <c r="B4058">
        <v>403.75</v>
      </c>
      <c r="C4058">
        <v>413.02</v>
      </c>
      <c r="D4058">
        <v>403.75</v>
      </c>
      <c r="E4058">
        <v>412.68</v>
      </c>
      <c r="F4058" s="2">
        <v>1150000000</v>
      </c>
    </row>
    <row r="4059" spans="1:6">
      <c r="A4059" s="32">
        <v>37775</v>
      </c>
      <c r="B4059">
        <v>405.08</v>
      </c>
      <c r="C4059">
        <v>405.63</v>
      </c>
      <c r="D4059">
        <v>401.98</v>
      </c>
      <c r="E4059">
        <v>403.69</v>
      </c>
      <c r="F4059" s="2">
        <v>778730000</v>
      </c>
    </row>
    <row r="4060" spans="1:6">
      <c r="A4060" s="32">
        <v>37774</v>
      </c>
      <c r="B4060">
        <v>404.35</v>
      </c>
      <c r="C4060">
        <v>407.97</v>
      </c>
      <c r="D4060">
        <v>404.32</v>
      </c>
      <c r="E4060">
        <v>404.78</v>
      </c>
      <c r="F4060" s="2">
        <v>900350000</v>
      </c>
    </row>
    <row r="4061" spans="1:6">
      <c r="A4061" s="32">
        <v>37771</v>
      </c>
      <c r="B4061">
        <v>405.68</v>
      </c>
      <c r="C4061">
        <v>407.24</v>
      </c>
      <c r="D4061">
        <v>401.74</v>
      </c>
      <c r="E4061">
        <v>403.82</v>
      </c>
      <c r="F4061" s="2">
        <v>1260000000</v>
      </c>
    </row>
    <row r="4062" spans="1:6">
      <c r="A4062" s="32">
        <v>37770</v>
      </c>
      <c r="B4062">
        <v>403.1</v>
      </c>
      <c r="C4062">
        <v>407.67</v>
      </c>
      <c r="D4062">
        <v>401.53</v>
      </c>
      <c r="E4062">
        <v>403.4</v>
      </c>
      <c r="F4062" s="2">
        <v>1270000000</v>
      </c>
    </row>
    <row r="4063" spans="1:6">
      <c r="A4063" s="32">
        <v>37769</v>
      </c>
      <c r="B4063">
        <v>401.64</v>
      </c>
      <c r="C4063">
        <v>405.51</v>
      </c>
      <c r="D4063">
        <v>401.64</v>
      </c>
      <c r="E4063">
        <v>402.98</v>
      </c>
      <c r="F4063" s="2">
        <v>1500000000</v>
      </c>
    </row>
    <row r="4064" spans="1:6">
      <c r="A4064" s="32">
        <v>37768</v>
      </c>
      <c r="B4064">
        <v>396.51</v>
      </c>
      <c r="C4064">
        <v>400.69</v>
      </c>
      <c r="D4064">
        <v>396.36</v>
      </c>
      <c r="E4064">
        <v>400.69</v>
      </c>
      <c r="F4064" s="2">
        <v>1050000000</v>
      </c>
    </row>
    <row r="4065" spans="1:6">
      <c r="A4065" s="32">
        <v>37767</v>
      </c>
      <c r="B4065">
        <v>395.54</v>
      </c>
      <c r="C4065">
        <v>399.68</v>
      </c>
      <c r="D4065">
        <v>395.54</v>
      </c>
      <c r="E4065">
        <v>396.88</v>
      </c>
      <c r="F4065" s="2">
        <v>1310000000</v>
      </c>
    </row>
    <row r="4066" spans="1:6">
      <c r="A4066" s="32">
        <v>37764</v>
      </c>
      <c r="B4066">
        <v>390.29</v>
      </c>
      <c r="C4066">
        <v>396.66</v>
      </c>
      <c r="D4066">
        <v>390.29</v>
      </c>
      <c r="E4066">
        <v>395.52</v>
      </c>
      <c r="F4066" s="2">
        <v>1580000000</v>
      </c>
    </row>
    <row r="4067" spans="1:6">
      <c r="A4067" s="32">
        <v>37763</v>
      </c>
      <c r="B4067">
        <v>388.79</v>
      </c>
      <c r="C4067">
        <v>389.74</v>
      </c>
      <c r="D4067">
        <v>386.49</v>
      </c>
      <c r="E4067">
        <v>388.62</v>
      </c>
      <c r="F4067" s="2">
        <v>1460000000</v>
      </c>
    </row>
    <row r="4068" spans="1:6">
      <c r="A4068" s="32">
        <v>37762</v>
      </c>
      <c r="B4068">
        <v>384.1</v>
      </c>
      <c r="C4068">
        <v>387.93</v>
      </c>
      <c r="D4068">
        <v>384.1</v>
      </c>
      <c r="E4068">
        <v>387.37</v>
      </c>
      <c r="F4068" s="2">
        <v>1160000000</v>
      </c>
    </row>
    <row r="4069" spans="1:6">
      <c r="A4069" s="32">
        <v>37761</v>
      </c>
      <c r="B4069">
        <v>378.54</v>
      </c>
      <c r="C4069">
        <v>383.48</v>
      </c>
      <c r="D4069">
        <v>378.54</v>
      </c>
      <c r="E4069">
        <v>382.97</v>
      </c>
      <c r="F4069" s="2">
        <v>818950000</v>
      </c>
    </row>
    <row r="4070" spans="1:6">
      <c r="A4070" s="32">
        <v>37760</v>
      </c>
      <c r="B4070">
        <v>381.94</v>
      </c>
      <c r="C4070">
        <v>381.94</v>
      </c>
      <c r="D4070">
        <v>377.85</v>
      </c>
      <c r="E4070">
        <v>379.03</v>
      </c>
      <c r="F4070" s="2">
        <v>681780000</v>
      </c>
    </row>
    <row r="4071" spans="1:6">
      <c r="A4071" s="32">
        <v>37757</v>
      </c>
      <c r="B4071">
        <v>385.29</v>
      </c>
      <c r="C4071">
        <v>386.87</v>
      </c>
      <c r="D4071">
        <v>383</v>
      </c>
      <c r="E4071">
        <v>383</v>
      </c>
      <c r="F4071" s="2">
        <v>895540000</v>
      </c>
    </row>
    <row r="4072" spans="1:6">
      <c r="A4072" s="32">
        <v>37755</v>
      </c>
      <c r="B4072">
        <v>386.78</v>
      </c>
      <c r="C4072">
        <v>387.75</v>
      </c>
      <c r="D4072">
        <v>384.63</v>
      </c>
      <c r="E4072">
        <v>385.22</v>
      </c>
      <c r="F4072" s="2">
        <v>1060000000</v>
      </c>
    </row>
    <row r="4073" spans="1:6">
      <c r="A4073" s="32">
        <v>37754</v>
      </c>
      <c r="B4073">
        <v>387.1</v>
      </c>
      <c r="C4073">
        <v>388.99</v>
      </c>
      <c r="D4073">
        <v>385.81</v>
      </c>
      <c r="E4073">
        <v>386.79</v>
      </c>
      <c r="F4073" s="2">
        <v>1120000000</v>
      </c>
    </row>
    <row r="4074" spans="1:6">
      <c r="A4074" s="32">
        <v>37753</v>
      </c>
      <c r="B4074">
        <v>385.36</v>
      </c>
      <c r="C4074">
        <v>387.67</v>
      </c>
      <c r="D4074">
        <v>383.49</v>
      </c>
      <c r="E4074">
        <v>383.49</v>
      </c>
      <c r="F4074" s="2">
        <v>1130000000</v>
      </c>
    </row>
    <row r="4075" spans="1:6">
      <c r="A4075" s="32">
        <v>37750</v>
      </c>
      <c r="B4075">
        <v>379.38</v>
      </c>
      <c r="C4075">
        <v>384.56</v>
      </c>
      <c r="D4075">
        <v>379.02</v>
      </c>
      <c r="E4075">
        <v>384.32</v>
      </c>
      <c r="F4075" s="2">
        <v>1150000000</v>
      </c>
    </row>
    <row r="4076" spans="1:6">
      <c r="A4076" s="32">
        <v>37749</v>
      </c>
      <c r="B4076">
        <v>378.83</v>
      </c>
      <c r="C4076">
        <v>379.8</v>
      </c>
      <c r="D4076">
        <v>376.2</v>
      </c>
      <c r="E4076">
        <v>378.2</v>
      </c>
      <c r="F4076" s="2">
        <v>798810000</v>
      </c>
    </row>
    <row r="4077" spans="1:6">
      <c r="A4077" s="32">
        <v>37748</v>
      </c>
      <c r="B4077">
        <v>380.41</v>
      </c>
      <c r="C4077">
        <v>383.75</v>
      </c>
      <c r="D4077">
        <v>378.97</v>
      </c>
      <c r="E4077">
        <v>379.45</v>
      </c>
      <c r="F4077" s="2">
        <v>1020000000</v>
      </c>
    </row>
    <row r="4078" spans="1:6">
      <c r="A4078" s="32">
        <v>37747</v>
      </c>
      <c r="B4078">
        <v>376.23</v>
      </c>
      <c r="C4078">
        <v>380.05</v>
      </c>
      <c r="D4078">
        <v>376.23</v>
      </c>
      <c r="E4078">
        <v>380.05</v>
      </c>
      <c r="F4078" s="2">
        <v>580080000</v>
      </c>
    </row>
    <row r="4079" spans="1:6">
      <c r="A4079" s="32">
        <v>37743</v>
      </c>
      <c r="B4079">
        <v>374.9</v>
      </c>
      <c r="C4079">
        <v>376.68</v>
      </c>
      <c r="D4079">
        <v>373.61</v>
      </c>
      <c r="E4079">
        <v>375.24</v>
      </c>
      <c r="F4079" s="2">
        <v>469050000</v>
      </c>
    </row>
    <row r="4080" spans="1:6">
      <c r="A4080" s="32">
        <v>37741</v>
      </c>
      <c r="B4080">
        <v>374.06</v>
      </c>
      <c r="C4080">
        <v>375.91</v>
      </c>
      <c r="D4080">
        <v>372.4</v>
      </c>
      <c r="E4080">
        <v>374.63</v>
      </c>
      <c r="F4080" s="2">
        <v>688800000</v>
      </c>
    </row>
    <row r="4081" spans="1:6">
      <c r="A4081" s="32">
        <v>37740</v>
      </c>
      <c r="B4081">
        <v>372.25</v>
      </c>
      <c r="C4081">
        <v>374.06</v>
      </c>
      <c r="D4081">
        <v>371.75</v>
      </c>
      <c r="E4081">
        <v>372.92</v>
      </c>
      <c r="F4081" s="2">
        <v>800830000</v>
      </c>
    </row>
    <row r="4082" spans="1:6">
      <c r="A4082" s="32">
        <v>37739</v>
      </c>
      <c r="B4082">
        <v>367.6</v>
      </c>
      <c r="C4082">
        <v>370.45</v>
      </c>
      <c r="D4082">
        <v>366.9</v>
      </c>
      <c r="E4082">
        <v>368.85</v>
      </c>
      <c r="F4082" s="2">
        <v>562260000</v>
      </c>
    </row>
    <row r="4083" spans="1:6">
      <c r="A4083" s="32">
        <v>37736</v>
      </c>
      <c r="B4083">
        <v>367.75</v>
      </c>
      <c r="C4083">
        <v>368.53</v>
      </c>
      <c r="D4083">
        <v>364.14</v>
      </c>
      <c r="E4083">
        <v>368.53</v>
      </c>
      <c r="F4083" s="2">
        <v>894970000</v>
      </c>
    </row>
    <row r="4084" spans="1:6">
      <c r="A4084" s="32">
        <v>37735</v>
      </c>
      <c r="B4084">
        <v>375.86</v>
      </c>
      <c r="C4084">
        <v>375.86</v>
      </c>
      <c r="D4084">
        <v>369.71</v>
      </c>
      <c r="E4084">
        <v>369.71</v>
      </c>
      <c r="F4084" s="2">
        <v>875630000</v>
      </c>
    </row>
    <row r="4085" spans="1:6">
      <c r="A4085" s="32">
        <v>37734</v>
      </c>
      <c r="B4085">
        <v>380.03</v>
      </c>
      <c r="C4085">
        <v>381.22</v>
      </c>
      <c r="D4085">
        <v>375.09</v>
      </c>
      <c r="E4085">
        <v>375.39</v>
      </c>
      <c r="F4085" s="2">
        <v>947740000</v>
      </c>
    </row>
    <row r="4086" spans="1:6">
      <c r="A4086" s="32">
        <v>37733</v>
      </c>
      <c r="B4086">
        <v>385.65</v>
      </c>
      <c r="C4086">
        <v>386.13</v>
      </c>
      <c r="D4086">
        <v>378.77</v>
      </c>
      <c r="E4086">
        <v>378.97</v>
      </c>
      <c r="F4086" s="2">
        <v>1500000000</v>
      </c>
    </row>
    <row r="4087" spans="1:6">
      <c r="A4087" s="32">
        <v>37732</v>
      </c>
      <c r="B4087">
        <v>385.61</v>
      </c>
      <c r="C4087">
        <v>386.89</v>
      </c>
      <c r="D4087">
        <v>383.69</v>
      </c>
      <c r="E4087">
        <v>385.5</v>
      </c>
      <c r="F4087" s="2">
        <v>1200000000</v>
      </c>
    </row>
    <row r="4088" spans="1:6">
      <c r="A4088" s="32">
        <v>37729</v>
      </c>
      <c r="B4088">
        <v>386.53</v>
      </c>
      <c r="C4088">
        <v>388.02</v>
      </c>
      <c r="D4088">
        <v>384.36</v>
      </c>
      <c r="E4088">
        <v>384.5</v>
      </c>
      <c r="F4088" s="2">
        <v>1540000000</v>
      </c>
    </row>
    <row r="4089" spans="1:6">
      <c r="A4089" s="32">
        <v>37728</v>
      </c>
      <c r="B4089">
        <v>386.14</v>
      </c>
      <c r="C4089">
        <v>387.25</v>
      </c>
      <c r="D4089">
        <v>383.54</v>
      </c>
      <c r="E4089">
        <v>384.63</v>
      </c>
      <c r="F4089" s="2">
        <v>1310000000</v>
      </c>
    </row>
    <row r="4090" spans="1:6">
      <c r="A4090" s="32">
        <v>37727</v>
      </c>
      <c r="B4090">
        <v>386.17</v>
      </c>
      <c r="C4090">
        <v>388.52</v>
      </c>
      <c r="D4090">
        <v>383.95</v>
      </c>
      <c r="E4090">
        <v>386.54</v>
      </c>
      <c r="F4090" s="2">
        <v>1490000000</v>
      </c>
    </row>
    <row r="4091" spans="1:6">
      <c r="A4091" s="32">
        <v>37722</v>
      </c>
      <c r="B4091">
        <v>376.46</v>
      </c>
      <c r="C4091">
        <v>383.36</v>
      </c>
      <c r="D4091">
        <v>376.46</v>
      </c>
      <c r="E4091">
        <v>383.36</v>
      </c>
      <c r="F4091" s="2">
        <v>1590000000</v>
      </c>
    </row>
    <row r="4092" spans="1:6">
      <c r="A4092" s="32">
        <v>37721</v>
      </c>
      <c r="B4092">
        <v>376.27</v>
      </c>
      <c r="C4092">
        <v>378.05</v>
      </c>
      <c r="D4092">
        <v>374.61</v>
      </c>
      <c r="E4092">
        <v>375.02</v>
      </c>
      <c r="F4092" s="2">
        <v>1160000000</v>
      </c>
    </row>
    <row r="4093" spans="1:6">
      <c r="A4093" s="32">
        <v>37720</v>
      </c>
      <c r="B4093">
        <v>375.58</v>
      </c>
      <c r="C4093">
        <v>376.82</v>
      </c>
      <c r="D4093">
        <v>374.18</v>
      </c>
      <c r="E4093">
        <v>376.2</v>
      </c>
      <c r="F4093" s="2">
        <v>1270000000</v>
      </c>
    </row>
    <row r="4094" spans="1:6">
      <c r="A4094" s="32">
        <v>37719</v>
      </c>
      <c r="B4094">
        <v>372.19</v>
      </c>
      <c r="C4094">
        <v>378.12</v>
      </c>
      <c r="D4094">
        <v>372.19</v>
      </c>
      <c r="E4094">
        <v>375.82</v>
      </c>
      <c r="F4094" s="2">
        <v>1290000000</v>
      </c>
    </row>
    <row r="4095" spans="1:6">
      <c r="A4095" s="32">
        <v>37715</v>
      </c>
      <c r="B4095">
        <v>365.71</v>
      </c>
      <c r="C4095">
        <v>373.14</v>
      </c>
      <c r="D4095">
        <v>365.71</v>
      </c>
      <c r="E4095">
        <v>371.93</v>
      </c>
      <c r="F4095" s="2">
        <v>1420000000</v>
      </c>
    </row>
    <row r="4096" spans="1:6">
      <c r="A4096" s="32">
        <v>37714</v>
      </c>
      <c r="B4096">
        <v>364.32</v>
      </c>
      <c r="C4096">
        <v>365.12</v>
      </c>
      <c r="D4096">
        <v>362.78</v>
      </c>
      <c r="E4096">
        <v>365.12</v>
      </c>
      <c r="F4096" s="2">
        <v>704920000</v>
      </c>
    </row>
    <row r="4097" spans="1:6">
      <c r="A4097" s="32">
        <v>37713</v>
      </c>
      <c r="B4097">
        <v>359.8</v>
      </c>
      <c r="C4097">
        <v>363.29</v>
      </c>
      <c r="D4097">
        <v>359.41</v>
      </c>
      <c r="E4097">
        <v>363.02</v>
      </c>
      <c r="F4097" s="2">
        <v>687330000</v>
      </c>
    </row>
    <row r="4098" spans="1:6">
      <c r="A4098" s="32">
        <v>37712</v>
      </c>
      <c r="B4098">
        <v>363.24</v>
      </c>
      <c r="C4098">
        <v>363.51</v>
      </c>
      <c r="D4098">
        <v>359.02</v>
      </c>
      <c r="E4098">
        <v>362.22</v>
      </c>
      <c r="F4098" s="2">
        <v>598960000</v>
      </c>
    </row>
    <row r="4099" spans="1:6">
      <c r="A4099" s="32">
        <v>37711</v>
      </c>
      <c r="B4099">
        <v>367.95</v>
      </c>
      <c r="C4099">
        <v>367.95</v>
      </c>
      <c r="D4099">
        <v>363.87</v>
      </c>
      <c r="E4099">
        <v>364.55</v>
      </c>
      <c r="F4099" s="2">
        <v>625550000</v>
      </c>
    </row>
    <row r="4100" spans="1:6">
      <c r="A4100" s="32">
        <v>37708</v>
      </c>
      <c r="B4100">
        <v>368.4</v>
      </c>
      <c r="C4100">
        <v>369.53</v>
      </c>
      <c r="D4100">
        <v>366.51</v>
      </c>
      <c r="E4100">
        <v>369.53</v>
      </c>
      <c r="F4100" s="2">
        <v>683590000</v>
      </c>
    </row>
    <row r="4101" spans="1:6">
      <c r="A4101" s="32">
        <v>37707</v>
      </c>
      <c r="B4101">
        <v>367.85</v>
      </c>
      <c r="C4101">
        <v>369.8</v>
      </c>
      <c r="D4101">
        <v>367.85</v>
      </c>
      <c r="E4101">
        <v>368.94</v>
      </c>
      <c r="F4101" s="2">
        <v>606460000</v>
      </c>
    </row>
    <row r="4102" spans="1:6">
      <c r="A4102" s="32">
        <v>37706</v>
      </c>
      <c r="B4102">
        <v>364.49</v>
      </c>
      <c r="C4102">
        <v>368.94</v>
      </c>
      <c r="D4102">
        <v>364.49</v>
      </c>
      <c r="E4102">
        <v>368.14</v>
      </c>
      <c r="F4102" s="2">
        <v>952220000</v>
      </c>
    </row>
    <row r="4103" spans="1:6">
      <c r="A4103" s="32">
        <v>37705</v>
      </c>
      <c r="B4103">
        <v>358.9</v>
      </c>
      <c r="C4103">
        <v>363.74</v>
      </c>
      <c r="D4103">
        <v>358.61</v>
      </c>
      <c r="E4103">
        <v>363.74</v>
      </c>
      <c r="F4103" s="2">
        <v>632370000</v>
      </c>
    </row>
    <row r="4104" spans="1:6">
      <c r="A4104" s="32">
        <v>37704</v>
      </c>
      <c r="B4104">
        <v>364.23</v>
      </c>
      <c r="C4104">
        <v>365.17</v>
      </c>
      <c r="D4104">
        <v>361.07</v>
      </c>
      <c r="E4104">
        <v>361.28</v>
      </c>
      <c r="F4104" s="2">
        <v>663110000</v>
      </c>
    </row>
    <row r="4105" spans="1:6">
      <c r="A4105" s="32">
        <v>37701</v>
      </c>
      <c r="B4105">
        <v>364.41</v>
      </c>
      <c r="C4105">
        <v>364.87</v>
      </c>
      <c r="D4105">
        <v>362.74</v>
      </c>
      <c r="E4105">
        <v>363.62</v>
      </c>
      <c r="F4105" s="2">
        <v>892510000</v>
      </c>
    </row>
    <row r="4106" spans="1:6">
      <c r="A4106" s="32">
        <v>37700</v>
      </c>
      <c r="B4106">
        <v>363.55</v>
      </c>
      <c r="C4106">
        <v>365.68</v>
      </c>
      <c r="D4106">
        <v>360.7</v>
      </c>
      <c r="E4106">
        <v>364.24</v>
      </c>
      <c r="F4106" s="2">
        <v>1180000000</v>
      </c>
    </row>
    <row r="4107" spans="1:6">
      <c r="A4107" s="32">
        <v>37699</v>
      </c>
      <c r="B4107">
        <v>362.03</v>
      </c>
      <c r="C4107">
        <v>364.93</v>
      </c>
      <c r="D4107">
        <v>359.97</v>
      </c>
      <c r="E4107">
        <v>361.13</v>
      </c>
      <c r="F4107" s="2">
        <v>1090000000</v>
      </c>
    </row>
    <row r="4108" spans="1:6">
      <c r="A4108" s="32">
        <v>37698</v>
      </c>
      <c r="B4108">
        <v>359.83</v>
      </c>
      <c r="C4108">
        <v>362.85</v>
      </c>
      <c r="D4108">
        <v>359.27</v>
      </c>
      <c r="E4108">
        <v>362.85</v>
      </c>
      <c r="F4108" s="2">
        <v>1130000000</v>
      </c>
    </row>
    <row r="4109" spans="1:6">
      <c r="A4109" s="32">
        <v>37697</v>
      </c>
      <c r="B4109">
        <v>355.69</v>
      </c>
      <c r="C4109">
        <v>355.69</v>
      </c>
      <c r="D4109">
        <v>351.81</v>
      </c>
      <c r="E4109">
        <v>354.61</v>
      </c>
      <c r="F4109" s="2">
        <v>533720000</v>
      </c>
    </row>
    <row r="4110" spans="1:6">
      <c r="A4110" s="32">
        <v>37694</v>
      </c>
      <c r="B4110">
        <v>356</v>
      </c>
      <c r="C4110">
        <v>358.65</v>
      </c>
      <c r="D4110">
        <v>356</v>
      </c>
      <c r="E4110">
        <v>358.24</v>
      </c>
      <c r="F4110" s="2">
        <v>755680000</v>
      </c>
    </row>
    <row r="4111" spans="1:6">
      <c r="A4111" s="32">
        <v>37693</v>
      </c>
      <c r="B4111">
        <v>353.14</v>
      </c>
      <c r="C4111">
        <v>353.92</v>
      </c>
      <c r="D4111">
        <v>352.76</v>
      </c>
      <c r="E4111">
        <v>353.48</v>
      </c>
      <c r="F4111" s="2">
        <v>465080000</v>
      </c>
    </row>
    <row r="4112" spans="1:6">
      <c r="A4112" s="32">
        <v>37692</v>
      </c>
      <c r="B4112">
        <v>350.18</v>
      </c>
      <c r="C4112">
        <v>352.44</v>
      </c>
      <c r="D4112">
        <v>350.18</v>
      </c>
      <c r="E4112">
        <v>352.44</v>
      </c>
      <c r="F4112" s="2">
        <v>491410000</v>
      </c>
    </row>
    <row r="4113" spans="1:6">
      <c r="A4113" s="32">
        <v>37691</v>
      </c>
      <c r="B4113">
        <v>351.65</v>
      </c>
      <c r="C4113">
        <v>351.67</v>
      </c>
      <c r="D4113">
        <v>347.55</v>
      </c>
      <c r="E4113">
        <v>350.98</v>
      </c>
      <c r="F4113" s="2">
        <v>555770000</v>
      </c>
    </row>
    <row r="4114" spans="1:6">
      <c r="A4114" s="32">
        <v>37690</v>
      </c>
      <c r="B4114">
        <v>358.42</v>
      </c>
      <c r="C4114">
        <v>358.42</v>
      </c>
      <c r="D4114">
        <v>353.03</v>
      </c>
      <c r="E4114">
        <v>353.29</v>
      </c>
      <c r="F4114" s="2">
        <v>435880000</v>
      </c>
    </row>
    <row r="4115" spans="1:6">
      <c r="A4115" s="32">
        <v>37687</v>
      </c>
      <c r="B4115">
        <v>357.86</v>
      </c>
      <c r="C4115">
        <v>358.48</v>
      </c>
      <c r="D4115">
        <v>355.38</v>
      </c>
      <c r="E4115">
        <v>358.48</v>
      </c>
      <c r="F4115" s="2">
        <v>509660000</v>
      </c>
    </row>
    <row r="4116" spans="1:6">
      <c r="A4116" s="32">
        <v>37686</v>
      </c>
      <c r="B4116">
        <v>360.2</v>
      </c>
      <c r="C4116">
        <v>361.18</v>
      </c>
      <c r="D4116">
        <v>358.96</v>
      </c>
      <c r="E4116">
        <v>358.96</v>
      </c>
      <c r="F4116" s="2">
        <v>570940000</v>
      </c>
    </row>
    <row r="4117" spans="1:6">
      <c r="A4117" s="32">
        <v>37685</v>
      </c>
      <c r="B4117">
        <v>363</v>
      </c>
      <c r="C4117">
        <v>363</v>
      </c>
      <c r="D4117">
        <v>359.28</v>
      </c>
      <c r="E4117">
        <v>359.9</v>
      </c>
      <c r="F4117" s="2">
        <v>544900000</v>
      </c>
    </row>
    <row r="4118" spans="1:6">
      <c r="A4118" s="32">
        <v>37684</v>
      </c>
      <c r="B4118">
        <v>366.99</v>
      </c>
      <c r="C4118">
        <v>366.99</v>
      </c>
      <c r="D4118">
        <v>362.58</v>
      </c>
      <c r="E4118">
        <v>364.55</v>
      </c>
      <c r="F4118" s="2">
        <v>630090000</v>
      </c>
    </row>
    <row r="4119" spans="1:6">
      <c r="A4119" s="32">
        <v>37683</v>
      </c>
      <c r="B4119">
        <v>361.96</v>
      </c>
      <c r="C4119">
        <v>367.67</v>
      </c>
      <c r="D4119">
        <v>361.96</v>
      </c>
      <c r="E4119">
        <v>367.67</v>
      </c>
      <c r="F4119" s="2">
        <v>794130000</v>
      </c>
    </row>
    <row r="4120" spans="1:6">
      <c r="A4120" s="32">
        <v>37680</v>
      </c>
      <c r="B4120">
        <v>360.16</v>
      </c>
      <c r="C4120">
        <v>361.52</v>
      </c>
      <c r="D4120">
        <v>359.34</v>
      </c>
      <c r="E4120">
        <v>361.32</v>
      </c>
      <c r="F4120" s="2">
        <v>652320000</v>
      </c>
    </row>
    <row r="4121" spans="1:6">
      <c r="A4121" s="32">
        <v>37679</v>
      </c>
      <c r="B4121">
        <v>355.42</v>
      </c>
      <c r="C4121">
        <v>358.89</v>
      </c>
      <c r="D4121">
        <v>354.94</v>
      </c>
      <c r="E4121">
        <v>358.89</v>
      </c>
      <c r="F4121" s="2">
        <v>798420000</v>
      </c>
    </row>
    <row r="4122" spans="1:6">
      <c r="A4122" s="32">
        <v>37678</v>
      </c>
      <c r="B4122">
        <v>358.32</v>
      </c>
      <c r="C4122">
        <v>359.46</v>
      </c>
      <c r="D4122">
        <v>355.6</v>
      </c>
      <c r="E4122">
        <v>356.02</v>
      </c>
      <c r="F4122" s="2">
        <v>754830000</v>
      </c>
    </row>
    <row r="4123" spans="1:6">
      <c r="A4123" s="32">
        <v>37677</v>
      </c>
      <c r="B4123">
        <v>360.32</v>
      </c>
      <c r="C4123">
        <v>360.32</v>
      </c>
      <c r="D4123">
        <v>355.47</v>
      </c>
      <c r="E4123">
        <v>356.76</v>
      </c>
      <c r="F4123" s="2">
        <v>524990000</v>
      </c>
    </row>
    <row r="4124" spans="1:6">
      <c r="A4124" s="32">
        <v>37676</v>
      </c>
      <c r="B4124">
        <v>361.01</v>
      </c>
      <c r="C4124">
        <v>362.18</v>
      </c>
      <c r="D4124">
        <v>359.95</v>
      </c>
      <c r="E4124">
        <v>362.09</v>
      </c>
      <c r="F4124" s="2">
        <v>711920000</v>
      </c>
    </row>
    <row r="4125" spans="1:6">
      <c r="A4125" s="32">
        <v>37673</v>
      </c>
      <c r="B4125">
        <v>364.42</v>
      </c>
      <c r="C4125">
        <v>364.42</v>
      </c>
      <c r="D4125">
        <v>358.87</v>
      </c>
      <c r="E4125">
        <v>359.53</v>
      </c>
      <c r="F4125" s="2">
        <v>762600000</v>
      </c>
    </row>
    <row r="4126" spans="1:6">
      <c r="A4126" s="32">
        <v>37672</v>
      </c>
      <c r="B4126">
        <v>371.56</v>
      </c>
      <c r="C4126">
        <v>371.74</v>
      </c>
      <c r="D4126">
        <v>363</v>
      </c>
      <c r="E4126">
        <v>364.42</v>
      </c>
      <c r="F4126" s="2">
        <v>1220000000</v>
      </c>
    </row>
    <row r="4127" spans="1:6">
      <c r="A4127" s="32">
        <v>37671</v>
      </c>
      <c r="B4127">
        <v>371.04</v>
      </c>
      <c r="C4127">
        <v>372.51</v>
      </c>
      <c r="D4127">
        <v>370.86</v>
      </c>
      <c r="E4127">
        <v>371.18</v>
      </c>
      <c r="F4127" s="2">
        <v>1070000000</v>
      </c>
    </row>
    <row r="4128" spans="1:6">
      <c r="A4128" s="32">
        <v>37670</v>
      </c>
      <c r="B4128">
        <v>372.77</v>
      </c>
      <c r="C4128">
        <v>373.6</v>
      </c>
      <c r="D4128">
        <v>369.57</v>
      </c>
      <c r="E4128">
        <v>370.45</v>
      </c>
      <c r="F4128" s="2">
        <v>1110000000</v>
      </c>
    </row>
    <row r="4129" spans="1:6">
      <c r="A4129" s="32">
        <v>37666</v>
      </c>
      <c r="B4129">
        <v>370.34</v>
      </c>
      <c r="C4129">
        <v>370.86</v>
      </c>
      <c r="D4129">
        <v>364.58</v>
      </c>
      <c r="E4129">
        <v>368.71</v>
      </c>
      <c r="F4129" s="2">
        <v>830620000</v>
      </c>
    </row>
    <row r="4130" spans="1:6">
      <c r="A4130" s="32">
        <v>37665</v>
      </c>
      <c r="B4130">
        <v>380.38</v>
      </c>
      <c r="C4130">
        <v>382.67</v>
      </c>
      <c r="D4130">
        <v>369.65</v>
      </c>
      <c r="E4130">
        <v>370.25</v>
      </c>
      <c r="F4130" s="2">
        <v>1360000000</v>
      </c>
    </row>
    <row r="4131" spans="1:6">
      <c r="A4131" s="32">
        <v>37664</v>
      </c>
      <c r="B4131">
        <v>379.75</v>
      </c>
      <c r="C4131">
        <v>382.25</v>
      </c>
      <c r="D4131">
        <v>379.3</v>
      </c>
      <c r="E4131">
        <v>380.26</v>
      </c>
      <c r="F4131" s="2">
        <v>1160000000</v>
      </c>
    </row>
    <row r="4132" spans="1:6">
      <c r="A4132" s="32">
        <v>37663</v>
      </c>
      <c r="B4132">
        <v>375.68</v>
      </c>
      <c r="C4132">
        <v>379.57</v>
      </c>
      <c r="D4132">
        <v>375.68</v>
      </c>
      <c r="E4132">
        <v>379.14</v>
      </c>
      <c r="F4132" s="2">
        <v>1000000000</v>
      </c>
    </row>
    <row r="4133" spans="1:6">
      <c r="A4133" s="32">
        <v>37662</v>
      </c>
      <c r="B4133">
        <v>378.86</v>
      </c>
      <c r="C4133">
        <v>379.27</v>
      </c>
      <c r="D4133">
        <v>374.76</v>
      </c>
      <c r="E4133">
        <v>375.48</v>
      </c>
      <c r="F4133" s="2">
        <v>1130000000</v>
      </c>
    </row>
    <row r="4134" spans="1:6">
      <c r="A4134" s="32">
        <v>37659</v>
      </c>
      <c r="B4134">
        <v>379.44</v>
      </c>
      <c r="C4134">
        <v>382.71</v>
      </c>
      <c r="D4134">
        <v>378.48</v>
      </c>
      <c r="E4134">
        <v>378.95</v>
      </c>
      <c r="F4134" s="2">
        <v>1340000000</v>
      </c>
    </row>
    <row r="4135" spans="1:6">
      <c r="A4135" s="32">
        <v>37658</v>
      </c>
      <c r="B4135">
        <v>373.01</v>
      </c>
      <c r="C4135">
        <v>379.32</v>
      </c>
      <c r="D4135">
        <v>373.01</v>
      </c>
      <c r="E4135">
        <v>379.1</v>
      </c>
      <c r="F4135" s="2">
        <v>1500000000</v>
      </c>
    </row>
    <row r="4136" spans="1:6">
      <c r="A4136" s="32">
        <v>37657</v>
      </c>
      <c r="B4136">
        <v>373.3</v>
      </c>
      <c r="C4136">
        <v>374.25</v>
      </c>
      <c r="D4136">
        <v>372.54</v>
      </c>
      <c r="E4136">
        <v>373.28</v>
      </c>
      <c r="F4136" s="2">
        <v>891750000</v>
      </c>
    </row>
    <row r="4137" spans="1:6">
      <c r="A4137" s="32">
        <v>37656</v>
      </c>
      <c r="B4137">
        <v>372.61</v>
      </c>
      <c r="C4137">
        <v>373.38</v>
      </c>
      <c r="D4137">
        <v>370.19</v>
      </c>
      <c r="E4137">
        <v>373.37</v>
      </c>
      <c r="F4137" s="2">
        <v>915920000</v>
      </c>
    </row>
    <row r="4138" spans="1:6">
      <c r="A4138" s="32">
        <v>37655</v>
      </c>
      <c r="B4138">
        <v>370.34</v>
      </c>
      <c r="C4138">
        <v>372.68</v>
      </c>
      <c r="D4138">
        <v>370.12</v>
      </c>
      <c r="E4138">
        <v>372.4</v>
      </c>
      <c r="F4138" s="2">
        <v>451230000</v>
      </c>
    </row>
    <row r="4139" spans="1:6">
      <c r="A4139" s="32">
        <v>37652</v>
      </c>
      <c r="B4139">
        <v>369.96</v>
      </c>
      <c r="C4139">
        <v>370.24</v>
      </c>
      <c r="D4139">
        <v>368.87</v>
      </c>
      <c r="E4139">
        <v>370.01</v>
      </c>
      <c r="F4139" s="2">
        <v>311530000</v>
      </c>
    </row>
    <row r="4140" spans="1:6">
      <c r="A4140" s="32">
        <v>37651</v>
      </c>
      <c r="B4140">
        <v>369.87</v>
      </c>
      <c r="C4140">
        <v>372.43</v>
      </c>
      <c r="D4140">
        <v>369.68</v>
      </c>
      <c r="E4140">
        <v>370.3</v>
      </c>
      <c r="F4140" s="2">
        <v>510500000</v>
      </c>
    </row>
    <row r="4141" spans="1:6">
      <c r="A4141" s="32">
        <v>37650</v>
      </c>
      <c r="B4141">
        <v>375.6</v>
      </c>
      <c r="C4141">
        <v>377.42</v>
      </c>
      <c r="D4141">
        <v>369.69</v>
      </c>
      <c r="E4141">
        <v>369.69</v>
      </c>
      <c r="F4141" s="2">
        <v>810320000</v>
      </c>
    </row>
    <row r="4142" spans="1:6">
      <c r="A4142" s="32">
        <v>37649</v>
      </c>
      <c r="B4142">
        <v>371.39</v>
      </c>
      <c r="C4142">
        <v>374.76</v>
      </c>
      <c r="D4142">
        <v>368.87</v>
      </c>
      <c r="E4142">
        <v>374.76</v>
      </c>
      <c r="F4142" s="2">
        <v>752000000</v>
      </c>
    </row>
    <row r="4143" spans="1:6">
      <c r="A4143" s="32">
        <v>37648</v>
      </c>
      <c r="B4143">
        <v>373.98</v>
      </c>
      <c r="C4143">
        <v>374.54</v>
      </c>
      <c r="D4143">
        <v>370.8</v>
      </c>
      <c r="E4143">
        <v>370.8</v>
      </c>
      <c r="F4143" s="2">
        <v>782680000</v>
      </c>
    </row>
    <row r="4144" spans="1:6">
      <c r="A4144" s="32">
        <v>37645</v>
      </c>
      <c r="B4144">
        <v>377.44</v>
      </c>
      <c r="C4144">
        <v>379.49</v>
      </c>
      <c r="D4144">
        <v>375</v>
      </c>
      <c r="E4144">
        <v>376.3</v>
      </c>
      <c r="F4144" s="2">
        <v>1180000000</v>
      </c>
    </row>
    <row r="4145" spans="1:6">
      <c r="A4145" s="32">
        <v>37644</v>
      </c>
      <c r="B4145">
        <v>373.8</v>
      </c>
      <c r="C4145">
        <v>377.69</v>
      </c>
      <c r="D4145">
        <v>372.31</v>
      </c>
      <c r="E4145">
        <v>376.56</v>
      </c>
      <c r="F4145" s="2">
        <v>1080000000</v>
      </c>
    </row>
    <row r="4146" spans="1:6">
      <c r="A4146" s="32">
        <v>37643</v>
      </c>
      <c r="B4146">
        <v>375.33</v>
      </c>
      <c r="C4146">
        <v>378.3</v>
      </c>
      <c r="D4146">
        <v>373.17</v>
      </c>
      <c r="E4146">
        <v>373.17</v>
      </c>
      <c r="F4146" s="2">
        <v>1100000000</v>
      </c>
    </row>
    <row r="4147" spans="1:6">
      <c r="A4147" s="32">
        <v>37642</v>
      </c>
      <c r="B4147">
        <v>371.61</v>
      </c>
      <c r="C4147">
        <v>376.5</v>
      </c>
      <c r="D4147">
        <v>371.61</v>
      </c>
      <c r="E4147">
        <v>375.91</v>
      </c>
      <c r="F4147" s="2">
        <v>1060000000</v>
      </c>
    </row>
    <row r="4148" spans="1:6">
      <c r="A4148" s="32">
        <v>37641</v>
      </c>
      <c r="B4148">
        <v>366.21</v>
      </c>
      <c r="C4148">
        <v>371.68</v>
      </c>
      <c r="D4148">
        <v>365.86</v>
      </c>
      <c r="E4148">
        <v>371.45</v>
      </c>
      <c r="F4148" s="2">
        <v>756850000</v>
      </c>
    </row>
    <row r="4149" spans="1:6">
      <c r="A4149" s="32">
        <v>37638</v>
      </c>
      <c r="B4149">
        <v>371.03</v>
      </c>
      <c r="C4149">
        <v>372.19</v>
      </c>
      <c r="D4149">
        <v>366.85</v>
      </c>
      <c r="E4149">
        <v>367.16</v>
      </c>
      <c r="F4149" s="2">
        <v>809160000</v>
      </c>
    </row>
    <row r="4150" spans="1:6">
      <c r="A4150" s="32">
        <v>37637</v>
      </c>
      <c r="B4150">
        <v>371.39</v>
      </c>
      <c r="C4150">
        <v>375.5</v>
      </c>
      <c r="D4150">
        <v>370.32</v>
      </c>
      <c r="E4150">
        <v>370.48</v>
      </c>
      <c r="F4150" s="2">
        <v>1010000000</v>
      </c>
    </row>
    <row r="4151" spans="1:6">
      <c r="A4151" s="32">
        <v>37636</v>
      </c>
      <c r="B4151">
        <v>373.35</v>
      </c>
      <c r="C4151">
        <v>375.17</v>
      </c>
      <c r="D4151">
        <v>371.57</v>
      </c>
      <c r="E4151">
        <v>371.82</v>
      </c>
      <c r="F4151" s="2">
        <v>1170000000</v>
      </c>
    </row>
    <row r="4152" spans="1:6">
      <c r="A4152" s="32">
        <v>37635</v>
      </c>
      <c r="B4152">
        <v>365.21</v>
      </c>
      <c r="C4152">
        <v>374.05</v>
      </c>
      <c r="D4152">
        <v>365.21</v>
      </c>
      <c r="E4152">
        <v>373.33</v>
      </c>
      <c r="F4152" s="2">
        <v>1470000000</v>
      </c>
    </row>
    <row r="4153" spans="1:6">
      <c r="A4153" s="32">
        <v>37634</v>
      </c>
      <c r="B4153">
        <v>361.05</v>
      </c>
      <c r="C4153">
        <v>364.38</v>
      </c>
      <c r="D4153">
        <v>359.94</v>
      </c>
      <c r="E4153">
        <v>364.05</v>
      </c>
      <c r="F4153" s="2">
        <v>942960000</v>
      </c>
    </row>
    <row r="4154" spans="1:6">
      <c r="A4154" s="32">
        <v>37631</v>
      </c>
      <c r="B4154">
        <v>359.42</v>
      </c>
      <c r="C4154">
        <v>362.56</v>
      </c>
      <c r="D4154">
        <v>359.42</v>
      </c>
      <c r="E4154">
        <v>360.37</v>
      </c>
      <c r="F4154" s="2">
        <v>1200000000</v>
      </c>
    </row>
    <row r="4155" spans="1:6">
      <c r="A4155" s="32">
        <v>37630</v>
      </c>
      <c r="B4155">
        <v>359.87</v>
      </c>
      <c r="C4155">
        <v>361.09</v>
      </c>
      <c r="D4155">
        <v>355.59</v>
      </c>
      <c r="E4155">
        <v>358.76</v>
      </c>
      <c r="F4155" s="2">
        <v>915810000</v>
      </c>
    </row>
    <row r="4156" spans="1:6">
      <c r="A4156" s="32">
        <v>37629</v>
      </c>
      <c r="B4156">
        <v>366.15</v>
      </c>
      <c r="C4156">
        <v>366.15</v>
      </c>
      <c r="D4156">
        <v>360.41</v>
      </c>
      <c r="E4156">
        <v>360.41</v>
      </c>
      <c r="F4156" s="2">
        <v>1070000000</v>
      </c>
    </row>
    <row r="4157" spans="1:6">
      <c r="A4157" s="32">
        <v>37628</v>
      </c>
      <c r="B4157">
        <v>366.5</v>
      </c>
      <c r="C4157">
        <v>368.16</v>
      </c>
      <c r="D4157">
        <v>364.5</v>
      </c>
      <c r="E4157">
        <v>365.51</v>
      </c>
      <c r="F4157" s="2">
        <v>1580000000</v>
      </c>
    </row>
    <row r="4158" spans="1:6">
      <c r="A4158" s="32">
        <v>37627</v>
      </c>
      <c r="B4158">
        <v>357.44</v>
      </c>
      <c r="C4158">
        <v>364.61</v>
      </c>
      <c r="D4158">
        <v>357.44</v>
      </c>
      <c r="E4158">
        <v>364.15</v>
      </c>
      <c r="F4158" s="2">
        <v>1410000000</v>
      </c>
    </row>
    <row r="4159" spans="1:6">
      <c r="A4159" s="32">
        <v>37624</v>
      </c>
      <c r="B4159">
        <v>353.05</v>
      </c>
      <c r="C4159">
        <v>357.63</v>
      </c>
      <c r="D4159">
        <v>353.05</v>
      </c>
      <c r="E4159">
        <v>357.23</v>
      </c>
      <c r="F4159" s="2">
        <v>852630000</v>
      </c>
    </row>
    <row r="4160" spans="1:6">
      <c r="A4160" s="32">
        <v>37623</v>
      </c>
      <c r="B4160">
        <v>356.45</v>
      </c>
      <c r="C4160">
        <v>356.68</v>
      </c>
      <c r="D4160">
        <v>351.32</v>
      </c>
      <c r="E4160">
        <v>351.52</v>
      </c>
      <c r="F4160" s="2">
        <v>305060000</v>
      </c>
    </row>
    <row r="4161" spans="1:6">
      <c r="A4161" s="32">
        <v>37617</v>
      </c>
      <c r="B4161">
        <v>355.87</v>
      </c>
      <c r="C4161">
        <v>357.6</v>
      </c>
      <c r="D4161">
        <v>354.53</v>
      </c>
      <c r="E4161">
        <v>356.48</v>
      </c>
      <c r="F4161" s="2">
        <v>537790000</v>
      </c>
    </row>
    <row r="4162" spans="1:6">
      <c r="A4162" s="32">
        <v>37616</v>
      </c>
      <c r="B4162">
        <v>353.25</v>
      </c>
      <c r="C4162">
        <v>355.36</v>
      </c>
      <c r="D4162">
        <v>352.92</v>
      </c>
      <c r="E4162">
        <v>355.36</v>
      </c>
      <c r="F4162" s="2">
        <v>576300000</v>
      </c>
    </row>
    <row r="4163" spans="1:6">
      <c r="A4163" s="32">
        <v>37615</v>
      </c>
      <c r="B4163">
        <v>351</v>
      </c>
      <c r="C4163">
        <v>353.61</v>
      </c>
      <c r="D4163">
        <v>350.81</v>
      </c>
      <c r="E4163">
        <v>353.41</v>
      </c>
      <c r="F4163" s="2">
        <v>517050000</v>
      </c>
    </row>
    <row r="4164" spans="1:6">
      <c r="A4164" s="32">
        <v>37614</v>
      </c>
      <c r="B4164">
        <v>351.23</v>
      </c>
      <c r="C4164">
        <v>351.25</v>
      </c>
      <c r="D4164">
        <v>348.85</v>
      </c>
      <c r="E4164">
        <v>350.93</v>
      </c>
      <c r="F4164" s="2">
        <v>458610000</v>
      </c>
    </row>
    <row r="4165" spans="1:6">
      <c r="A4165" s="32">
        <v>37613</v>
      </c>
      <c r="B4165">
        <v>349.89</v>
      </c>
      <c r="C4165">
        <v>352.79</v>
      </c>
      <c r="D4165">
        <v>349.59</v>
      </c>
      <c r="E4165">
        <v>350.55</v>
      </c>
      <c r="F4165" s="2">
        <v>552650000</v>
      </c>
    </row>
    <row r="4166" spans="1:6">
      <c r="A4166" s="32">
        <v>37610</v>
      </c>
      <c r="B4166">
        <v>350.29</v>
      </c>
      <c r="C4166">
        <v>350.7</v>
      </c>
      <c r="D4166">
        <v>348.84</v>
      </c>
      <c r="E4166">
        <v>350.01</v>
      </c>
      <c r="F4166" s="2">
        <v>820640000</v>
      </c>
    </row>
    <row r="4167" spans="1:6">
      <c r="A4167" s="32">
        <v>37609</v>
      </c>
      <c r="B4167">
        <v>349.62</v>
      </c>
      <c r="C4167">
        <v>351.11</v>
      </c>
      <c r="D4167">
        <v>348.08</v>
      </c>
      <c r="E4167">
        <v>350.25</v>
      </c>
      <c r="F4167" s="2">
        <v>969800000</v>
      </c>
    </row>
    <row r="4168" spans="1:6">
      <c r="A4168" s="32">
        <v>37608</v>
      </c>
      <c r="B4168">
        <v>352.71</v>
      </c>
      <c r="C4168">
        <v>352.71</v>
      </c>
      <c r="D4168">
        <v>348.42</v>
      </c>
      <c r="E4168">
        <v>350.62</v>
      </c>
      <c r="F4168" s="2">
        <v>976800000</v>
      </c>
    </row>
    <row r="4169" spans="1:6">
      <c r="A4169" s="32">
        <v>37607</v>
      </c>
      <c r="B4169">
        <v>355.42</v>
      </c>
      <c r="C4169">
        <v>357.63</v>
      </c>
      <c r="D4169">
        <v>352.69</v>
      </c>
      <c r="E4169">
        <v>352.83</v>
      </c>
      <c r="F4169" s="2">
        <v>553700000</v>
      </c>
    </row>
    <row r="4170" spans="1:6">
      <c r="A4170" s="32">
        <v>37606</v>
      </c>
      <c r="B4170">
        <v>355.61</v>
      </c>
      <c r="C4170">
        <v>355.61</v>
      </c>
      <c r="D4170">
        <v>353.01</v>
      </c>
      <c r="E4170">
        <v>353.93</v>
      </c>
      <c r="F4170" s="2">
        <v>359840000</v>
      </c>
    </row>
    <row r="4171" spans="1:6">
      <c r="A4171" s="32">
        <v>37603</v>
      </c>
      <c r="B4171">
        <v>360.12</v>
      </c>
      <c r="C4171">
        <v>360.26</v>
      </c>
      <c r="D4171">
        <v>355.32</v>
      </c>
      <c r="E4171">
        <v>356.2</v>
      </c>
      <c r="F4171" s="2">
        <v>570170000</v>
      </c>
    </row>
    <row r="4172" spans="1:6">
      <c r="A4172" s="32">
        <v>37602</v>
      </c>
      <c r="B4172">
        <v>365.92</v>
      </c>
      <c r="C4172">
        <v>366.34</v>
      </c>
      <c r="D4172">
        <v>360.97</v>
      </c>
      <c r="E4172">
        <v>360.99</v>
      </c>
      <c r="F4172" s="2">
        <v>434000000</v>
      </c>
    </row>
    <row r="4173" spans="1:6">
      <c r="A4173" s="32">
        <v>37601</v>
      </c>
      <c r="B4173">
        <v>365.64</v>
      </c>
      <c r="C4173">
        <v>368.19</v>
      </c>
      <c r="D4173">
        <v>364.28</v>
      </c>
      <c r="E4173">
        <v>365.46</v>
      </c>
      <c r="F4173" s="2">
        <v>559050000</v>
      </c>
    </row>
    <row r="4174" spans="1:6">
      <c r="A4174" s="32">
        <v>37599</v>
      </c>
      <c r="B4174">
        <v>365.59</v>
      </c>
      <c r="C4174">
        <v>368.77</v>
      </c>
      <c r="D4174">
        <v>365.29</v>
      </c>
      <c r="E4174">
        <v>365.35</v>
      </c>
      <c r="F4174" s="2">
        <v>536520000</v>
      </c>
    </row>
    <row r="4175" spans="1:6">
      <c r="A4175" s="32">
        <v>37596</v>
      </c>
      <c r="B4175">
        <v>364.74</v>
      </c>
      <c r="C4175">
        <v>366.73</v>
      </c>
      <c r="D4175">
        <v>364.74</v>
      </c>
      <c r="E4175">
        <v>365.09</v>
      </c>
      <c r="F4175" s="2">
        <v>924320000</v>
      </c>
    </row>
    <row r="4176" spans="1:6">
      <c r="A4176" s="32">
        <v>37594</v>
      </c>
      <c r="B4176">
        <v>362.65</v>
      </c>
      <c r="C4176">
        <v>366.33</v>
      </c>
      <c r="D4176">
        <v>362.18</v>
      </c>
      <c r="E4176">
        <v>364.94</v>
      </c>
      <c r="F4176" s="2">
        <v>779690000</v>
      </c>
    </row>
    <row r="4177" spans="1:6">
      <c r="A4177" s="32">
        <v>37593</v>
      </c>
      <c r="B4177">
        <v>367.08</v>
      </c>
      <c r="C4177">
        <v>368.19</v>
      </c>
      <c r="D4177">
        <v>364.19</v>
      </c>
      <c r="E4177">
        <v>364.19</v>
      </c>
      <c r="F4177" s="2">
        <v>806000000</v>
      </c>
    </row>
    <row r="4178" spans="1:6">
      <c r="A4178" s="32">
        <v>37592</v>
      </c>
      <c r="B4178">
        <v>365.14</v>
      </c>
      <c r="C4178">
        <v>366.8</v>
      </c>
      <c r="D4178">
        <v>362.97</v>
      </c>
      <c r="E4178">
        <v>366.67</v>
      </c>
      <c r="F4178" s="2">
        <v>549230000</v>
      </c>
    </row>
    <row r="4179" spans="1:6">
      <c r="A4179" s="32">
        <v>37589</v>
      </c>
      <c r="B4179">
        <v>365.08</v>
      </c>
      <c r="C4179">
        <v>365.31</v>
      </c>
      <c r="D4179">
        <v>362.27</v>
      </c>
      <c r="E4179">
        <v>364.9</v>
      </c>
      <c r="F4179" s="2">
        <v>713570000</v>
      </c>
    </row>
    <row r="4180" spans="1:6">
      <c r="A4180" s="32">
        <v>37588</v>
      </c>
      <c r="B4180">
        <v>364.8</v>
      </c>
      <c r="C4180">
        <v>366.37</v>
      </c>
      <c r="D4180">
        <v>364.28</v>
      </c>
      <c r="E4180">
        <v>364.29</v>
      </c>
      <c r="F4180" s="2">
        <v>1350000000</v>
      </c>
    </row>
    <row r="4181" spans="1:6">
      <c r="A4181" s="32">
        <v>37587</v>
      </c>
      <c r="B4181">
        <v>360.45</v>
      </c>
      <c r="C4181">
        <v>361.96</v>
      </c>
      <c r="D4181">
        <v>360.04</v>
      </c>
      <c r="E4181">
        <v>361.35</v>
      </c>
      <c r="F4181" s="2">
        <v>939090000</v>
      </c>
    </row>
    <row r="4182" spans="1:6">
      <c r="A4182" s="32">
        <v>37586</v>
      </c>
      <c r="B4182">
        <v>364.46</v>
      </c>
      <c r="C4182">
        <v>364.87</v>
      </c>
      <c r="D4182">
        <v>360.19</v>
      </c>
      <c r="E4182">
        <v>361.21</v>
      </c>
      <c r="F4182" s="2">
        <v>918010000</v>
      </c>
    </row>
    <row r="4183" spans="1:6">
      <c r="A4183" s="32">
        <v>37585</v>
      </c>
      <c r="B4183">
        <v>362.87</v>
      </c>
      <c r="C4183">
        <v>366.48</v>
      </c>
      <c r="D4183">
        <v>362.87</v>
      </c>
      <c r="E4183">
        <v>364.53</v>
      </c>
      <c r="F4183" s="2">
        <v>999120000</v>
      </c>
    </row>
    <row r="4184" spans="1:6">
      <c r="A4184" s="32">
        <v>37582</v>
      </c>
      <c r="B4184">
        <v>359.5</v>
      </c>
      <c r="C4184">
        <v>363.69</v>
      </c>
      <c r="D4184">
        <v>359.5</v>
      </c>
      <c r="E4184">
        <v>362.59</v>
      </c>
      <c r="F4184" s="2">
        <v>1470000000</v>
      </c>
    </row>
    <row r="4185" spans="1:6">
      <c r="A4185" s="32">
        <v>37581</v>
      </c>
      <c r="B4185">
        <v>352.18</v>
      </c>
      <c r="C4185">
        <v>358.44</v>
      </c>
      <c r="D4185">
        <v>352.18</v>
      </c>
      <c r="E4185">
        <v>358.44</v>
      </c>
      <c r="F4185" s="2">
        <v>1110000000</v>
      </c>
    </row>
    <row r="4186" spans="1:6">
      <c r="A4186" s="32">
        <v>37580</v>
      </c>
      <c r="B4186">
        <v>354.4</v>
      </c>
      <c r="C4186">
        <v>356.47</v>
      </c>
      <c r="D4186">
        <v>351.63</v>
      </c>
      <c r="E4186">
        <v>352.18</v>
      </c>
      <c r="F4186" s="2">
        <v>1020000000</v>
      </c>
    </row>
    <row r="4187" spans="1:6">
      <c r="A4187" s="32">
        <v>37579</v>
      </c>
      <c r="B4187">
        <v>356.96</v>
      </c>
      <c r="C4187">
        <v>358.98</v>
      </c>
      <c r="D4187">
        <v>353.62</v>
      </c>
      <c r="E4187">
        <v>353.62</v>
      </c>
      <c r="F4187" s="2">
        <v>1480000000</v>
      </c>
    </row>
    <row r="4188" spans="1:6">
      <c r="A4188" s="32">
        <v>37578</v>
      </c>
      <c r="B4188">
        <v>357.58</v>
      </c>
      <c r="C4188">
        <v>358.25</v>
      </c>
      <c r="D4188">
        <v>354.83</v>
      </c>
      <c r="E4188">
        <v>357.1</v>
      </c>
      <c r="F4188" s="2">
        <v>878860000</v>
      </c>
    </row>
    <row r="4189" spans="1:6">
      <c r="A4189" s="32">
        <v>37575</v>
      </c>
      <c r="B4189">
        <v>348.99</v>
      </c>
      <c r="C4189">
        <v>356.24</v>
      </c>
      <c r="D4189">
        <v>348.99</v>
      </c>
      <c r="E4189">
        <v>356.24</v>
      </c>
      <c r="F4189" s="2">
        <v>1210000000</v>
      </c>
    </row>
    <row r="4190" spans="1:6">
      <c r="A4190" s="32">
        <v>37574</v>
      </c>
      <c r="B4190">
        <v>347.15</v>
      </c>
      <c r="C4190">
        <v>349.51</v>
      </c>
      <c r="D4190">
        <v>347.12</v>
      </c>
      <c r="E4190">
        <v>348.95</v>
      </c>
      <c r="F4190" s="2">
        <v>890290000</v>
      </c>
    </row>
    <row r="4191" spans="1:6">
      <c r="A4191" s="32">
        <v>37573</v>
      </c>
      <c r="B4191">
        <v>345.63</v>
      </c>
      <c r="C4191">
        <v>345.68</v>
      </c>
      <c r="D4191">
        <v>342.44</v>
      </c>
      <c r="E4191">
        <v>343.67</v>
      </c>
      <c r="F4191" s="2">
        <v>463890000</v>
      </c>
    </row>
    <row r="4192" spans="1:6">
      <c r="A4192" s="32">
        <v>37572</v>
      </c>
      <c r="B4192">
        <v>348.24</v>
      </c>
      <c r="C4192">
        <v>348.24</v>
      </c>
      <c r="D4192">
        <v>342.59</v>
      </c>
      <c r="E4192">
        <v>345.07</v>
      </c>
      <c r="F4192" s="2">
        <v>568810000</v>
      </c>
    </row>
    <row r="4193" spans="1:6">
      <c r="A4193" s="32">
        <v>37571</v>
      </c>
      <c r="B4193">
        <v>354.59</v>
      </c>
      <c r="C4193">
        <v>354.73</v>
      </c>
      <c r="D4193">
        <v>350.36</v>
      </c>
      <c r="E4193">
        <v>350.36</v>
      </c>
      <c r="F4193" s="2">
        <v>411610000</v>
      </c>
    </row>
    <row r="4194" spans="1:6">
      <c r="A4194" s="32">
        <v>37568</v>
      </c>
      <c r="B4194">
        <v>355.6</v>
      </c>
      <c r="C4194">
        <v>357.47</v>
      </c>
      <c r="D4194">
        <v>354.61</v>
      </c>
      <c r="E4194">
        <v>355</v>
      </c>
      <c r="F4194" s="2">
        <v>741410000</v>
      </c>
    </row>
    <row r="4195" spans="1:6">
      <c r="A4195" s="32">
        <v>37567</v>
      </c>
      <c r="B4195">
        <v>353.83</v>
      </c>
      <c r="C4195">
        <v>359.22</v>
      </c>
      <c r="D4195">
        <v>352.16</v>
      </c>
      <c r="E4195">
        <v>357.46</v>
      </c>
      <c r="F4195" s="2">
        <v>837290000</v>
      </c>
    </row>
    <row r="4196" spans="1:6">
      <c r="A4196" s="32">
        <v>37566</v>
      </c>
      <c r="B4196">
        <v>356.27</v>
      </c>
      <c r="C4196">
        <v>356.74</v>
      </c>
      <c r="D4196">
        <v>353.71</v>
      </c>
      <c r="E4196">
        <v>353.8</v>
      </c>
      <c r="F4196" s="2">
        <v>643530000</v>
      </c>
    </row>
    <row r="4197" spans="1:6">
      <c r="A4197" s="32">
        <v>37565</v>
      </c>
      <c r="B4197">
        <v>358.94</v>
      </c>
      <c r="C4197">
        <v>359.87</v>
      </c>
      <c r="D4197">
        <v>353.99</v>
      </c>
      <c r="E4197">
        <v>355.77</v>
      </c>
      <c r="F4197" s="2">
        <v>698630000</v>
      </c>
    </row>
    <row r="4198" spans="1:6">
      <c r="A4198" s="32">
        <v>37564</v>
      </c>
      <c r="B4198">
        <v>358.65</v>
      </c>
      <c r="C4198">
        <v>360.51</v>
      </c>
      <c r="D4198">
        <v>356.64</v>
      </c>
      <c r="E4198">
        <v>358.8</v>
      </c>
      <c r="F4198" s="2">
        <v>765030000</v>
      </c>
    </row>
    <row r="4199" spans="1:6">
      <c r="A4199" s="32">
        <v>37561</v>
      </c>
      <c r="B4199">
        <v>357.13</v>
      </c>
      <c r="C4199">
        <v>360.29</v>
      </c>
      <c r="D4199">
        <v>357.11</v>
      </c>
      <c r="E4199">
        <v>357.68</v>
      </c>
      <c r="F4199" s="2">
        <v>866180000</v>
      </c>
    </row>
    <row r="4200" spans="1:6">
      <c r="A4200" s="32">
        <v>37560</v>
      </c>
      <c r="B4200">
        <v>356.32</v>
      </c>
      <c r="C4200">
        <v>357.6</v>
      </c>
      <c r="D4200">
        <v>354.28</v>
      </c>
      <c r="E4200">
        <v>357.22</v>
      </c>
      <c r="F4200" s="2">
        <v>717790000</v>
      </c>
    </row>
    <row r="4201" spans="1:6">
      <c r="A4201" s="32">
        <v>37559</v>
      </c>
      <c r="B4201">
        <v>354.69</v>
      </c>
      <c r="C4201">
        <v>355.38</v>
      </c>
      <c r="D4201">
        <v>351.92</v>
      </c>
      <c r="E4201">
        <v>355</v>
      </c>
      <c r="F4201" s="2">
        <v>850700000</v>
      </c>
    </row>
    <row r="4202" spans="1:6">
      <c r="A4202" s="32">
        <v>37558</v>
      </c>
      <c r="B4202">
        <v>356.99</v>
      </c>
      <c r="C4202">
        <v>358.21</v>
      </c>
      <c r="D4202">
        <v>353.51</v>
      </c>
      <c r="E4202">
        <v>353.95</v>
      </c>
      <c r="F4202" s="2">
        <v>1020000000</v>
      </c>
    </row>
    <row r="4203" spans="1:6">
      <c r="A4203" s="32">
        <v>37557</v>
      </c>
      <c r="B4203">
        <v>349.5</v>
      </c>
      <c r="C4203">
        <v>357.42</v>
      </c>
      <c r="D4203">
        <v>349.5</v>
      </c>
      <c r="E4203">
        <v>357.42</v>
      </c>
      <c r="F4203" s="2">
        <v>1210000000</v>
      </c>
    </row>
    <row r="4204" spans="1:6">
      <c r="A4204" s="32">
        <v>37554</v>
      </c>
      <c r="B4204">
        <v>346.67</v>
      </c>
      <c r="C4204">
        <v>348.76</v>
      </c>
      <c r="D4204">
        <v>345.55</v>
      </c>
      <c r="E4204">
        <v>348.46</v>
      </c>
      <c r="F4204" s="2">
        <v>970960000</v>
      </c>
    </row>
    <row r="4205" spans="1:6">
      <c r="A4205" s="32">
        <v>37553</v>
      </c>
      <c r="B4205">
        <v>346.27</v>
      </c>
      <c r="C4205">
        <v>349.31</v>
      </c>
      <c r="D4205">
        <v>344.86</v>
      </c>
      <c r="E4205">
        <v>346.59</v>
      </c>
      <c r="F4205" s="2">
        <v>998790000</v>
      </c>
    </row>
    <row r="4206" spans="1:6">
      <c r="A4206" s="32">
        <v>37551</v>
      </c>
      <c r="B4206">
        <v>346.62</v>
      </c>
      <c r="C4206">
        <v>347.17</v>
      </c>
      <c r="D4206">
        <v>344.02</v>
      </c>
      <c r="E4206">
        <v>346.21</v>
      </c>
      <c r="F4206" s="2">
        <v>994420000</v>
      </c>
    </row>
    <row r="4207" spans="1:6">
      <c r="A4207" s="32">
        <v>37550</v>
      </c>
      <c r="B4207">
        <v>342.72</v>
      </c>
      <c r="C4207">
        <v>344.99</v>
      </c>
      <c r="D4207">
        <v>341.54</v>
      </c>
      <c r="E4207">
        <v>344.28</v>
      </c>
      <c r="F4207" s="2">
        <v>1020000000</v>
      </c>
    </row>
    <row r="4208" spans="1:6">
      <c r="A4208" s="32">
        <v>37547</v>
      </c>
      <c r="B4208">
        <v>333.63</v>
      </c>
      <c r="C4208">
        <v>344.22</v>
      </c>
      <c r="D4208">
        <v>333.63</v>
      </c>
      <c r="E4208">
        <v>342.46</v>
      </c>
      <c r="F4208" s="2">
        <v>1690000000</v>
      </c>
    </row>
    <row r="4209" spans="1:6">
      <c r="A4209" s="32">
        <v>37546</v>
      </c>
      <c r="B4209">
        <v>332.7</v>
      </c>
      <c r="C4209">
        <v>335.21</v>
      </c>
      <c r="D4209">
        <v>330.12</v>
      </c>
      <c r="E4209">
        <v>333.18</v>
      </c>
      <c r="F4209" s="2">
        <v>843270000</v>
      </c>
    </row>
    <row r="4210" spans="1:6">
      <c r="A4210" s="32">
        <v>37545</v>
      </c>
      <c r="B4210">
        <v>330.23</v>
      </c>
      <c r="C4210">
        <v>333.74</v>
      </c>
      <c r="D4210">
        <v>329.64</v>
      </c>
      <c r="E4210">
        <v>332.8</v>
      </c>
      <c r="F4210" s="2">
        <v>746240000</v>
      </c>
    </row>
    <row r="4211" spans="1:6">
      <c r="A4211" s="32">
        <v>37544</v>
      </c>
      <c r="B4211">
        <v>324.41000000000003</v>
      </c>
      <c r="C4211">
        <v>328.92</v>
      </c>
      <c r="D4211">
        <v>323.18</v>
      </c>
      <c r="E4211">
        <v>328.29</v>
      </c>
      <c r="F4211" s="2">
        <v>572990000</v>
      </c>
    </row>
    <row r="4212" spans="1:6">
      <c r="A4212" s="32">
        <v>37543</v>
      </c>
      <c r="B4212">
        <v>330.72</v>
      </c>
      <c r="C4212">
        <v>330.72</v>
      </c>
      <c r="D4212">
        <v>323.86</v>
      </c>
      <c r="E4212">
        <v>323.86</v>
      </c>
      <c r="F4212" s="2">
        <v>444690000</v>
      </c>
    </row>
    <row r="4213" spans="1:6">
      <c r="A4213" s="32">
        <v>37540</v>
      </c>
      <c r="B4213">
        <v>335.92</v>
      </c>
      <c r="C4213">
        <v>336.18</v>
      </c>
      <c r="D4213">
        <v>330.41</v>
      </c>
      <c r="E4213">
        <v>330.41</v>
      </c>
      <c r="F4213" s="2">
        <v>556040000</v>
      </c>
    </row>
    <row r="4214" spans="1:6">
      <c r="A4214" s="32">
        <v>37539</v>
      </c>
      <c r="B4214">
        <v>337.35</v>
      </c>
      <c r="C4214">
        <v>337.35</v>
      </c>
      <c r="D4214">
        <v>333.51</v>
      </c>
      <c r="E4214">
        <v>333.75</v>
      </c>
      <c r="F4214" s="2">
        <v>460620000</v>
      </c>
    </row>
    <row r="4215" spans="1:6">
      <c r="A4215" s="32">
        <v>37538</v>
      </c>
      <c r="B4215">
        <v>338.03</v>
      </c>
      <c r="C4215">
        <v>340.29</v>
      </c>
      <c r="D4215">
        <v>338</v>
      </c>
      <c r="E4215">
        <v>338.37</v>
      </c>
      <c r="F4215" s="2">
        <v>473000000</v>
      </c>
    </row>
    <row r="4216" spans="1:6">
      <c r="A4216" s="32">
        <v>37537</v>
      </c>
      <c r="B4216">
        <v>336.3</v>
      </c>
      <c r="C4216">
        <v>338.44</v>
      </c>
      <c r="D4216">
        <v>336.3</v>
      </c>
      <c r="E4216">
        <v>337.84</v>
      </c>
      <c r="F4216" s="2">
        <v>468390000</v>
      </c>
    </row>
    <row r="4217" spans="1:6">
      <c r="A4217" s="32">
        <v>37536</v>
      </c>
      <c r="B4217">
        <v>339.35</v>
      </c>
      <c r="C4217">
        <v>339.35</v>
      </c>
      <c r="D4217">
        <v>335.67</v>
      </c>
      <c r="E4217">
        <v>335.88</v>
      </c>
      <c r="F4217" s="2">
        <v>229760000</v>
      </c>
    </row>
    <row r="4218" spans="1:6">
      <c r="A4218" s="32">
        <v>37533</v>
      </c>
      <c r="B4218">
        <v>336.98</v>
      </c>
      <c r="C4218">
        <v>341.91</v>
      </c>
      <c r="D4218">
        <v>336.98</v>
      </c>
      <c r="E4218">
        <v>340.92</v>
      </c>
      <c r="F4218" s="2">
        <v>570300000</v>
      </c>
    </row>
    <row r="4219" spans="1:6">
      <c r="A4219" s="32">
        <v>37532</v>
      </c>
      <c r="B4219">
        <v>334.87</v>
      </c>
      <c r="C4219">
        <v>337.29</v>
      </c>
      <c r="D4219">
        <v>334.41</v>
      </c>
      <c r="E4219">
        <v>336.55</v>
      </c>
      <c r="F4219" s="2">
        <v>317630000</v>
      </c>
    </row>
    <row r="4220" spans="1:6">
      <c r="A4220" s="32">
        <v>37531</v>
      </c>
      <c r="B4220">
        <v>337.04</v>
      </c>
      <c r="C4220">
        <v>337.47</v>
      </c>
      <c r="D4220">
        <v>334.99</v>
      </c>
      <c r="E4220">
        <v>335.43</v>
      </c>
      <c r="F4220" s="2">
        <v>476330000</v>
      </c>
    </row>
    <row r="4221" spans="1:6">
      <c r="A4221" s="32">
        <v>37530</v>
      </c>
      <c r="B4221">
        <v>330.92</v>
      </c>
      <c r="C4221">
        <v>333.75</v>
      </c>
      <c r="D4221">
        <v>330.37</v>
      </c>
      <c r="E4221">
        <v>333.69</v>
      </c>
      <c r="F4221" s="2">
        <v>368070000</v>
      </c>
    </row>
    <row r="4222" spans="1:6">
      <c r="A4222" s="32">
        <v>37529</v>
      </c>
      <c r="B4222">
        <v>335.55</v>
      </c>
      <c r="C4222">
        <v>335.55</v>
      </c>
      <c r="D4222">
        <v>330.98</v>
      </c>
      <c r="E4222">
        <v>331.79</v>
      </c>
      <c r="F4222" s="2">
        <v>239930000</v>
      </c>
    </row>
    <row r="4223" spans="1:6">
      <c r="A4223" s="32">
        <v>37526</v>
      </c>
      <c r="B4223">
        <v>338.23</v>
      </c>
      <c r="C4223">
        <v>340.35</v>
      </c>
      <c r="D4223">
        <v>338.06</v>
      </c>
      <c r="E4223">
        <v>338.72</v>
      </c>
      <c r="F4223" s="2">
        <v>381800000</v>
      </c>
    </row>
    <row r="4224" spans="1:6">
      <c r="A4224" s="32">
        <v>37525</v>
      </c>
      <c r="B4224">
        <v>338.96</v>
      </c>
      <c r="C4224">
        <v>339.58</v>
      </c>
      <c r="D4224">
        <v>335.3</v>
      </c>
      <c r="E4224">
        <v>335.82</v>
      </c>
      <c r="F4224" s="2">
        <v>533940000</v>
      </c>
    </row>
    <row r="4225" spans="1:6">
      <c r="A4225" s="32">
        <v>37524</v>
      </c>
      <c r="B4225">
        <v>338.91</v>
      </c>
      <c r="C4225">
        <v>338.91</v>
      </c>
      <c r="D4225">
        <v>332.3</v>
      </c>
      <c r="E4225">
        <v>336</v>
      </c>
      <c r="F4225" s="2">
        <v>721120000</v>
      </c>
    </row>
    <row r="4226" spans="1:6">
      <c r="A4226" s="32">
        <v>37523</v>
      </c>
      <c r="B4226">
        <v>347.66</v>
      </c>
      <c r="C4226">
        <v>347.66</v>
      </c>
      <c r="D4226">
        <v>339.93</v>
      </c>
      <c r="E4226">
        <v>340.33</v>
      </c>
      <c r="F4226" s="2">
        <v>527200000</v>
      </c>
    </row>
    <row r="4227" spans="1:6">
      <c r="A4227" s="32">
        <v>37522</v>
      </c>
      <c r="B4227">
        <v>351.09</v>
      </c>
      <c r="C4227">
        <v>351.09</v>
      </c>
      <c r="D4227">
        <v>347.76</v>
      </c>
      <c r="E4227">
        <v>347.97</v>
      </c>
      <c r="F4227" s="2">
        <v>324580000</v>
      </c>
    </row>
    <row r="4228" spans="1:6">
      <c r="A4228" s="32">
        <v>37519</v>
      </c>
      <c r="B4228">
        <v>350.03</v>
      </c>
      <c r="C4228">
        <v>351.52</v>
      </c>
      <c r="D4228">
        <v>347.83</v>
      </c>
      <c r="E4228">
        <v>351.52</v>
      </c>
      <c r="F4228" s="2">
        <v>652120000</v>
      </c>
    </row>
    <row r="4229" spans="1:6">
      <c r="A4229" s="32">
        <v>37518</v>
      </c>
      <c r="B4229">
        <v>354.1</v>
      </c>
      <c r="C4229">
        <v>356.01</v>
      </c>
      <c r="D4229">
        <v>352.34</v>
      </c>
      <c r="E4229">
        <v>352.34</v>
      </c>
      <c r="F4229" s="2">
        <v>552170000</v>
      </c>
    </row>
    <row r="4230" spans="1:6">
      <c r="A4230" s="32">
        <v>37517</v>
      </c>
      <c r="B4230">
        <v>355.5</v>
      </c>
      <c r="C4230">
        <v>355.5</v>
      </c>
      <c r="D4230">
        <v>352.9</v>
      </c>
      <c r="E4230">
        <v>354</v>
      </c>
      <c r="F4230" s="2">
        <v>478270000</v>
      </c>
    </row>
    <row r="4231" spans="1:6">
      <c r="A4231" s="32">
        <v>37516</v>
      </c>
      <c r="B4231">
        <v>356.83</v>
      </c>
      <c r="C4231">
        <v>359.53</v>
      </c>
      <c r="D4231">
        <v>356.37</v>
      </c>
      <c r="E4231">
        <v>359.3</v>
      </c>
      <c r="F4231" s="2">
        <v>741060000</v>
      </c>
    </row>
    <row r="4232" spans="1:6">
      <c r="A4232" s="32">
        <v>37515</v>
      </c>
      <c r="B4232">
        <v>356.91</v>
      </c>
      <c r="C4232">
        <v>358.22</v>
      </c>
      <c r="D4232">
        <v>351.36</v>
      </c>
      <c r="E4232">
        <v>351.88</v>
      </c>
      <c r="F4232" s="2">
        <v>413060000</v>
      </c>
    </row>
    <row r="4233" spans="1:6">
      <c r="A4233" s="32">
        <v>37512</v>
      </c>
      <c r="B4233">
        <v>358.39</v>
      </c>
      <c r="C4233">
        <v>358.46</v>
      </c>
      <c r="D4233">
        <v>355.88</v>
      </c>
      <c r="E4233">
        <v>357.15</v>
      </c>
      <c r="F4233" s="2">
        <v>443860000</v>
      </c>
    </row>
    <row r="4234" spans="1:6">
      <c r="A4234" s="32">
        <v>37511</v>
      </c>
      <c r="B4234">
        <v>361.07</v>
      </c>
      <c r="C4234">
        <v>366.88</v>
      </c>
      <c r="D4234">
        <v>361.07</v>
      </c>
      <c r="E4234">
        <v>361.49</v>
      </c>
      <c r="F4234" s="2">
        <v>737210000</v>
      </c>
    </row>
    <row r="4235" spans="1:6">
      <c r="A4235" s="32">
        <v>37510</v>
      </c>
      <c r="B4235">
        <v>360.92</v>
      </c>
      <c r="C4235">
        <v>361.38</v>
      </c>
      <c r="D4235">
        <v>359.24</v>
      </c>
      <c r="E4235">
        <v>361.35</v>
      </c>
      <c r="F4235" s="2">
        <v>452130000</v>
      </c>
    </row>
    <row r="4236" spans="1:6">
      <c r="A4236" s="32">
        <v>37509</v>
      </c>
      <c r="B4236">
        <v>354.51</v>
      </c>
      <c r="C4236">
        <v>360.61</v>
      </c>
      <c r="D4236">
        <v>354.51</v>
      </c>
      <c r="E4236">
        <v>360.61</v>
      </c>
      <c r="F4236" s="2">
        <v>529410000</v>
      </c>
    </row>
    <row r="4237" spans="1:6">
      <c r="A4237" s="32">
        <v>37508</v>
      </c>
      <c r="B4237">
        <v>354.13</v>
      </c>
      <c r="C4237">
        <v>354.36</v>
      </c>
      <c r="D4237">
        <v>352.4</v>
      </c>
      <c r="E4237">
        <v>353.23</v>
      </c>
      <c r="F4237" s="2">
        <v>225460000</v>
      </c>
    </row>
    <row r="4238" spans="1:6">
      <c r="A4238" s="32">
        <v>37505</v>
      </c>
      <c r="B4238">
        <v>348.47</v>
      </c>
      <c r="C4238">
        <v>353.79</v>
      </c>
      <c r="D4238">
        <v>347.99</v>
      </c>
      <c r="E4238">
        <v>353.55</v>
      </c>
      <c r="F4238" s="2">
        <v>388160000</v>
      </c>
    </row>
    <row r="4239" spans="1:6">
      <c r="A4239" s="32">
        <v>37504</v>
      </c>
      <c r="B4239">
        <v>352.38</v>
      </c>
      <c r="C4239">
        <v>352.9</v>
      </c>
      <c r="D4239">
        <v>350.05</v>
      </c>
      <c r="E4239">
        <v>350.05</v>
      </c>
      <c r="F4239" s="2">
        <v>367250000</v>
      </c>
    </row>
    <row r="4240" spans="1:6">
      <c r="A4240" s="32">
        <v>37503</v>
      </c>
      <c r="B4240">
        <v>353.15</v>
      </c>
      <c r="C4240">
        <v>353.15</v>
      </c>
      <c r="D4240">
        <v>347.42</v>
      </c>
      <c r="E4240">
        <v>351.94</v>
      </c>
      <c r="F4240" s="2">
        <v>425850000</v>
      </c>
    </row>
    <row r="4241" spans="1:6">
      <c r="A4241" s="32">
        <v>37502</v>
      </c>
      <c r="B4241">
        <v>357.09</v>
      </c>
      <c r="C4241">
        <v>359.18</v>
      </c>
      <c r="D4241">
        <v>355.59</v>
      </c>
      <c r="E4241">
        <v>355.59</v>
      </c>
      <c r="F4241" s="2">
        <v>222780000</v>
      </c>
    </row>
    <row r="4242" spans="1:6">
      <c r="A4242" s="32">
        <v>37501</v>
      </c>
      <c r="B4242">
        <v>360.55</v>
      </c>
      <c r="C4242">
        <v>360.83</v>
      </c>
      <c r="D4242">
        <v>356.84</v>
      </c>
      <c r="E4242">
        <v>357.36</v>
      </c>
      <c r="F4242" s="2">
        <v>224810000</v>
      </c>
    </row>
    <row r="4243" spans="1:6">
      <c r="A4243" s="32">
        <v>37498</v>
      </c>
      <c r="B4243">
        <v>361.94</v>
      </c>
      <c r="C4243">
        <v>363.17</v>
      </c>
      <c r="D4243">
        <v>359.53</v>
      </c>
      <c r="E4243">
        <v>361.16</v>
      </c>
      <c r="F4243" s="2">
        <v>279540000</v>
      </c>
    </row>
    <row r="4244" spans="1:6">
      <c r="A4244" s="32">
        <v>37497</v>
      </c>
      <c r="B4244">
        <v>364.77</v>
      </c>
      <c r="C4244">
        <v>364.77</v>
      </c>
      <c r="D4244">
        <v>361.25</v>
      </c>
      <c r="E4244">
        <v>362.14</v>
      </c>
      <c r="F4244" s="2">
        <v>292880000</v>
      </c>
    </row>
    <row r="4245" spans="1:6">
      <c r="A4245" s="32">
        <v>37496</v>
      </c>
      <c r="B4245">
        <v>370.38</v>
      </c>
      <c r="C4245">
        <v>372.1</v>
      </c>
      <c r="D4245">
        <v>364.26</v>
      </c>
      <c r="E4245">
        <v>365.13</v>
      </c>
      <c r="F4245" s="2">
        <v>578490000</v>
      </c>
    </row>
    <row r="4246" spans="1:6">
      <c r="A4246" s="32">
        <v>37495</v>
      </c>
      <c r="B4246">
        <v>368.82</v>
      </c>
      <c r="C4246">
        <v>371.47</v>
      </c>
      <c r="D4246">
        <v>367.19</v>
      </c>
      <c r="E4246">
        <v>370.14</v>
      </c>
      <c r="F4246" s="2">
        <v>311910000</v>
      </c>
    </row>
    <row r="4247" spans="1:6">
      <c r="A4247" s="32">
        <v>37494</v>
      </c>
      <c r="B4247">
        <v>366.99</v>
      </c>
      <c r="C4247">
        <v>369.07</v>
      </c>
      <c r="D4247">
        <v>366.21</v>
      </c>
      <c r="E4247">
        <v>369.02</v>
      </c>
      <c r="F4247" s="2">
        <v>256290000</v>
      </c>
    </row>
    <row r="4248" spans="1:6">
      <c r="A4248" s="32">
        <v>37491</v>
      </c>
      <c r="B4248">
        <v>369.67</v>
      </c>
      <c r="C4248">
        <v>369.83</v>
      </c>
      <c r="D4248">
        <v>365.59</v>
      </c>
      <c r="E4248">
        <v>367.01</v>
      </c>
      <c r="F4248" s="2">
        <v>377140000</v>
      </c>
    </row>
    <row r="4249" spans="1:6">
      <c r="A4249" s="32">
        <v>37490</v>
      </c>
      <c r="B4249">
        <v>372.61</v>
      </c>
      <c r="C4249">
        <v>374.42</v>
      </c>
      <c r="D4249">
        <v>368.32</v>
      </c>
      <c r="E4249">
        <v>368.32</v>
      </c>
      <c r="F4249" s="2">
        <v>676160000</v>
      </c>
    </row>
    <row r="4250" spans="1:6">
      <c r="A4250" s="32">
        <v>37489</v>
      </c>
      <c r="B4250">
        <v>372.93</v>
      </c>
      <c r="C4250">
        <v>372.97</v>
      </c>
      <c r="D4250">
        <v>369.51</v>
      </c>
      <c r="E4250">
        <v>372.22</v>
      </c>
      <c r="F4250" s="2">
        <v>577700000</v>
      </c>
    </row>
    <row r="4251" spans="1:6">
      <c r="A4251" s="32">
        <v>37488</v>
      </c>
      <c r="B4251">
        <v>372.67</v>
      </c>
      <c r="C4251">
        <v>374.97</v>
      </c>
      <c r="D4251">
        <v>371.19</v>
      </c>
      <c r="E4251">
        <v>373.25</v>
      </c>
      <c r="F4251" s="2">
        <v>777590000</v>
      </c>
    </row>
    <row r="4252" spans="1:6">
      <c r="A4252" s="32">
        <v>37487</v>
      </c>
      <c r="B4252">
        <v>373.55</v>
      </c>
      <c r="C4252">
        <v>373.55</v>
      </c>
      <c r="D4252">
        <v>369</v>
      </c>
      <c r="E4252">
        <v>370.21</v>
      </c>
      <c r="F4252" s="2">
        <v>521890000</v>
      </c>
    </row>
    <row r="4253" spans="1:6">
      <c r="A4253" s="32">
        <v>37484</v>
      </c>
      <c r="B4253">
        <v>373.45</v>
      </c>
      <c r="C4253">
        <v>376.09</v>
      </c>
      <c r="D4253">
        <v>371</v>
      </c>
      <c r="E4253">
        <v>373.03</v>
      </c>
      <c r="F4253" s="2">
        <v>819320000</v>
      </c>
    </row>
    <row r="4254" spans="1:6">
      <c r="A4254" s="32">
        <v>37483</v>
      </c>
      <c r="B4254">
        <v>374.31</v>
      </c>
      <c r="C4254">
        <v>376.78</v>
      </c>
      <c r="D4254">
        <v>370.77</v>
      </c>
      <c r="E4254">
        <v>371.62</v>
      </c>
      <c r="F4254" s="2">
        <v>1310000000</v>
      </c>
    </row>
    <row r="4255" spans="1:6">
      <c r="A4255" s="32">
        <v>37482</v>
      </c>
      <c r="B4255">
        <v>366.62</v>
      </c>
      <c r="C4255">
        <v>371.26</v>
      </c>
      <c r="D4255">
        <v>364.53</v>
      </c>
      <c r="E4255">
        <v>371.19</v>
      </c>
      <c r="F4255" s="2">
        <v>645500000</v>
      </c>
    </row>
    <row r="4256" spans="1:6">
      <c r="A4256" s="32">
        <v>37481</v>
      </c>
      <c r="B4256">
        <v>367.27</v>
      </c>
      <c r="C4256">
        <v>368.6</v>
      </c>
      <c r="D4256">
        <v>362.14</v>
      </c>
      <c r="E4256">
        <v>366.47</v>
      </c>
      <c r="F4256" s="2">
        <v>506310000</v>
      </c>
    </row>
    <row r="4257" spans="1:6">
      <c r="A4257" s="32">
        <v>37477</v>
      </c>
      <c r="B4257">
        <v>363.56</v>
      </c>
      <c r="C4257">
        <v>368.8</v>
      </c>
      <c r="D4257">
        <v>363.56</v>
      </c>
      <c r="E4257">
        <v>367.07</v>
      </c>
      <c r="F4257" s="2">
        <v>536450000</v>
      </c>
    </row>
    <row r="4258" spans="1:6">
      <c r="A4258" s="32">
        <v>37476</v>
      </c>
      <c r="B4258">
        <v>367.99</v>
      </c>
      <c r="C4258">
        <v>368.41</v>
      </c>
      <c r="D4258">
        <v>360.03</v>
      </c>
      <c r="E4258">
        <v>360.03</v>
      </c>
      <c r="F4258" s="2">
        <v>690010000</v>
      </c>
    </row>
    <row r="4259" spans="1:6">
      <c r="A4259" s="32">
        <v>37475</v>
      </c>
      <c r="B4259">
        <v>365.62</v>
      </c>
      <c r="C4259">
        <v>369.13</v>
      </c>
      <c r="D4259">
        <v>364.47</v>
      </c>
      <c r="E4259">
        <v>367.04</v>
      </c>
      <c r="F4259" s="2">
        <v>834080000</v>
      </c>
    </row>
    <row r="4260" spans="1:6">
      <c r="A4260" s="32">
        <v>37474</v>
      </c>
      <c r="B4260">
        <v>360.44</v>
      </c>
      <c r="C4260">
        <v>362.69</v>
      </c>
      <c r="D4260">
        <v>358.29</v>
      </c>
      <c r="E4260">
        <v>362.66</v>
      </c>
      <c r="F4260" s="2">
        <v>530820000</v>
      </c>
    </row>
    <row r="4261" spans="1:6">
      <c r="A4261" s="32">
        <v>37473</v>
      </c>
      <c r="B4261">
        <v>369.52</v>
      </c>
      <c r="C4261">
        <v>369.52</v>
      </c>
      <c r="D4261">
        <v>362.07</v>
      </c>
      <c r="E4261">
        <v>362.14</v>
      </c>
      <c r="F4261" s="2">
        <v>377590000</v>
      </c>
    </row>
    <row r="4262" spans="1:6">
      <c r="A4262" s="32">
        <v>37470</v>
      </c>
      <c r="B4262">
        <v>376.42</v>
      </c>
      <c r="C4262">
        <v>376.42</v>
      </c>
      <c r="D4262">
        <v>368.98</v>
      </c>
      <c r="E4262">
        <v>370.46</v>
      </c>
      <c r="F4262" s="2">
        <v>548980000</v>
      </c>
    </row>
    <row r="4263" spans="1:6">
      <c r="A4263" s="32">
        <v>37469</v>
      </c>
      <c r="B4263">
        <v>376.08</v>
      </c>
      <c r="C4263">
        <v>379.07</v>
      </c>
      <c r="D4263">
        <v>376.08</v>
      </c>
      <c r="E4263">
        <v>376.68</v>
      </c>
      <c r="F4263" s="2">
        <v>696140000</v>
      </c>
    </row>
    <row r="4264" spans="1:6">
      <c r="A4264" s="32">
        <v>37468</v>
      </c>
      <c r="B4264">
        <v>374.12</v>
      </c>
      <c r="C4264">
        <v>376.36</v>
      </c>
      <c r="D4264">
        <v>373.02</v>
      </c>
      <c r="E4264">
        <v>376.02</v>
      </c>
      <c r="F4264" s="2">
        <v>376690000</v>
      </c>
    </row>
    <row r="4265" spans="1:6">
      <c r="A4265" s="32">
        <v>37467</v>
      </c>
      <c r="B4265">
        <v>372.2</v>
      </c>
      <c r="C4265">
        <v>375.17</v>
      </c>
      <c r="D4265">
        <v>372.2</v>
      </c>
      <c r="E4265">
        <v>374.08</v>
      </c>
      <c r="F4265" s="2">
        <v>488390000</v>
      </c>
    </row>
    <row r="4266" spans="1:6">
      <c r="A4266" s="32">
        <v>37466</v>
      </c>
      <c r="B4266">
        <v>367.47</v>
      </c>
      <c r="C4266">
        <v>370.26</v>
      </c>
      <c r="D4266">
        <v>365.96</v>
      </c>
      <c r="E4266">
        <v>366.48</v>
      </c>
      <c r="F4266" s="2">
        <v>378930000</v>
      </c>
    </row>
    <row r="4267" spans="1:6">
      <c r="A4267" s="32">
        <v>37463</v>
      </c>
      <c r="B4267">
        <v>374.83</v>
      </c>
      <c r="C4267">
        <v>375.29</v>
      </c>
      <c r="D4267">
        <v>365.2</v>
      </c>
      <c r="E4267">
        <v>366.47</v>
      </c>
      <c r="F4267" s="2">
        <v>558720000</v>
      </c>
    </row>
    <row r="4268" spans="1:6">
      <c r="A4268" s="32">
        <v>37461</v>
      </c>
      <c r="B4268">
        <v>385.88</v>
      </c>
      <c r="C4268">
        <v>385.88</v>
      </c>
      <c r="D4268">
        <v>373.57</v>
      </c>
      <c r="E4268">
        <v>374.44</v>
      </c>
      <c r="F4268" s="2">
        <v>709170000</v>
      </c>
    </row>
    <row r="4269" spans="1:6">
      <c r="A4269" s="32">
        <v>37460</v>
      </c>
      <c r="B4269">
        <v>383.07</v>
      </c>
      <c r="C4269">
        <v>388.1</v>
      </c>
      <c r="D4269">
        <v>383.05</v>
      </c>
      <c r="E4269">
        <v>387.96</v>
      </c>
      <c r="F4269" s="2">
        <v>475020000</v>
      </c>
    </row>
    <row r="4270" spans="1:6">
      <c r="A4270" s="32">
        <v>37459</v>
      </c>
      <c r="B4270">
        <v>391.51</v>
      </c>
      <c r="C4270">
        <v>391.51</v>
      </c>
      <c r="D4270">
        <v>383.07</v>
      </c>
      <c r="E4270">
        <v>383.07</v>
      </c>
      <c r="F4270" s="2">
        <v>567200000</v>
      </c>
    </row>
    <row r="4271" spans="1:6">
      <c r="A4271" s="32">
        <v>37456</v>
      </c>
      <c r="B4271">
        <v>395.86</v>
      </c>
      <c r="C4271">
        <v>397.54</v>
      </c>
      <c r="D4271">
        <v>394.14</v>
      </c>
      <c r="E4271">
        <v>394.27</v>
      </c>
      <c r="F4271" s="2">
        <v>737050000</v>
      </c>
    </row>
    <row r="4272" spans="1:6">
      <c r="A4272" s="32">
        <v>37455</v>
      </c>
      <c r="B4272">
        <v>395.61</v>
      </c>
      <c r="C4272">
        <v>398.03</v>
      </c>
      <c r="D4272">
        <v>393.69</v>
      </c>
      <c r="E4272">
        <v>397.91</v>
      </c>
      <c r="F4272" s="2">
        <v>803600000</v>
      </c>
    </row>
    <row r="4273" spans="1:6">
      <c r="A4273" s="32">
        <v>37454</v>
      </c>
      <c r="B4273">
        <v>392.71</v>
      </c>
      <c r="C4273">
        <v>394.32</v>
      </c>
      <c r="D4273">
        <v>390.07</v>
      </c>
      <c r="E4273">
        <v>394.32</v>
      </c>
      <c r="F4273" s="2">
        <v>544200000</v>
      </c>
    </row>
    <row r="4274" spans="1:6">
      <c r="A4274" s="32">
        <v>37453</v>
      </c>
      <c r="B4274">
        <v>399.63</v>
      </c>
      <c r="C4274">
        <v>400.14</v>
      </c>
      <c r="D4274">
        <v>392.28</v>
      </c>
      <c r="E4274">
        <v>392.55</v>
      </c>
      <c r="F4274" s="2">
        <v>699620000</v>
      </c>
    </row>
    <row r="4275" spans="1:6">
      <c r="A4275" s="32">
        <v>37452</v>
      </c>
      <c r="B4275">
        <v>401.31</v>
      </c>
      <c r="C4275">
        <v>401.62</v>
      </c>
      <c r="D4275">
        <v>398.53</v>
      </c>
      <c r="E4275">
        <v>399.36</v>
      </c>
      <c r="F4275" s="2">
        <v>564210000</v>
      </c>
    </row>
    <row r="4276" spans="1:6">
      <c r="A4276" s="32">
        <v>37449</v>
      </c>
      <c r="B4276">
        <v>400.47</v>
      </c>
      <c r="C4276">
        <v>402.65</v>
      </c>
      <c r="D4276">
        <v>399.4</v>
      </c>
      <c r="E4276">
        <v>400.66</v>
      </c>
      <c r="F4276" s="2">
        <v>718150000</v>
      </c>
    </row>
    <row r="4277" spans="1:6">
      <c r="A4277" s="32">
        <v>37448</v>
      </c>
      <c r="B4277">
        <v>400.58</v>
      </c>
      <c r="C4277">
        <v>404.27</v>
      </c>
      <c r="D4277">
        <v>396.88</v>
      </c>
      <c r="E4277">
        <v>397.97</v>
      </c>
      <c r="F4277" s="2">
        <v>952270000</v>
      </c>
    </row>
    <row r="4278" spans="1:6">
      <c r="A4278" s="32">
        <v>37447</v>
      </c>
      <c r="B4278">
        <v>402.94</v>
      </c>
      <c r="C4278">
        <v>404.15</v>
      </c>
      <c r="D4278">
        <v>401.34</v>
      </c>
      <c r="E4278">
        <v>402.97</v>
      </c>
      <c r="F4278" s="2">
        <v>867720000</v>
      </c>
    </row>
    <row r="4279" spans="1:6">
      <c r="A4279" s="32">
        <v>37446</v>
      </c>
      <c r="B4279">
        <v>399.96</v>
      </c>
      <c r="C4279">
        <v>403.36</v>
      </c>
      <c r="D4279">
        <v>397.85</v>
      </c>
      <c r="E4279">
        <v>403.22</v>
      </c>
      <c r="F4279" s="2">
        <v>629990000</v>
      </c>
    </row>
    <row r="4280" spans="1:6">
      <c r="A4280" s="32">
        <v>37445</v>
      </c>
      <c r="B4280">
        <v>404.05</v>
      </c>
      <c r="C4280">
        <v>404.75</v>
      </c>
      <c r="D4280">
        <v>398.73</v>
      </c>
      <c r="E4280">
        <v>398.75</v>
      </c>
      <c r="F4280" s="2">
        <v>692360000</v>
      </c>
    </row>
    <row r="4281" spans="1:6">
      <c r="A4281" s="32">
        <v>37442</v>
      </c>
      <c r="B4281">
        <v>398.39</v>
      </c>
      <c r="C4281">
        <v>402.72</v>
      </c>
      <c r="D4281">
        <v>396.41</v>
      </c>
      <c r="E4281">
        <v>401.1</v>
      </c>
      <c r="F4281" s="2">
        <v>979790000</v>
      </c>
    </row>
    <row r="4282" spans="1:6">
      <c r="A4282" s="32">
        <v>37441</v>
      </c>
      <c r="B4282">
        <v>397.05</v>
      </c>
      <c r="C4282">
        <v>398.61</v>
      </c>
      <c r="D4282">
        <v>394.53</v>
      </c>
      <c r="E4282">
        <v>397.79</v>
      </c>
      <c r="F4282" s="2">
        <v>755440000</v>
      </c>
    </row>
    <row r="4283" spans="1:6">
      <c r="A4283" s="32">
        <v>37440</v>
      </c>
      <c r="B4283">
        <v>390.14</v>
      </c>
      <c r="C4283">
        <v>396.5</v>
      </c>
      <c r="D4283">
        <v>390.14</v>
      </c>
      <c r="E4283">
        <v>395.15</v>
      </c>
      <c r="F4283" s="2">
        <v>861420000</v>
      </c>
    </row>
    <row r="4284" spans="1:6">
      <c r="A4284" s="32">
        <v>37439</v>
      </c>
      <c r="B4284">
        <v>388.12</v>
      </c>
      <c r="C4284">
        <v>390.78</v>
      </c>
      <c r="D4284">
        <v>387.31</v>
      </c>
      <c r="E4284">
        <v>390.78</v>
      </c>
      <c r="F4284" s="2">
        <v>491510000</v>
      </c>
    </row>
    <row r="4285" spans="1:6">
      <c r="A4285" s="32">
        <v>37435</v>
      </c>
      <c r="B4285">
        <v>386.24</v>
      </c>
      <c r="C4285">
        <v>391.92</v>
      </c>
      <c r="D4285">
        <v>386.24</v>
      </c>
      <c r="E4285">
        <v>389.1</v>
      </c>
      <c r="F4285" s="2">
        <v>594310000</v>
      </c>
    </row>
    <row r="4286" spans="1:6">
      <c r="A4286" s="32">
        <v>37434</v>
      </c>
      <c r="B4286">
        <v>384.89</v>
      </c>
      <c r="C4286">
        <v>386.02</v>
      </c>
      <c r="D4286">
        <v>381.9</v>
      </c>
      <c r="E4286">
        <v>383.02</v>
      </c>
      <c r="F4286" s="2">
        <v>572370000</v>
      </c>
    </row>
    <row r="4287" spans="1:6">
      <c r="A4287" s="32">
        <v>37433</v>
      </c>
      <c r="B4287">
        <v>395.37</v>
      </c>
      <c r="C4287">
        <v>395.42</v>
      </c>
      <c r="D4287">
        <v>379.45</v>
      </c>
      <c r="E4287">
        <v>381.21</v>
      </c>
      <c r="F4287" s="2">
        <v>989860000</v>
      </c>
    </row>
    <row r="4288" spans="1:6">
      <c r="A4288" s="32">
        <v>37432</v>
      </c>
      <c r="B4288">
        <v>394.67</v>
      </c>
      <c r="C4288">
        <v>398.69</v>
      </c>
      <c r="D4288">
        <v>393.15</v>
      </c>
      <c r="E4288">
        <v>398.53</v>
      </c>
      <c r="F4288" s="2">
        <v>640170000</v>
      </c>
    </row>
    <row r="4289" spans="1:6">
      <c r="A4289" s="32">
        <v>37431</v>
      </c>
      <c r="B4289">
        <v>393.91</v>
      </c>
      <c r="C4289">
        <v>394.43</v>
      </c>
      <c r="D4289">
        <v>388.92</v>
      </c>
      <c r="E4289">
        <v>393.88</v>
      </c>
      <c r="F4289" s="2">
        <v>514510000</v>
      </c>
    </row>
    <row r="4290" spans="1:6">
      <c r="A4290" s="32">
        <v>37428</v>
      </c>
      <c r="B4290">
        <v>399.73</v>
      </c>
      <c r="C4290">
        <v>399.73</v>
      </c>
      <c r="D4290">
        <v>393.46</v>
      </c>
      <c r="E4290">
        <v>395.46</v>
      </c>
      <c r="F4290" s="2">
        <v>774300000</v>
      </c>
    </row>
    <row r="4291" spans="1:6">
      <c r="A4291" s="32">
        <v>37427</v>
      </c>
      <c r="B4291">
        <v>405.61</v>
      </c>
      <c r="C4291">
        <v>406.23</v>
      </c>
      <c r="D4291">
        <v>400.15</v>
      </c>
      <c r="E4291">
        <v>403.31</v>
      </c>
      <c r="F4291" s="2">
        <v>884350000</v>
      </c>
    </row>
    <row r="4292" spans="1:6">
      <c r="A4292" s="32">
        <v>37426</v>
      </c>
      <c r="B4292">
        <v>418.45</v>
      </c>
      <c r="C4292">
        <v>418.77</v>
      </c>
      <c r="D4292">
        <v>405</v>
      </c>
      <c r="E4292">
        <v>406.47</v>
      </c>
      <c r="F4292" s="2">
        <v>909570000</v>
      </c>
    </row>
    <row r="4293" spans="1:6">
      <c r="A4293" s="32">
        <v>37425</v>
      </c>
      <c r="B4293">
        <v>419.29</v>
      </c>
      <c r="C4293">
        <v>419.52</v>
      </c>
      <c r="D4293">
        <v>414.47</v>
      </c>
      <c r="E4293">
        <v>418.52</v>
      </c>
      <c r="F4293" s="2">
        <v>739780000</v>
      </c>
    </row>
    <row r="4294" spans="1:6">
      <c r="A4294" s="32">
        <v>37424</v>
      </c>
      <c r="B4294">
        <v>422.42</v>
      </c>
      <c r="C4294">
        <v>424.19</v>
      </c>
      <c r="D4294">
        <v>416.35</v>
      </c>
      <c r="E4294">
        <v>417.39</v>
      </c>
      <c r="F4294" s="2">
        <v>1040000000</v>
      </c>
    </row>
    <row r="4295" spans="1:6">
      <c r="A4295" s="32">
        <v>37421</v>
      </c>
      <c r="B4295">
        <v>428.51</v>
      </c>
      <c r="C4295">
        <v>430.67</v>
      </c>
      <c r="D4295">
        <v>421.51</v>
      </c>
      <c r="E4295">
        <v>422.44</v>
      </c>
      <c r="F4295" s="2">
        <v>1420000000</v>
      </c>
    </row>
    <row r="4296" spans="1:6">
      <c r="A4296" s="32">
        <v>37420</v>
      </c>
      <c r="B4296">
        <v>424.05</v>
      </c>
      <c r="C4296">
        <v>428.76</v>
      </c>
      <c r="D4296">
        <v>421.17</v>
      </c>
      <c r="E4296">
        <v>426.45</v>
      </c>
      <c r="F4296" s="2">
        <v>1330000000</v>
      </c>
    </row>
    <row r="4297" spans="1:6">
      <c r="A4297" s="32">
        <v>37419</v>
      </c>
      <c r="B4297">
        <v>418.87</v>
      </c>
      <c r="C4297">
        <v>429.23</v>
      </c>
      <c r="D4297">
        <v>418.87</v>
      </c>
      <c r="E4297">
        <v>423.61</v>
      </c>
      <c r="F4297" s="2">
        <v>1910000000</v>
      </c>
    </row>
    <row r="4298" spans="1:6">
      <c r="A4298" s="32">
        <v>37418</v>
      </c>
      <c r="B4298">
        <v>425.68</v>
      </c>
      <c r="C4298">
        <v>425.72</v>
      </c>
      <c r="D4298">
        <v>417.89</v>
      </c>
      <c r="E4298">
        <v>418.85</v>
      </c>
      <c r="F4298" s="2">
        <v>1680000000</v>
      </c>
    </row>
    <row r="4299" spans="1:6">
      <c r="A4299" s="32">
        <v>37417</v>
      </c>
      <c r="B4299">
        <v>419.07</v>
      </c>
      <c r="C4299">
        <v>423.9</v>
      </c>
      <c r="D4299">
        <v>418.56</v>
      </c>
      <c r="E4299">
        <v>423.65</v>
      </c>
      <c r="F4299" s="2">
        <v>1740000000</v>
      </c>
    </row>
    <row r="4300" spans="1:6">
      <c r="A4300" s="32">
        <v>37414</v>
      </c>
      <c r="B4300">
        <v>418.68</v>
      </c>
      <c r="C4300">
        <v>423.21</v>
      </c>
      <c r="D4300">
        <v>415.56</v>
      </c>
      <c r="E4300">
        <v>417.33</v>
      </c>
      <c r="F4300" s="2">
        <v>1330000000</v>
      </c>
    </row>
    <row r="4301" spans="1:6">
      <c r="A4301" s="32">
        <v>37413</v>
      </c>
      <c r="B4301">
        <v>412.82</v>
      </c>
      <c r="C4301">
        <v>419.54</v>
      </c>
      <c r="D4301">
        <v>412.82</v>
      </c>
      <c r="E4301">
        <v>417.76</v>
      </c>
      <c r="F4301" s="2">
        <v>1850000000</v>
      </c>
    </row>
    <row r="4302" spans="1:6">
      <c r="A4302" s="32">
        <v>37412</v>
      </c>
      <c r="B4302">
        <v>402.81</v>
      </c>
      <c r="C4302">
        <v>411.07</v>
      </c>
      <c r="D4302">
        <v>402.81</v>
      </c>
      <c r="E4302">
        <v>411.07</v>
      </c>
      <c r="F4302" s="2">
        <v>985730000</v>
      </c>
    </row>
    <row r="4303" spans="1:6">
      <c r="A4303" s="32">
        <v>37411</v>
      </c>
      <c r="B4303">
        <v>406.6</v>
      </c>
      <c r="C4303">
        <v>407.74</v>
      </c>
      <c r="D4303">
        <v>402.32</v>
      </c>
      <c r="E4303">
        <v>402.54</v>
      </c>
      <c r="F4303" s="2">
        <v>919790000</v>
      </c>
    </row>
    <row r="4304" spans="1:6">
      <c r="A4304" s="32">
        <v>37410</v>
      </c>
      <c r="B4304">
        <v>409.07</v>
      </c>
      <c r="C4304">
        <v>411.01</v>
      </c>
      <c r="D4304">
        <v>406.77</v>
      </c>
      <c r="E4304">
        <v>406.77</v>
      </c>
      <c r="F4304" s="2">
        <v>915890000</v>
      </c>
    </row>
    <row r="4305" spans="1:6">
      <c r="A4305" s="32">
        <v>37407</v>
      </c>
      <c r="B4305">
        <v>407.84</v>
      </c>
      <c r="C4305">
        <v>410.71</v>
      </c>
      <c r="D4305">
        <v>404.77</v>
      </c>
      <c r="E4305">
        <v>407.96</v>
      </c>
      <c r="F4305" s="2">
        <v>1320000000</v>
      </c>
    </row>
    <row r="4306" spans="1:6">
      <c r="A4306" s="32">
        <v>37406</v>
      </c>
      <c r="B4306">
        <v>412.27</v>
      </c>
      <c r="C4306">
        <v>412.89</v>
      </c>
      <c r="D4306">
        <v>404.51</v>
      </c>
      <c r="E4306">
        <v>407.41</v>
      </c>
      <c r="F4306" s="2">
        <v>1370000000</v>
      </c>
    </row>
    <row r="4307" spans="1:6">
      <c r="A4307" s="32">
        <v>37405</v>
      </c>
      <c r="B4307">
        <v>405.85</v>
      </c>
      <c r="C4307">
        <v>412.4</v>
      </c>
      <c r="D4307">
        <v>405.85</v>
      </c>
      <c r="E4307">
        <v>409.11</v>
      </c>
      <c r="F4307" s="2">
        <v>1670000000</v>
      </c>
    </row>
    <row r="4308" spans="1:6">
      <c r="A4308" s="32">
        <v>37404</v>
      </c>
      <c r="B4308">
        <v>392.9</v>
      </c>
      <c r="C4308">
        <v>404.81</v>
      </c>
      <c r="D4308">
        <v>392.9</v>
      </c>
      <c r="E4308">
        <v>403.04</v>
      </c>
      <c r="F4308" s="2">
        <v>1130000000</v>
      </c>
    </row>
    <row r="4309" spans="1:6">
      <c r="A4309" s="32">
        <v>37400</v>
      </c>
      <c r="B4309">
        <v>394.88</v>
      </c>
      <c r="C4309">
        <v>396.48</v>
      </c>
      <c r="D4309">
        <v>391.41</v>
      </c>
      <c r="E4309">
        <v>392.09</v>
      </c>
      <c r="F4309" s="2">
        <v>927530000</v>
      </c>
    </row>
    <row r="4310" spans="1:6">
      <c r="A4310" s="32">
        <v>37399</v>
      </c>
      <c r="B4310">
        <v>388.31</v>
      </c>
      <c r="C4310">
        <v>394.56</v>
      </c>
      <c r="D4310">
        <v>387.9</v>
      </c>
      <c r="E4310">
        <v>392.85</v>
      </c>
      <c r="F4310" s="2">
        <v>1170000000</v>
      </c>
    </row>
    <row r="4311" spans="1:6">
      <c r="A4311" s="32">
        <v>37398</v>
      </c>
      <c r="B4311">
        <v>386.05</v>
      </c>
      <c r="C4311">
        <v>388.28</v>
      </c>
      <c r="D4311">
        <v>385.48</v>
      </c>
      <c r="E4311">
        <v>386.97</v>
      </c>
      <c r="F4311" s="2">
        <v>903220000</v>
      </c>
    </row>
    <row r="4312" spans="1:6">
      <c r="A4312" s="32">
        <v>37397</v>
      </c>
      <c r="B4312">
        <v>380.98</v>
      </c>
      <c r="C4312">
        <v>385.64</v>
      </c>
      <c r="D4312">
        <v>380.98</v>
      </c>
      <c r="E4312">
        <v>385.64</v>
      </c>
      <c r="F4312" s="2">
        <v>817450000</v>
      </c>
    </row>
    <row r="4313" spans="1:6">
      <c r="A4313" s="32">
        <v>37396</v>
      </c>
      <c r="B4313">
        <v>378.81</v>
      </c>
      <c r="C4313">
        <v>381.02</v>
      </c>
      <c r="D4313">
        <v>378.51</v>
      </c>
      <c r="E4313">
        <v>381.02</v>
      </c>
      <c r="F4313" s="2">
        <v>498140000</v>
      </c>
    </row>
    <row r="4314" spans="1:6">
      <c r="A4314" s="32">
        <v>37393</v>
      </c>
      <c r="B4314">
        <v>376.26</v>
      </c>
      <c r="C4314">
        <v>379.08</v>
      </c>
      <c r="D4314">
        <v>375.97</v>
      </c>
      <c r="E4314">
        <v>378.23</v>
      </c>
      <c r="F4314" s="2">
        <v>606110000</v>
      </c>
    </row>
    <row r="4315" spans="1:6">
      <c r="A4315" s="32">
        <v>37392</v>
      </c>
      <c r="B4315">
        <v>376.89</v>
      </c>
      <c r="C4315">
        <v>378.15</v>
      </c>
      <c r="D4315">
        <v>374.66</v>
      </c>
      <c r="E4315">
        <v>376.18</v>
      </c>
      <c r="F4315" s="2">
        <v>449210000</v>
      </c>
    </row>
    <row r="4316" spans="1:6">
      <c r="A4316" s="32">
        <v>37391</v>
      </c>
      <c r="B4316">
        <v>383.16</v>
      </c>
      <c r="C4316">
        <v>383.75</v>
      </c>
      <c r="D4316">
        <v>375.83</v>
      </c>
      <c r="E4316">
        <v>375.83</v>
      </c>
      <c r="F4316" s="2">
        <v>707150000</v>
      </c>
    </row>
    <row r="4317" spans="1:6">
      <c r="A4317" s="32">
        <v>37390</v>
      </c>
      <c r="B4317">
        <v>382.3</v>
      </c>
      <c r="C4317">
        <v>382.9</v>
      </c>
      <c r="D4317">
        <v>380.52</v>
      </c>
      <c r="E4317">
        <v>382.09</v>
      </c>
      <c r="F4317" s="2">
        <v>599620000</v>
      </c>
    </row>
    <row r="4318" spans="1:6">
      <c r="A4318" s="32">
        <v>37389</v>
      </c>
      <c r="B4318">
        <v>381.32</v>
      </c>
      <c r="C4318">
        <v>381.84</v>
      </c>
      <c r="D4318">
        <v>379.89</v>
      </c>
      <c r="E4318">
        <v>380.67</v>
      </c>
      <c r="F4318" s="2">
        <v>399460000</v>
      </c>
    </row>
    <row r="4319" spans="1:6">
      <c r="A4319" s="32">
        <v>37386</v>
      </c>
      <c r="B4319">
        <v>381.75</v>
      </c>
      <c r="C4319">
        <v>382.47</v>
      </c>
      <c r="D4319">
        <v>377.38</v>
      </c>
      <c r="E4319">
        <v>382.09</v>
      </c>
      <c r="F4319" s="2">
        <v>617260000</v>
      </c>
    </row>
    <row r="4320" spans="1:6">
      <c r="A4320" s="32">
        <v>37385</v>
      </c>
      <c r="B4320">
        <v>387.07</v>
      </c>
      <c r="C4320">
        <v>387.07</v>
      </c>
      <c r="D4320">
        <v>380.09</v>
      </c>
      <c r="E4320">
        <v>380.7</v>
      </c>
      <c r="F4320" s="2">
        <v>907920000</v>
      </c>
    </row>
    <row r="4321" spans="1:6">
      <c r="A4321" s="32">
        <v>37384</v>
      </c>
      <c r="B4321">
        <v>376.84</v>
      </c>
      <c r="C4321">
        <v>382.48</v>
      </c>
      <c r="D4321">
        <v>375.62</v>
      </c>
      <c r="E4321">
        <v>382.48</v>
      </c>
      <c r="F4321" s="2">
        <v>769930000</v>
      </c>
    </row>
    <row r="4322" spans="1:6">
      <c r="A4322" s="32">
        <v>37383</v>
      </c>
      <c r="B4322">
        <v>372.61</v>
      </c>
      <c r="C4322">
        <v>374.65</v>
      </c>
      <c r="D4322">
        <v>371.13</v>
      </c>
      <c r="E4322">
        <v>374.65</v>
      </c>
      <c r="F4322" s="2">
        <v>591180000</v>
      </c>
    </row>
    <row r="4323" spans="1:6">
      <c r="A4323" s="32">
        <v>37379</v>
      </c>
      <c r="B4323">
        <v>371.4</v>
      </c>
      <c r="C4323">
        <v>374.05</v>
      </c>
      <c r="D4323">
        <v>369.35</v>
      </c>
      <c r="E4323">
        <v>374.05</v>
      </c>
      <c r="F4323" s="2">
        <v>547610000</v>
      </c>
    </row>
    <row r="4324" spans="1:6">
      <c r="A4324" s="32">
        <v>37378</v>
      </c>
      <c r="B4324">
        <v>372.71</v>
      </c>
      <c r="C4324">
        <v>374.93</v>
      </c>
      <c r="D4324">
        <v>369.86</v>
      </c>
      <c r="E4324">
        <v>369.86</v>
      </c>
      <c r="F4324" s="2">
        <v>605280000</v>
      </c>
    </row>
    <row r="4325" spans="1:6">
      <c r="A4325" s="32">
        <v>37376</v>
      </c>
      <c r="B4325">
        <v>371.12</v>
      </c>
      <c r="C4325">
        <v>372.7</v>
      </c>
      <c r="D4325">
        <v>368.89</v>
      </c>
      <c r="E4325">
        <v>371.42</v>
      </c>
      <c r="F4325" s="2">
        <v>774740000</v>
      </c>
    </row>
    <row r="4326" spans="1:6">
      <c r="A4326" s="32">
        <v>37375</v>
      </c>
      <c r="B4326">
        <v>374.04</v>
      </c>
      <c r="C4326">
        <v>374.44</v>
      </c>
      <c r="D4326">
        <v>370.61</v>
      </c>
      <c r="E4326">
        <v>371.01</v>
      </c>
      <c r="F4326" s="2">
        <v>591110000</v>
      </c>
    </row>
    <row r="4327" spans="1:6">
      <c r="A4327" s="32">
        <v>37372</v>
      </c>
      <c r="B4327">
        <v>374.1</v>
      </c>
      <c r="C4327">
        <v>376.5</v>
      </c>
      <c r="D4327">
        <v>373.39</v>
      </c>
      <c r="E4327">
        <v>376.44</v>
      </c>
      <c r="F4327" s="2">
        <v>829860000</v>
      </c>
    </row>
    <row r="4328" spans="1:6">
      <c r="A4328" s="32">
        <v>37371</v>
      </c>
      <c r="B4328">
        <v>379.69</v>
      </c>
      <c r="C4328">
        <v>380.59</v>
      </c>
      <c r="D4328">
        <v>373.04</v>
      </c>
      <c r="E4328">
        <v>373.04</v>
      </c>
      <c r="F4328" s="2">
        <v>1170000000</v>
      </c>
    </row>
    <row r="4329" spans="1:6">
      <c r="A4329" s="32">
        <v>37370</v>
      </c>
      <c r="B4329">
        <v>381.11</v>
      </c>
      <c r="C4329">
        <v>384</v>
      </c>
      <c r="D4329">
        <v>379.6</v>
      </c>
      <c r="E4329">
        <v>380.76</v>
      </c>
      <c r="F4329" s="2">
        <v>1180000000</v>
      </c>
    </row>
    <row r="4330" spans="1:6">
      <c r="A4330" s="32">
        <v>37369</v>
      </c>
      <c r="B4330">
        <v>386.07</v>
      </c>
      <c r="C4330">
        <v>386.07</v>
      </c>
      <c r="D4330">
        <v>380.63</v>
      </c>
      <c r="E4330">
        <v>381.43</v>
      </c>
      <c r="F4330" s="2">
        <v>1020000000</v>
      </c>
    </row>
    <row r="4331" spans="1:6">
      <c r="A4331" s="32">
        <v>37368</v>
      </c>
      <c r="B4331">
        <v>387.3</v>
      </c>
      <c r="C4331">
        <v>389.62</v>
      </c>
      <c r="D4331">
        <v>385.41</v>
      </c>
      <c r="E4331">
        <v>386.92</v>
      </c>
      <c r="F4331" s="2">
        <v>1460000000</v>
      </c>
    </row>
    <row r="4332" spans="1:6">
      <c r="A4332" s="32">
        <v>37365</v>
      </c>
      <c r="B4332">
        <v>388.7</v>
      </c>
      <c r="C4332">
        <v>391.34</v>
      </c>
      <c r="D4332">
        <v>385.17</v>
      </c>
      <c r="E4332">
        <v>386.51</v>
      </c>
      <c r="F4332" s="2">
        <v>1940000000</v>
      </c>
    </row>
    <row r="4333" spans="1:6">
      <c r="A4333" s="32">
        <v>37364</v>
      </c>
      <c r="B4333">
        <v>392.5</v>
      </c>
      <c r="C4333">
        <v>393.32</v>
      </c>
      <c r="D4333">
        <v>387.48</v>
      </c>
      <c r="E4333">
        <v>387.48</v>
      </c>
      <c r="F4333" s="2">
        <v>1870000000</v>
      </c>
    </row>
    <row r="4334" spans="1:6">
      <c r="A4334" s="32">
        <v>37363</v>
      </c>
      <c r="B4334">
        <v>383.53</v>
      </c>
      <c r="C4334">
        <v>390.86</v>
      </c>
      <c r="D4334">
        <v>383.47</v>
      </c>
      <c r="E4334">
        <v>390.73</v>
      </c>
      <c r="F4334" s="2">
        <v>2020000000</v>
      </c>
    </row>
    <row r="4335" spans="1:6">
      <c r="A4335" s="32">
        <v>37358</v>
      </c>
      <c r="B4335">
        <v>377.5</v>
      </c>
      <c r="C4335">
        <v>379.63</v>
      </c>
      <c r="D4335">
        <v>375.48</v>
      </c>
      <c r="E4335">
        <v>379.63</v>
      </c>
      <c r="F4335" s="2">
        <v>1030000000</v>
      </c>
    </row>
    <row r="4336" spans="1:6">
      <c r="A4336" s="32">
        <v>37357</v>
      </c>
      <c r="B4336">
        <v>374.44</v>
      </c>
      <c r="C4336">
        <v>379.13</v>
      </c>
      <c r="D4336">
        <v>374.44</v>
      </c>
      <c r="E4336">
        <v>377.95</v>
      </c>
      <c r="F4336" s="2">
        <v>1520000000</v>
      </c>
    </row>
    <row r="4337" spans="1:6">
      <c r="A4337" s="32">
        <v>37356</v>
      </c>
      <c r="B4337">
        <v>371.54</v>
      </c>
      <c r="C4337">
        <v>373.73</v>
      </c>
      <c r="D4337">
        <v>370.39</v>
      </c>
      <c r="E4337">
        <v>372.67</v>
      </c>
      <c r="F4337" s="2">
        <v>942530000</v>
      </c>
    </row>
    <row r="4338" spans="1:6">
      <c r="A4338" s="32">
        <v>37355</v>
      </c>
      <c r="B4338">
        <v>371.29</v>
      </c>
      <c r="C4338">
        <v>373.84</v>
      </c>
      <c r="D4338">
        <v>369.06</v>
      </c>
      <c r="E4338">
        <v>370.86</v>
      </c>
      <c r="F4338" s="2">
        <v>1060000000</v>
      </c>
    </row>
    <row r="4339" spans="1:6">
      <c r="A4339" s="32">
        <v>37351</v>
      </c>
      <c r="B4339">
        <v>362.88</v>
      </c>
      <c r="C4339">
        <v>370.44</v>
      </c>
      <c r="D4339">
        <v>362.88</v>
      </c>
      <c r="E4339">
        <v>369.99</v>
      </c>
      <c r="F4339" s="2">
        <v>1240000000</v>
      </c>
    </row>
    <row r="4340" spans="1:6">
      <c r="A4340" s="32">
        <v>37350</v>
      </c>
      <c r="B4340">
        <v>361.95</v>
      </c>
      <c r="C4340">
        <v>364.64</v>
      </c>
      <c r="D4340">
        <v>360.47</v>
      </c>
      <c r="E4340">
        <v>361.95</v>
      </c>
      <c r="F4340" s="2">
        <v>652750000</v>
      </c>
    </row>
    <row r="4341" spans="1:6">
      <c r="A4341" s="32">
        <v>37349</v>
      </c>
      <c r="B4341">
        <v>369.37</v>
      </c>
      <c r="C4341">
        <v>369.37</v>
      </c>
      <c r="D4341">
        <v>362.38</v>
      </c>
      <c r="E4341">
        <v>364.11</v>
      </c>
      <c r="F4341" s="2">
        <v>673670000</v>
      </c>
    </row>
    <row r="4342" spans="1:6">
      <c r="A4342" s="32">
        <v>37348</v>
      </c>
      <c r="B4342">
        <v>375.83</v>
      </c>
      <c r="C4342">
        <v>376.82</v>
      </c>
      <c r="D4342">
        <v>370.55</v>
      </c>
      <c r="E4342">
        <v>370.82</v>
      </c>
      <c r="F4342" s="2">
        <v>510440000</v>
      </c>
    </row>
    <row r="4343" spans="1:6">
      <c r="A4343" s="32">
        <v>37347</v>
      </c>
      <c r="B4343">
        <v>373.97</v>
      </c>
      <c r="C4343">
        <v>375.52</v>
      </c>
      <c r="D4343">
        <v>370.36</v>
      </c>
      <c r="E4343">
        <v>375.52</v>
      </c>
      <c r="F4343" s="2">
        <v>522990000</v>
      </c>
    </row>
    <row r="4344" spans="1:6">
      <c r="A4344" s="32">
        <v>37344</v>
      </c>
      <c r="B4344">
        <v>379.93</v>
      </c>
      <c r="C4344">
        <v>380.54</v>
      </c>
      <c r="D4344">
        <v>371.52</v>
      </c>
      <c r="E4344">
        <v>373.95</v>
      </c>
      <c r="F4344" s="2">
        <v>913190000</v>
      </c>
    </row>
    <row r="4345" spans="1:6">
      <c r="A4345" s="32">
        <v>37343</v>
      </c>
      <c r="B4345">
        <v>377.52</v>
      </c>
      <c r="C4345">
        <v>381.74</v>
      </c>
      <c r="D4345">
        <v>376.95</v>
      </c>
      <c r="E4345">
        <v>379.55</v>
      </c>
      <c r="F4345" s="2">
        <v>1170000000</v>
      </c>
    </row>
    <row r="4346" spans="1:6">
      <c r="A4346" s="32">
        <v>37342</v>
      </c>
      <c r="B4346">
        <v>384.74</v>
      </c>
      <c r="C4346">
        <v>385.6</v>
      </c>
      <c r="D4346">
        <v>376.67</v>
      </c>
      <c r="E4346">
        <v>377.1</v>
      </c>
      <c r="F4346" s="2">
        <v>1220000000</v>
      </c>
    </row>
    <row r="4347" spans="1:6">
      <c r="A4347" s="32">
        <v>37341</v>
      </c>
      <c r="B4347">
        <v>387.62</v>
      </c>
      <c r="C4347">
        <v>388.65</v>
      </c>
      <c r="D4347">
        <v>384.79</v>
      </c>
      <c r="E4347">
        <v>384.8</v>
      </c>
      <c r="F4347" s="2">
        <v>878520000</v>
      </c>
    </row>
    <row r="4348" spans="1:6">
      <c r="A4348" s="32">
        <v>37340</v>
      </c>
      <c r="B4348">
        <v>390.6</v>
      </c>
      <c r="C4348">
        <v>392.46</v>
      </c>
      <c r="D4348">
        <v>386.62</v>
      </c>
      <c r="E4348">
        <v>387.12</v>
      </c>
      <c r="F4348" s="2">
        <v>889270000</v>
      </c>
    </row>
    <row r="4349" spans="1:6">
      <c r="A4349" s="32">
        <v>37337</v>
      </c>
      <c r="B4349">
        <v>387.93</v>
      </c>
      <c r="C4349">
        <v>390.14</v>
      </c>
      <c r="D4349">
        <v>385.4</v>
      </c>
      <c r="E4349">
        <v>389.31</v>
      </c>
      <c r="F4349" s="2">
        <v>1490000000</v>
      </c>
    </row>
    <row r="4350" spans="1:6">
      <c r="A4350" s="32">
        <v>37336</v>
      </c>
      <c r="B4350">
        <v>382.78</v>
      </c>
      <c r="C4350">
        <v>389.73</v>
      </c>
      <c r="D4350">
        <v>382.45</v>
      </c>
      <c r="E4350">
        <v>386.33</v>
      </c>
      <c r="F4350" s="2">
        <v>1790000000</v>
      </c>
    </row>
    <row r="4351" spans="1:6">
      <c r="A4351" s="32">
        <v>37335</v>
      </c>
      <c r="B4351">
        <v>377.53</v>
      </c>
      <c r="C4351">
        <v>383.34</v>
      </c>
      <c r="D4351">
        <v>376.43</v>
      </c>
      <c r="E4351">
        <v>383.34</v>
      </c>
      <c r="F4351" s="2">
        <v>1370000000</v>
      </c>
    </row>
    <row r="4352" spans="1:6">
      <c r="A4352" s="32">
        <v>37334</v>
      </c>
      <c r="B4352">
        <v>375.97</v>
      </c>
      <c r="C4352">
        <v>377.36</v>
      </c>
      <c r="D4352">
        <v>371.11</v>
      </c>
      <c r="E4352">
        <v>375.9</v>
      </c>
      <c r="F4352" s="2">
        <v>1240000000</v>
      </c>
    </row>
    <row r="4353" spans="1:6">
      <c r="A4353" s="32">
        <v>37333</v>
      </c>
      <c r="B4353">
        <v>377.9</v>
      </c>
      <c r="C4353">
        <v>380.41</v>
      </c>
      <c r="D4353">
        <v>374.72</v>
      </c>
      <c r="E4353">
        <v>374.73</v>
      </c>
      <c r="F4353" s="2">
        <v>911420000</v>
      </c>
    </row>
    <row r="4354" spans="1:6">
      <c r="A4354" s="32">
        <v>37330</v>
      </c>
      <c r="B4354">
        <v>382.45</v>
      </c>
      <c r="C4354">
        <v>382.47</v>
      </c>
      <c r="D4354">
        <v>376.72</v>
      </c>
      <c r="E4354">
        <v>377.39</v>
      </c>
      <c r="F4354" s="2">
        <v>1100000000</v>
      </c>
    </row>
    <row r="4355" spans="1:6">
      <c r="A4355" s="32">
        <v>37329</v>
      </c>
      <c r="B4355">
        <v>378.19</v>
      </c>
      <c r="C4355">
        <v>382.44</v>
      </c>
      <c r="D4355">
        <v>375.96</v>
      </c>
      <c r="E4355">
        <v>382.16</v>
      </c>
      <c r="F4355" s="2">
        <v>1280000000</v>
      </c>
    </row>
    <row r="4356" spans="1:6">
      <c r="A4356" s="32">
        <v>37328</v>
      </c>
      <c r="B4356">
        <v>385.17</v>
      </c>
      <c r="C4356">
        <v>385.23</v>
      </c>
      <c r="D4356">
        <v>374.74</v>
      </c>
      <c r="E4356">
        <v>378.61</v>
      </c>
      <c r="F4356" s="2">
        <v>1480000000</v>
      </c>
    </row>
    <row r="4357" spans="1:6">
      <c r="A4357" s="32">
        <v>37327</v>
      </c>
      <c r="B4357">
        <v>389.01</v>
      </c>
      <c r="C4357">
        <v>391.85</v>
      </c>
      <c r="D4357">
        <v>384.36</v>
      </c>
      <c r="E4357">
        <v>384.74</v>
      </c>
      <c r="F4357" s="2">
        <v>1400000000</v>
      </c>
    </row>
    <row r="4358" spans="1:6">
      <c r="A4358" s="32">
        <v>37326</v>
      </c>
      <c r="B4358">
        <v>390.57</v>
      </c>
      <c r="C4358">
        <v>391.49</v>
      </c>
      <c r="D4358">
        <v>386.34</v>
      </c>
      <c r="E4358">
        <v>387.78</v>
      </c>
      <c r="F4358" s="2">
        <v>1460000000</v>
      </c>
    </row>
    <row r="4359" spans="1:6">
      <c r="A4359" s="32">
        <v>37323</v>
      </c>
      <c r="B4359">
        <v>393.02</v>
      </c>
      <c r="C4359">
        <v>396.7</v>
      </c>
      <c r="D4359">
        <v>390.65</v>
      </c>
      <c r="E4359">
        <v>390.65</v>
      </c>
      <c r="F4359" s="2">
        <v>2510000000</v>
      </c>
    </row>
    <row r="4360" spans="1:6">
      <c r="A4360" s="32">
        <v>37322</v>
      </c>
      <c r="B4360">
        <v>394.22</v>
      </c>
      <c r="C4360">
        <v>394.3</v>
      </c>
      <c r="D4360">
        <v>386.76</v>
      </c>
      <c r="E4360">
        <v>391.67</v>
      </c>
      <c r="F4360" s="2">
        <v>2410000000</v>
      </c>
    </row>
    <row r="4361" spans="1:6">
      <c r="A4361" s="32">
        <v>37321</v>
      </c>
      <c r="B4361">
        <v>387.76</v>
      </c>
      <c r="C4361">
        <v>393.07</v>
      </c>
      <c r="D4361">
        <v>386.7</v>
      </c>
      <c r="E4361">
        <v>391.71</v>
      </c>
      <c r="F4361" s="2">
        <v>2810000000</v>
      </c>
    </row>
    <row r="4362" spans="1:6">
      <c r="A4362" s="32">
        <v>37320</v>
      </c>
      <c r="B4362">
        <v>392.62</v>
      </c>
      <c r="C4362">
        <v>394.4</v>
      </c>
      <c r="D4362">
        <v>383.81</v>
      </c>
      <c r="E4362">
        <v>384.55</v>
      </c>
      <c r="F4362" s="2">
        <v>3050000000</v>
      </c>
    </row>
    <row r="4363" spans="1:6">
      <c r="A4363" s="32">
        <v>37319</v>
      </c>
      <c r="B4363">
        <v>388.29</v>
      </c>
      <c r="C4363">
        <v>391</v>
      </c>
      <c r="D4363">
        <v>385.96</v>
      </c>
      <c r="E4363">
        <v>391</v>
      </c>
      <c r="F4363" s="2">
        <v>2920000000</v>
      </c>
    </row>
    <row r="4364" spans="1:6">
      <c r="A4364" s="32">
        <v>37316</v>
      </c>
      <c r="B4364">
        <v>374.82</v>
      </c>
      <c r="C4364">
        <v>380.72</v>
      </c>
      <c r="D4364">
        <v>374.75</v>
      </c>
      <c r="E4364">
        <v>380.65</v>
      </c>
      <c r="F4364" s="2">
        <v>2500000000</v>
      </c>
    </row>
    <row r="4365" spans="1:6">
      <c r="A4365" s="32">
        <v>37315</v>
      </c>
      <c r="B4365">
        <v>375.58</v>
      </c>
      <c r="C4365">
        <v>376.85</v>
      </c>
      <c r="D4365">
        <v>370.22</v>
      </c>
      <c r="E4365">
        <v>371.81</v>
      </c>
      <c r="F4365" s="2">
        <v>2710000000</v>
      </c>
    </row>
    <row r="4366" spans="1:6">
      <c r="A4366" s="32">
        <v>37314</v>
      </c>
      <c r="B4366">
        <v>359.37</v>
      </c>
      <c r="C4366">
        <v>372.22</v>
      </c>
      <c r="D4366">
        <v>359.37</v>
      </c>
      <c r="E4366">
        <v>372.22</v>
      </c>
      <c r="F4366" s="2">
        <v>2310000000</v>
      </c>
    </row>
    <row r="4367" spans="1:6">
      <c r="A4367" s="32">
        <v>37312</v>
      </c>
      <c r="B4367">
        <v>351.34</v>
      </c>
      <c r="C4367">
        <v>357.6</v>
      </c>
      <c r="D4367">
        <v>350.82</v>
      </c>
      <c r="E4367">
        <v>356.65</v>
      </c>
      <c r="F4367" s="2">
        <v>1440000000</v>
      </c>
    </row>
    <row r="4368" spans="1:6">
      <c r="A4368" s="32">
        <v>37309</v>
      </c>
      <c r="B4368">
        <v>361.46</v>
      </c>
      <c r="C4368">
        <v>362.24</v>
      </c>
      <c r="D4368">
        <v>350.48</v>
      </c>
      <c r="E4368">
        <v>351.32</v>
      </c>
      <c r="F4368" s="2">
        <v>2760000000</v>
      </c>
    </row>
    <row r="4369" spans="1:6">
      <c r="A4369" s="32">
        <v>37308</v>
      </c>
      <c r="B4369">
        <v>377.62</v>
      </c>
      <c r="C4369">
        <v>377.62</v>
      </c>
      <c r="D4369">
        <v>361.49</v>
      </c>
      <c r="E4369">
        <v>361.49</v>
      </c>
      <c r="F4369" s="2">
        <v>2840000000</v>
      </c>
    </row>
    <row r="4370" spans="1:6">
      <c r="A4370" s="32">
        <v>37307</v>
      </c>
      <c r="B4370">
        <v>370.15</v>
      </c>
      <c r="C4370">
        <v>376.31</v>
      </c>
      <c r="D4370">
        <v>368.2</v>
      </c>
      <c r="E4370">
        <v>376.31</v>
      </c>
      <c r="F4370" s="2">
        <v>2970000000</v>
      </c>
    </row>
    <row r="4371" spans="1:6">
      <c r="A4371" s="32">
        <v>37306</v>
      </c>
      <c r="B4371">
        <v>378.26</v>
      </c>
      <c r="C4371">
        <v>380</v>
      </c>
      <c r="D4371">
        <v>368.67</v>
      </c>
      <c r="E4371">
        <v>370.19</v>
      </c>
      <c r="F4371" s="2">
        <v>3290000000</v>
      </c>
    </row>
    <row r="4372" spans="1:6">
      <c r="A4372" s="32">
        <v>37305</v>
      </c>
      <c r="B4372">
        <v>376.49</v>
      </c>
      <c r="C4372">
        <v>380.75</v>
      </c>
      <c r="D4372">
        <v>375.63</v>
      </c>
      <c r="E4372">
        <v>375.63</v>
      </c>
      <c r="F4372" s="2">
        <v>3260000000</v>
      </c>
    </row>
    <row r="4373" spans="1:6">
      <c r="A4373" s="32">
        <v>37302</v>
      </c>
      <c r="B4373">
        <v>366.32</v>
      </c>
      <c r="C4373">
        <v>375.62</v>
      </c>
      <c r="D4373">
        <v>365.22</v>
      </c>
      <c r="E4373">
        <v>373.02</v>
      </c>
      <c r="F4373" s="2">
        <v>3160000000</v>
      </c>
    </row>
    <row r="4374" spans="1:6">
      <c r="A4374" s="32">
        <v>37301</v>
      </c>
      <c r="B4374">
        <v>363.15</v>
      </c>
      <c r="C4374">
        <v>366.81</v>
      </c>
      <c r="D4374">
        <v>361.95</v>
      </c>
      <c r="E4374">
        <v>365.3</v>
      </c>
      <c r="F4374" s="2">
        <v>2700000000</v>
      </c>
    </row>
    <row r="4375" spans="1:6">
      <c r="A4375" s="32">
        <v>37300</v>
      </c>
      <c r="B4375">
        <v>353.73</v>
      </c>
      <c r="C4375">
        <v>361.99</v>
      </c>
      <c r="D4375">
        <v>353.73</v>
      </c>
      <c r="E4375">
        <v>361.99</v>
      </c>
      <c r="F4375" s="2">
        <v>1790000000</v>
      </c>
    </row>
    <row r="4376" spans="1:6">
      <c r="A4376" s="32">
        <v>37299</v>
      </c>
      <c r="B4376">
        <v>358.72</v>
      </c>
      <c r="C4376">
        <v>359.71</v>
      </c>
      <c r="D4376">
        <v>352.85</v>
      </c>
      <c r="E4376">
        <v>353.69</v>
      </c>
      <c r="F4376" s="2">
        <v>1250000000</v>
      </c>
    </row>
    <row r="4377" spans="1:6">
      <c r="A4377" s="32">
        <v>37298</v>
      </c>
      <c r="B4377">
        <v>356.09</v>
      </c>
      <c r="C4377">
        <v>358.69</v>
      </c>
      <c r="D4377">
        <v>355.98</v>
      </c>
      <c r="E4377">
        <v>356.94</v>
      </c>
      <c r="F4377" s="2">
        <v>1270000000</v>
      </c>
    </row>
    <row r="4378" spans="1:6">
      <c r="A4378" s="32">
        <v>37295</v>
      </c>
      <c r="B4378">
        <v>347.63</v>
      </c>
      <c r="C4378">
        <v>355.23</v>
      </c>
      <c r="D4378">
        <v>347.63</v>
      </c>
      <c r="E4378">
        <v>353.59</v>
      </c>
      <c r="F4378" s="2">
        <v>2140000000</v>
      </c>
    </row>
    <row r="4379" spans="1:6">
      <c r="A4379" s="32">
        <v>37294</v>
      </c>
      <c r="B4379">
        <v>349.33</v>
      </c>
      <c r="C4379">
        <v>350.53</v>
      </c>
      <c r="D4379">
        <v>346.77</v>
      </c>
      <c r="E4379">
        <v>346.77</v>
      </c>
      <c r="F4379" s="2">
        <v>2180000000</v>
      </c>
    </row>
    <row r="4380" spans="1:6">
      <c r="A4380" s="32">
        <v>37293</v>
      </c>
      <c r="B4380">
        <v>343.98</v>
      </c>
      <c r="C4380">
        <v>348.75</v>
      </c>
      <c r="D4380">
        <v>342</v>
      </c>
      <c r="E4380">
        <v>348.17</v>
      </c>
      <c r="F4380" s="2">
        <v>1780000000</v>
      </c>
    </row>
    <row r="4381" spans="1:6">
      <c r="A4381" s="32">
        <v>37292</v>
      </c>
      <c r="B4381">
        <v>335.93</v>
      </c>
      <c r="C4381">
        <v>343.37</v>
      </c>
      <c r="D4381">
        <v>335.93</v>
      </c>
      <c r="E4381">
        <v>343.37</v>
      </c>
      <c r="F4381" s="2">
        <v>1790000000</v>
      </c>
    </row>
    <row r="4382" spans="1:6">
      <c r="A4382" s="32">
        <v>37291</v>
      </c>
      <c r="B4382">
        <v>336.5</v>
      </c>
      <c r="C4382">
        <v>338.93</v>
      </c>
      <c r="D4382">
        <v>335.14</v>
      </c>
      <c r="E4382">
        <v>336.15</v>
      </c>
      <c r="F4382" s="2">
        <v>968720000</v>
      </c>
    </row>
    <row r="4383" spans="1:6">
      <c r="A4383" s="32">
        <v>37288</v>
      </c>
      <c r="B4383">
        <v>342.23</v>
      </c>
      <c r="C4383">
        <v>344.54</v>
      </c>
      <c r="D4383">
        <v>335.45</v>
      </c>
      <c r="E4383">
        <v>336.65</v>
      </c>
      <c r="F4383" s="2">
        <v>1680000000</v>
      </c>
    </row>
    <row r="4384" spans="1:6">
      <c r="A4384" s="32">
        <v>37287</v>
      </c>
      <c r="B4384">
        <v>343.41</v>
      </c>
      <c r="C4384">
        <v>345.48</v>
      </c>
      <c r="D4384">
        <v>340.72</v>
      </c>
      <c r="E4384">
        <v>340.82</v>
      </c>
      <c r="F4384" s="2">
        <v>1980000000</v>
      </c>
    </row>
    <row r="4385" spans="1:6">
      <c r="A4385" s="32">
        <v>37286</v>
      </c>
      <c r="B4385">
        <v>338.17</v>
      </c>
      <c r="C4385">
        <v>341.7</v>
      </c>
      <c r="D4385">
        <v>336.8</v>
      </c>
      <c r="E4385">
        <v>340.4</v>
      </c>
      <c r="F4385" s="2">
        <v>2570000000</v>
      </c>
    </row>
    <row r="4386" spans="1:6">
      <c r="A4386" s="32">
        <v>37285</v>
      </c>
      <c r="B4386">
        <v>338.03</v>
      </c>
      <c r="C4386">
        <v>340.03</v>
      </c>
      <c r="D4386">
        <v>336.13</v>
      </c>
      <c r="E4386">
        <v>339.69</v>
      </c>
      <c r="F4386" s="2">
        <v>2140000000</v>
      </c>
    </row>
    <row r="4387" spans="1:6">
      <c r="A4387" s="32">
        <v>37284</v>
      </c>
      <c r="B4387">
        <v>339.85</v>
      </c>
      <c r="C4387">
        <v>340.96</v>
      </c>
      <c r="D4387">
        <v>337.49</v>
      </c>
      <c r="E4387">
        <v>337.49</v>
      </c>
      <c r="F4387" s="2">
        <v>1430000000</v>
      </c>
    </row>
    <row r="4388" spans="1:6">
      <c r="A4388" s="32">
        <v>37281</v>
      </c>
      <c r="B4388">
        <v>336.83</v>
      </c>
      <c r="C4388">
        <v>339.82</v>
      </c>
      <c r="D4388">
        <v>335.11</v>
      </c>
      <c r="E4388">
        <v>338.99</v>
      </c>
      <c r="F4388" s="2">
        <v>2700000000</v>
      </c>
    </row>
    <row r="4389" spans="1:6">
      <c r="A4389" s="32">
        <v>37280</v>
      </c>
      <c r="B4389">
        <v>330.07</v>
      </c>
      <c r="C4389">
        <v>335.78</v>
      </c>
      <c r="D4389">
        <v>328.83</v>
      </c>
      <c r="E4389">
        <v>333.96</v>
      </c>
      <c r="F4389" s="2">
        <v>2680000000</v>
      </c>
    </row>
    <row r="4390" spans="1:6">
      <c r="A4390" s="32">
        <v>37279</v>
      </c>
      <c r="B4390">
        <v>318.14999999999998</v>
      </c>
      <c r="C4390">
        <v>326.93</v>
      </c>
      <c r="D4390">
        <v>318.14999999999998</v>
      </c>
      <c r="E4390">
        <v>326.92</v>
      </c>
      <c r="F4390" s="2">
        <v>1530000000</v>
      </c>
    </row>
    <row r="4391" spans="1:6">
      <c r="A4391" s="32">
        <v>37278</v>
      </c>
      <c r="B4391">
        <v>314.95</v>
      </c>
      <c r="C4391">
        <v>317.94</v>
      </c>
      <c r="D4391">
        <v>314.95</v>
      </c>
      <c r="E4391">
        <v>317.27</v>
      </c>
      <c r="F4391" s="2">
        <v>624310000</v>
      </c>
    </row>
    <row r="4392" spans="1:6">
      <c r="A4392" s="32">
        <v>37277</v>
      </c>
      <c r="B4392">
        <v>317.56</v>
      </c>
      <c r="C4392">
        <v>317.98</v>
      </c>
      <c r="D4392">
        <v>314.38</v>
      </c>
      <c r="E4392">
        <v>314.38</v>
      </c>
      <c r="F4392" s="2">
        <v>557670000</v>
      </c>
    </row>
    <row r="4393" spans="1:6">
      <c r="A4393" s="32">
        <v>37274</v>
      </c>
      <c r="B4393">
        <v>320.75</v>
      </c>
      <c r="C4393">
        <v>321.48</v>
      </c>
      <c r="D4393">
        <v>317.52</v>
      </c>
      <c r="E4393">
        <v>317.52</v>
      </c>
      <c r="F4393" s="2">
        <v>927240000</v>
      </c>
    </row>
    <row r="4394" spans="1:6">
      <c r="A4394" s="32">
        <v>37273</v>
      </c>
      <c r="B4394">
        <v>317.14</v>
      </c>
      <c r="C4394">
        <v>319.18</v>
      </c>
      <c r="D4394">
        <v>316.42</v>
      </c>
      <c r="E4394">
        <v>319.18</v>
      </c>
      <c r="F4394" s="2">
        <v>921990000</v>
      </c>
    </row>
    <row r="4395" spans="1:6">
      <c r="A4395" s="32">
        <v>37272</v>
      </c>
      <c r="B4395">
        <v>324.39999999999998</v>
      </c>
      <c r="C4395">
        <v>327.3</v>
      </c>
      <c r="D4395">
        <v>319.55</v>
      </c>
      <c r="E4395">
        <v>319.57</v>
      </c>
      <c r="F4395" s="2">
        <v>1960000000</v>
      </c>
    </row>
    <row r="4396" spans="1:6">
      <c r="A4396" s="32">
        <v>37271</v>
      </c>
      <c r="B4396">
        <v>325.47000000000003</v>
      </c>
      <c r="C4396">
        <v>327.16000000000003</v>
      </c>
      <c r="D4396">
        <v>322.94</v>
      </c>
      <c r="E4396">
        <v>323.39</v>
      </c>
      <c r="F4396" s="2">
        <v>1540000000</v>
      </c>
    </row>
    <row r="4397" spans="1:6">
      <c r="A4397" s="32">
        <v>37270</v>
      </c>
      <c r="B4397">
        <v>321.92</v>
      </c>
      <c r="C4397">
        <v>326.22000000000003</v>
      </c>
      <c r="D4397">
        <v>321.52999999999997</v>
      </c>
      <c r="E4397">
        <v>325.66000000000003</v>
      </c>
      <c r="F4397" s="2">
        <v>1770000000</v>
      </c>
    </row>
    <row r="4398" spans="1:6">
      <c r="A4398" s="32">
        <v>37267</v>
      </c>
      <c r="B4398">
        <v>319.32</v>
      </c>
      <c r="C4398">
        <v>322.55</v>
      </c>
      <c r="D4398">
        <v>318.10000000000002</v>
      </c>
      <c r="E4398">
        <v>322.55</v>
      </c>
      <c r="F4398" s="2">
        <v>1700000000</v>
      </c>
    </row>
    <row r="4399" spans="1:6">
      <c r="A4399" s="32">
        <v>37266</v>
      </c>
      <c r="B4399">
        <v>318.91000000000003</v>
      </c>
      <c r="C4399">
        <v>319.33</v>
      </c>
      <c r="D4399">
        <v>315.57</v>
      </c>
      <c r="E4399">
        <v>319.3</v>
      </c>
      <c r="F4399" s="2">
        <v>2010000000</v>
      </c>
    </row>
    <row r="4400" spans="1:6">
      <c r="A4400" s="32">
        <v>37265</v>
      </c>
      <c r="B4400">
        <v>320.60000000000002</v>
      </c>
      <c r="C4400">
        <v>323.83999999999997</v>
      </c>
      <c r="D4400">
        <v>319.24</v>
      </c>
      <c r="E4400">
        <v>319.24</v>
      </c>
      <c r="F4400" s="2">
        <v>2530000000</v>
      </c>
    </row>
    <row r="4401" spans="1:6">
      <c r="A4401" s="32">
        <v>37264</v>
      </c>
      <c r="B4401">
        <v>315.86</v>
      </c>
      <c r="C4401">
        <v>318.8</v>
      </c>
      <c r="D4401">
        <v>315.06</v>
      </c>
      <c r="E4401">
        <v>318.64</v>
      </c>
      <c r="F4401" s="2">
        <v>3870000000</v>
      </c>
    </row>
    <row r="4402" spans="1:6">
      <c r="A4402" s="32">
        <v>37263</v>
      </c>
      <c r="B4402">
        <v>318.66000000000003</v>
      </c>
      <c r="C4402">
        <v>321.14999999999998</v>
      </c>
      <c r="D4402">
        <v>316.83</v>
      </c>
      <c r="E4402">
        <v>317.69</v>
      </c>
      <c r="F4402" s="2">
        <v>3890000000</v>
      </c>
    </row>
    <row r="4403" spans="1:6">
      <c r="A4403" s="32">
        <v>37260</v>
      </c>
      <c r="B4403">
        <v>316.19</v>
      </c>
      <c r="C4403">
        <v>318.01</v>
      </c>
      <c r="D4403">
        <v>314.3</v>
      </c>
      <c r="E4403">
        <v>315.73</v>
      </c>
      <c r="F4403" s="2">
        <v>3100000000</v>
      </c>
    </row>
    <row r="4404" spans="1:6">
      <c r="A4404" s="32">
        <v>37259</v>
      </c>
      <c r="B4404">
        <v>305.85000000000002</v>
      </c>
      <c r="C4404">
        <v>312.43</v>
      </c>
      <c r="D4404">
        <v>305.85000000000002</v>
      </c>
      <c r="E4404">
        <v>312.05</v>
      </c>
      <c r="F4404" s="2">
        <v>3130000000</v>
      </c>
    </row>
    <row r="4405" spans="1:6">
      <c r="A4405" s="32">
        <v>37258</v>
      </c>
      <c r="B4405">
        <v>304</v>
      </c>
      <c r="C4405">
        <v>305.2</v>
      </c>
      <c r="D4405">
        <v>302.38</v>
      </c>
      <c r="E4405">
        <v>305.19</v>
      </c>
      <c r="F4405" s="2">
        <v>1900000000</v>
      </c>
    </row>
    <row r="4406" spans="1:6">
      <c r="A4406" s="32">
        <v>37253</v>
      </c>
      <c r="B4406">
        <v>302.35000000000002</v>
      </c>
      <c r="C4406">
        <v>304.58999999999997</v>
      </c>
      <c r="D4406">
        <v>301.72000000000003</v>
      </c>
      <c r="E4406">
        <v>303.85000000000002</v>
      </c>
      <c r="F4406" s="2">
        <v>1940000000</v>
      </c>
    </row>
    <row r="4407" spans="1:6">
      <c r="A4407" s="32">
        <v>37252</v>
      </c>
      <c r="B4407">
        <v>306.3</v>
      </c>
      <c r="C4407">
        <v>308.02</v>
      </c>
      <c r="D4407">
        <v>300.72000000000003</v>
      </c>
      <c r="E4407">
        <v>301.17</v>
      </c>
      <c r="F4407" s="2">
        <v>3130000000</v>
      </c>
    </row>
    <row r="4408" spans="1:6">
      <c r="A4408" s="32">
        <v>37251</v>
      </c>
      <c r="B4408">
        <v>302.52</v>
      </c>
      <c r="C4408">
        <v>306.64</v>
      </c>
      <c r="D4408">
        <v>302.52</v>
      </c>
      <c r="E4408">
        <v>304.44</v>
      </c>
      <c r="F4408" s="2">
        <v>2320000000</v>
      </c>
    </row>
    <row r="4409" spans="1:6">
      <c r="A4409" s="32">
        <v>37250</v>
      </c>
      <c r="B4409">
        <v>303.12</v>
      </c>
      <c r="C4409">
        <v>303.68</v>
      </c>
      <c r="D4409">
        <v>301.04000000000002</v>
      </c>
      <c r="E4409">
        <v>301.81</v>
      </c>
      <c r="F4409" s="2">
        <v>1810000000</v>
      </c>
    </row>
    <row r="4410" spans="1:6">
      <c r="A4410" s="32">
        <v>37249</v>
      </c>
      <c r="B4410">
        <v>297.16000000000003</v>
      </c>
      <c r="C4410">
        <v>302.07</v>
      </c>
      <c r="D4410">
        <v>297.16000000000003</v>
      </c>
      <c r="E4410">
        <v>302.01</v>
      </c>
      <c r="F4410" s="2">
        <v>2210000000</v>
      </c>
    </row>
    <row r="4411" spans="1:6">
      <c r="A4411" s="32">
        <v>37246</v>
      </c>
      <c r="B4411">
        <v>297.08</v>
      </c>
      <c r="C4411">
        <v>298.17</v>
      </c>
      <c r="D4411">
        <v>295.45999999999998</v>
      </c>
      <c r="E4411">
        <v>296.69</v>
      </c>
      <c r="F4411" s="2">
        <v>1520000000</v>
      </c>
    </row>
    <row r="4412" spans="1:6">
      <c r="A4412" s="32">
        <v>37245</v>
      </c>
      <c r="B4412">
        <v>295.43</v>
      </c>
      <c r="C4412">
        <v>298.7</v>
      </c>
      <c r="D4412">
        <v>294.85000000000002</v>
      </c>
      <c r="E4412">
        <v>297.92</v>
      </c>
      <c r="F4412" s="2">
        <v>2100000000</v>
      </c>
    </row>
    <row r="4413" spans="1:6">
      <c r="A4413" s="32">
        <v>37244</v>
      </c>
      <c r="B4413">
        <v>293.66000000000003</v>
      </c>
      <c r="C4413">
        <v>295.56</v>
      </c>
      <c r="D4413">
        <v>292.81</v>
      </c>
      <c r="E4413">
        <v>295.33999999999997</v>
      </c>
      <c r="F4413" s="2">
        <v>1230000000</v>
      </c>
    </row>
    <row r="4414" spans="1:6">
      <c r="A4414" s="32">
        <v>37243</v>
      </c>
      <c r="B4414">
        <v>294.48</v>
      </c>
      <c r="C4414">
        <v>296.39</v>
      </c>
      <c r="D4414">
        <v>292.87</v>
      </c>
      <c r="E4414">
        <v>292.87</v>
      </c>
      <c r="F4414" s="2">
        <v>1560000000</v>
      </c>
    </row>
    <row r="4415" spans="1:6">
      <c r="A4415" s="32">
        <v>37242</v>
      </c>
      <c r="B4415">
        <v>294.38</v>
      </c>
      <c r="C4415">
        <v>295.99</v>
      </c>
      <c r="D4415">
        <v>293.45</v>
      </c>
      <c r="E4415">
        <v>293.51</v>
      </c>
      <c r="F4415" s="2">
        <v>1770000000</v>
      </c>
    </row>
    <row r="4416" spans="1:6">
      <c r="A4416" s="32">
        <v>37239</v>
      </c>
      <c r="B4416">
        <v>294.05</v>
      </c>
      <c r="C4416">
        <v>294.25</v>
      </c>
      <c r="D4416">
        <v>291.54000000000002</v>
      </c>
      <c r="E4416">
        <v>294</v>
      </c>
      <c r="F4416" s="2">
        <v>1540000000</v>
      </c>
    </row>
    <row r="4417" spans="1:6">
      <c r="A4417" s="32">
        <v>37238</v>
      </c>
      <c r="B4417">
        <v>297.82</v>
      </c>
      <c r="C4417">
        <v>298.95</v>
      </c>
      <c r="D4417">
        <v>294.61</v>
      </c>
      <c r="E4417">
        <v>294.61</v>
      </c>
      <c r="F4417" s="2">
        <v>1190000000</v>
      </c>
    </row>
    <row r="4418" spans="1:6">
      <c r="A4418" s="32">
        <v>37237</v>
      </c>
      <c r="B4418">
        <v>295.70999999999998</v>
      </c>
      <c r="C4418">
        <v>299.27999999999997</v>
      </c>
      <c r="D4418">
        <v>295.45</v>
      </c>
      <c r="E4418">
        <v>297.70999999999998</v>
      </c>
      <c r="F4418" s="2">
        <v>1200000000</v>
      </c>
    </row>
    <row r="4419" spans="1:6">
      <c r="A4419" s="32">
        <v>37236</v>
      </c>
      <c r="B4419">
        <v>303.47000000000003</v>
      </c>
      <c r="C4419">
        <v>303.47000000000003</v>
      </c>
      <c r="D4419">
        <v>294.73</v>
      </c>
      <c r="E4419">
        <v>294.86</v>
      </c>
      <c r="F4419" s="2">
        <v>886990000</v>
      </c>
    </row>
    <row r="4420" spans="1:6">
      <c r="A4420" s="32">
        <v>37232</v>
      </c>
      <c r="B4420">
        <v>305.45</v>
      </c>
      <c r="C4420">
        <v>307.66000000000003</v>
      </c>
      <c r="D4420">
        <v>301.17</v>
      </c>
      <c r="E4420">
        <v>304.05</v>
      </c>
      <c r="F4420" s="2">
        <v>1350000000</v>
      </c>
    </row>
    <row r="4421" spans="1:6">
      <c r="A4421" s="32">
        <v>37231</v>
      </c>
      <c r="B4421">
        <v>308.33999999999997</v>
      </c>
      <c r="C4421">
        <v>309.83</v>
      </c>
      <c r="D4421">
        <v>305.19</v>
      </c>
      <c r="E4421">
        <v>305.25</v>
      </c>
      <c r="F4421" s="2">
        <v>2170000000</v>
      </c>
    </row>
    <row r="4422" spans="1:6">
      <c r="A4422" s="32">
        <v>37229</v>
      </c>
      <c r="B4422">
        <v>303.33</v>
      </c>
      <c r="C4422">
        <v>304.39999999999998</v>
      </c>
      <c r="D4422">
        <v>300.73</v>
      </c>
      <c r="E4422">
        <v>303.81</v>
      </c>
      <c r="F4422" s="2">
        <v>1140000000</v>
      </c>
    </row>
    <row r="4423" spans="1:6">
      <c r="A4423" s="32">
        <v>37228</v>
      </c>
      <c r="B4423">
        <v>303.89</v>
      </c>
      <c r="C4423">
        <v>305.83999999999997</v>
      </c>
      <c r="D4423">
        <v>302.2</v>
      </c>
      <c r="E4423">
        <v>302.2</v>
      </c>
      <c r="F4423" s="2">
        <v>1120000000</v>
      </c>
    </row>
    <row r="4424" spans="1:6">
      <c r="A4424" s="32">
        <v>37225</v>
      </c>
      <c r="B4424">
        <v>299.76</v>
      </c>
      <c r="C4424">
        <v>303.37</v>
      </c>
      <c r="D4424">
        <v>299.76</v>
      </c>
      <c r="E4424">
        <v>302.62</v>
      </c>
      <c r="F4424" s="2">
        <v>1550000000</v>
      </c>
    </row>
    <row r="4425" spans="1:6">
      <c r="A4425" s="32">
        <v>37224</v>
      </c>
      <c r="B4425">
        <v>292.35000000000002</v>
      </c>
      <c r="C4425">
        <v>297.97000000000003</v>
      </c>
      <c r="D4425">
        <v>292.20999999999998</v>
      </c>
      <c r="E4425">
        <v>297.87</v>
      </c>
      <c r="F4425" s="2">
        <v>1110000000</v>
      </c>
    </row>
    <row r="4426" spans="1:6">
      <c r="A4426" s="32">
        <v>37223</v>
      </c>
      <c r="B4426">
        <v>295.39999999999998</v>
      </c>
      <c r="C4426">
        <v>295.97000000000003</v>
      </c>
      <c r="D4426">
        <v>291.93</v>
      </c>
      <c r="E4426">
        <v>292.98</v>
      </c>
      <c r="F4426" s="2">
        <v>629400000</v>
      </c>
    </row>
    <row r="4427" spans="1:6">
      <c r="A4427" s="32">
        <v>37222</v>
      </c>
      <c r="B4427">
        <v>294.14999999999998</v>
      </c>
      <c r="C4427">
        <v>298.10000000000002</v>
      </c>
      <c r="D4427">
        <v>294.11</v>
      </c>
      <c r="E4427">
        <v>296.45999999999998</v>
      </c>
      <c r="F4427" s="2">
        <v>930570000</v>
      </c>
    </row>
    <row r="4428" spans="1:6">
      <c r="A4428" s="32">
        <v>37221</v>
      </c>
      <c r="B4428">
        <v>298.35000000000002</v>
      </c>
      <c r="C4428">
        <v>298.91000000000003</v>
      </c>
      <c r="D4428">
        <v>292.56</v>
      </c>
      <c r="E4428">
        <v>292.56</v>
      </c>
      <c r="F4428" s="2">
        <v>1050000000</v>
      </c>
    </row>
    <row r="4429" spans="1:6">
      <c r="A4429" s="32">
        <v>37218</v>
      </c>
      <c r="B4429">
        <v>294.77999999999997</v>
      </c>
      <c r="C4429">
        <v>298.57</v>
      </c>
      <c r="D4429">
        <v>294.76</v>
      </c>
      <c r="E4429">
        <v>296.77</v>
      </c>
      <c r="F4429" s="2">
        <v>1500000000</v>
      </c>
    </row>
    <row r="4430" spans="1:6">
      <c r="A4430" s="32">
        <v>37217</v>
      </c>
      <c r="B4430">
        <v>292.08999999999997</v>
      </c>
      <c r="C4430">
        <v>295.45999999999998</v>
      </c>
      <c r="D4430">
        <v>289.64999999999998</v>
      </c>
      <c r="E4430">
        <v>293.14</v>
      </c>
      <c r="F4430" s="2">
        <v>1570000000</v>
      </c>
    </row>
    <row r="4431" spans="1:6">
      <c r="A4431" s="32">
        <v>37216</v>
      </c>
      <c r="B4431">
        <v>287.2</v>
      </c>
      <c r="C4431">
        <v>291.62</v>
      </c>
      <c r="D4431">
        <v>286.61</v>
      </c>
      <c r="E4431">
        <v>291.20999999999998</v>
      </c>
      <c r="F4431" s="2">
        <v>1700000000</v>
      </c>
    </row>
    <row r="4432" spans="1:6">
      <c r="A4432" s="32">
        <v>37215</v>
      </c>
      <c r="B4432">
        <v>279.67</v>
      </c>
      <c r="C4432">
        <v>283.94</v>
      </c>
      <c r="D4432">
        <v>279.67</v>
      </c>
      <c r="E4432">
        <v>283.83999999999997</v>
      </c>
      <c r="F4432" s="2">
        <v>1460000000</v>
      </c>
    </row>
    <row r="4433" spans="1:6">
      <c r="A4433" s="32">
        <v>37214</v>
      </c>
      <c r="B4433">
        <v>276.10000000000002</v>
      </c>
      <c r="C4433">
        <v>278.75</v>
      </c>
      <c r="D4433">
        <v>275</v>
      </c>
      <c r="E4433">
        <v>276.97000000000003</v>
      </c>
      <c r="F4433" s="2">
        <v>1150000000</v>
      </c>
    </row>
    <row r="4434" spans="1:6">
      <c r="A4434" s="32">
        <v>37211</v>
      </c>
      <c r="B4434">
        <v>269.01</v>
      </c>
      <c r="C4434">
        <v>276.01</v>
      </c>
      <c r="D4434">
        <v>269.01</v>
      </c>
      <c r="E4434">
        <v>275.54000000000002</v>
      </c>
      <c r="F4434" s="2">
        <v>1110000000</v>
      </c>
    </row>
    <row r="4435" spans="1:6">
      <c r="A4435" s="32">
        <v>37210</v>
      </c>
      <c r="B4435">
        <v>267.20999999999998</v>
      </c>
      <c r="C4435">
        <v>268.27999999999997</v>
      </c>
      <c r="D4435">
        <v>265.68</v>
      </c>
      <c r="E4435">
        <v>268.27999999999997</v>
      </c>
      <c r="F4435" s="2">
        <v>693690000</v>
      </c>
    </row>
    <row r="4436" spans="1:6">
      <c r="A4436" s="32">
        <v>37209</v>
      </c>
      <c r="B4436">
        <v>272.51</v>
      </c>
      <c r="C4436">
        <v>272.61</v>
      </c>
      <c r="D4436">
        <v>267.2</v>
      </c>
      <c r="E4436">
        <v>267.2</v>
      </c>
      <c r="F4436" s="2">
        <v>781190000</v>
      </c>
    </row>
    <row r="4437" spans="1:6">
      <c r="A4437" s="32">
        <v>37208</v>
      </c>
      <c r="B4437">
        <v>271.31</v>
      </c>
      <c r="C4437">
        <v>272.41000000000003</v>
      </c>
      <c r="D4437">
        <v>270.7</v>
      </c>
      <c r="E4437">
        <v>270.89999999999998</v>
      </c>
      <c r="F4437" s="2">
        <v>522280000</v>
      </c>
    </row>
    <row r="4438" spans="1:6">
      <c r="A4438" s="32">
        <v>37207</v>
      </c>
      <c r="B4438">
        <v>268.43</v>
      </c>
      <c r="C4438">
        <v>272.29000000000002</v>
      </c>
      <c r="D4438">
        <v>268.43</v>
      </c>
      <c r="E4438">
        <v>271.75</v>
      </c>
      <c r="F4438" s="2">
        <v>447630000</v>
      </c>
    </row>
    <row r="4439" spans="1:6">
      <c r="A4439" s="32">
        <v>37204</v>
      </c>
      <c r="B4439">
        <v>268.18</v>
      </c>
      <c r="C4439">
        <v>269.77</v>
      </c>
      <c r="D4439">
        <v>267.14999999999998</v>
      </c>
      <c r="E4439">
        <v>268.11</v>
      </c>
      <c r="F4439" s="2">
        <v>513410000</v>
      </c>
    </row>
    <row r="4440" spans="1:6">
      <c r="A4440" s="32">
        <v>37203</v>
      </c>
      <c r="B4440">
        <v>265.17</v>
      </c>
      <c r="C4440">
        <v>268.33999999999997</v>
      </c>
      <c r="D4440">
        <v>265.13</v>
      </c>
      <c r="E4440">
        <v>268.33999999999997</v>
      </c>
      <c r="F4440" s="2">
        <v>533670000</v>
      </c>
    </row>
    <row r="4441" spans="1:6">
      <c r="A4441" s="32">
        <v>37202</v>
      </c>
      <c r="B4441">
        <v>271.69</v>
      </c>
      <c r="C4441">
        <v>271.69</v>
      </c>
      <c r="D4441">
        <v>265.22000000000003</v>
      </c>
      <c r="E4441">
        <v>265.22000000000003</v>
      </c>
      <c r="F4441" s="2">
        <v>365070000</v>
      </c>
    </row>
    <row r="4442" spans="1:6">
      <c r="A4442" s="32">
        <v>37201</v>
      </c>
      <c r="B4442">
        <v>273.61</v>
      </c>
      <c r="C4442">
        <v>273.66000000000003</v>
      </c>
      <c r="D4442">
        <v>270.91000000000003</v>
      </c>
      <c r="E4442">
        <v>271.44</v>
      </c>
      <c r="F4442" s="2">
        <v>215370000</v>
      </c>
    </row>
    <row r="4443" spans="1:6">
      <c r="A4443" s="32">
        <v>37200</v>
      </c>
      <c r="B4443">
        <v>274.31</v>
      </c>
      <c r="C4443">
        <v>274.39</v>
      </c>
      <c r="D4443">
        <v>271.64</v>
      </c>
      <c r="E4443">
        <v>272.99</v>
      </c>
      <c r="F4443" s="2">
        <v>186310000</v>
      </c>
    </row>
    <row r="4444" spans="1:6">
      <c r="A4444" s="32">
        <v>37197</v>
      </c>
      <c r="B4444">
        <v>274.98</v>
      </c>
      <c r="C4444">
        <v>276.41000000000003</v>
      </c>
      <c r="D4444">
        <v>274.22000000000003</v>
      </c>
      <c r="E4444">
        <v>274.22000000000003</v>
      </c>
      <c r="F4444" s="2">
        <v>225770000</v>
      </c>
    </row>
    <row r="4445" spans="1:6">
      <c r="A4445" s="32">
        <v>37196</v>
      </c>
      <c r="B4445">
        <v>275.08</v>
      </c>
      <c r="C4445">
        <v>275.58</v>
      </c>
      <c r="D4445">
        <v>273.64</v>
      </c>
      <c r="E4445">
        <v>273.64</v>
      </c>
      <c r="F4445" s="2">
        <v>135050000</v>
      </c>
    </row>
    <row r="4446" spans="1:6">
      <c r="A4446" s="32">
        <v>37195</v>
      </c>
      <c r="B4446">
        <v>273.88</v>
      </c>
      <c r="C4446">
        <v>275.19</v>
      </c>
      <c r="D4446">
        <v>273.27</v>
      </c>
      <c r="E4446">
        <v>275.08999999999997</v>
      </c>
      <c r="F4446" s="2">
        <v>160650000</v>
      </c>
    </row>
    <row r="4447" spans="1:6">
      <c r="A4447" s="32">
        <v>37194</v>
      </c>
      <c r="B4447">
        <v>277.49</v>
      </c>
      <c r="C4447">
        <v>277.49</v>
      </c>
      <c r="D4447">
        <v>273.60000000000002</v>
      </c>
      <c r="E4447">
        <v>273.60000000000002</v>
      </c>
      <c r="F4447" s="2">
        <v>263190000</v>
      </c>
    </row>
    <row r="4448" spans="1:6">
      <c r="A4448" s="32">
        <v>37193</v>
      </c>
      <c r="B4448">
        <v>281</v>
      </c>
      <c r="C4448">
        <v>281.27999999999997</v>
      </c>
      <c r="D4448">
        <v>276.75</v>
      </c>
      <c r="E4448">
        <v>278.16000000000003</v>
      </c>
      <c r="F4448" s="2">
        <v>159640000</v>
      </c>
    </row>
    <row r="4449" spans="1:6">
      <c r="A4449" s="32">
        <v>37190</v>
      </c>
      <c r="B4449">
        <v>281.74</v>
      </c>
      <c r="C4449">
        <v>282.23</v>
      </c>
      <c r="D4449">
        <v>279.27</v>
      </c>
      <c r="E4449">
        <v>280.60000000000002</v>
      </c>
      <c r="F4449" s="2">
        <v>194570000</v>
      </c>
    </row>
    <row r="4450" spans="1:6">
      <c r="A4450" s="32">
        <v>37189</v>
      </c>
      <c r="B4450">
        <v>284.51</v>
      </c>
      <c r="C4450">
        <v>284.56</v>
      </c>
      <c r="D4450">
        <v>280.62</v>
      </c>
      <c r="E4450">
        <v>280.62</v>
      </c>
      <c r="F4450" s="2">
        <v>178750000</v>
      </c>
    </row>
    <row r="4451" spans="1:6">
      <c r="A4451" s="32">
        <v>37188</v>
      </c>
      <c r="B4451">
        <v>284.56</v>
      </c>
      <c r="C4451">
        <v>285.27999999999997</v>
      </c>
      <c r="D4451">
        <v>282.64</v>
      </c>
      <c r="E4451">
        <v>284.06</v>
      </c>
      <c r="F4451" s="2">
        <v>244760000</v>
      </c>
    </row>
    <row r="4452" spans="1:6">
      <c r="A4452" s="32">
        <v>37186</v>
      </c>
      <c r="B4452">
        <v>284.48</v>
      </c>
      <c r="C4452">
        <v>285.19</v>
      </c>
      <c r="D4452">
        <v>281.94</v>
      </c>
      <c r="E4452">
        <v>283.43</v>
      </c>
      <c r="F4452" s="2">
        <v>183150000</v>
      </c>
    </row>
    <row r="4453" spans="1:6">
      <c r="A4453" s="32">
        <v>37183</v>
      </c>
      <c r="B4453">
        <v>287.01</v>
      </c>
      <c r="C4453">
        <v>288.61</v>
      </c>
      <c r="D4453">
        <v>284.07</v>
      </c>
      <c r="E4453">
        <v>284.72000000000003</v>
      </c>
      <c r="F4453" s="2">
        <v>436990000</v>
      </c>
    </row>
    <row r="4454" spans="1:6">
      <c r="A4454" s="32">
        <v>37182</v>
      </c>
      <c r="B4454">
        <v>285.76</v>
      </c>
      <c r="C4454">
        <v>288.86</v>
      </c>
      <c r="D4454">
        <v>285.02999999999997</v>
      </c>
      <c r="E4454">
        <v>286.14999999999998</v>
      </c>
      <c r="F4454" s="2">
        <v>523010000</v>
      </c>
    </row>
    <row r="4455" spans="1:6">
      <c r="A4455" s="32">
        <v>37181</v>
      </c>
      <c r="B4455">
        <v>284.52</v>
      </c>
      <c r="C4455">
        <v>287.83</v>
      </c>
      <c r="D4455">
        <v>284.36</v>
      </c>
      <c r="E4455">
        <v>287.83</v>
      </c>
      <c r="F4455" s="2">
        <v>417900000</v>
      </c>
    </row>
    <row r="4456" spans="1:6">
      <c r="A4456" s="32">
        <v>37180</v>
      </c>
      <c r="B4456">
        <v>282.97000000000003</v>
      </c>
      <c r="C4456">
        <v>284.58</v>
      </c>
      <c r="D4456">
        <v>282.27</v>
      </c>
      <c r="E4456">
        <v>283.42</v>
      </c>
      <c r="F4456" s="2">
        <v>242250000</v>
      </c>
    </row>
    <row r="4457" spans="1:6">
      <c r="A4457" s="32">
        <v>37179</v>
      </c>
      <c r="B4457">
        <v>285.29000000000002</v>
      </c>
      <c r="C4457">
        <v>285.29000000000002</v>
      </c>
      <c r="D4457">
        <v>280.64</v>
      </c>
      <c r="E4457">
        <v>282.06</v>
      </c>
      <c r="F4457" s="2">
        <v>208770000</v>
      </c>
    </row>
    <row r="4458" spans="1:6">
      <c r="A4458" s="32">
        <v>37176</v>
      </c>
      <c r="B4458">
        <v>288.5</v>
      </c>
      <c r="C4458">
        <v>288.5</v>
      </c>
      <c r="D4458">
        <v>284.83</v>
      </c>
      <c r="E4458">
        <v>284.97000000000003</v>
      </c>
      <c r="F4458" s="2">
        <v>345670000</v>
      </c>
    </row>
    <row r="4459" spans="1:6">
      <c r="A4459" s="32">
        <v>37175</v>
      </c>
      <c r="B4459">
        <v>290.77</v>
      </c>
      <c r="C4459">
        <v>291.47000000000003</v>
      </c>
      <c r="D4459">
        <v>286.42</v>
      </c>
      <c r="E4459">
        <v>286.42</v>
      </c>
      <c r="F4459" s="2">
        <v>789500000</v>
      </c>
    </row>
    <row r="4460" spans="1:6">
      <c r="A4460" s="32">
        <v>37174</v>
      </c>
      <c r="B4460">
        <v>286.5</v>
      </c>
      <c r="C4460">
        <v>288.02</v>
      </c>
      <c r="D4460">
        <v>285.99</v>
      </c>
      <c r="E4460">
        <v>286.72000000000003</v>
      </c>
      <c r="F4460" s="2">
        <v>693870000</v>
      </c>
    </row>
    <row r="4461" spans="1:6">
      <c r="A4461" s="32">
        <v>37173</v>
      </c>
      <c r="B4461">
        <v>279.22000000000003</v>
      </c>
      <c r="C4461">
        <v>286.60000000000002</v>
      </c>
      <c r="D4461">
        <v>279.22000000000003</v>
      </c>
      <c r="E4461">
        <v>286.60000000000002</v>
      </c>
      <c r="F4461" s="2">
        <v>462190000</v>
      </c>
    </row>
    <row r="4462" spans="1:6">
      <c r="A4462" s="32">
        <v>37172</v>
      </c>
      <c r="B4462">
        <v>276.02</v>
      </c>
      <c r="C4462">
        <v>278.62</v>
      </c>
      <c r="D4462">
        <v>274.56</v>
      </c>
      <c r="E4462">
        <v>277.27999999999997</v>
      </c>
      <c r="F4462" s="2">
        <v>316650000</v>
      </c>
    </row>
    <row r="4463" spans="1:6">
      <c r="A4463" s="32">
        <v>37169</v>
      </c>
      <c r="B4463">
        <v>282.83</v>
      </c>
      <c r="C4463">
        <v>282.83</v>
      </c>
      <c r="D4463">
        <v>280.88</v>
      </c>
      <c r="E4463">
        <v>280.88</v>
      </c>
      <c r="F4463" s="2">
        <v>361440000</v>
      </c>
    </row>
    <row r="4464" spans="1:6">
      <c r="A4464" s="32">
        <v>37168</v>
      </c>
      <c r="B4464">
        <v>277.56</v>
      </c>
      <c r="C4464">
        <v>283.63</v>
      </c>
      <c r="D4464">
        <v>277.56</v>
      </c>
      <c r="E4464">
        <v>283.02</v>
      </c>
      <c r="F4464" s="2">
        <v>815710000</v>
      </c>
    </row>
    <row r="4465" spans="1:6">
      <c r="A4465" s="32">
        <v>37167</v>
      </c>
      <c r="B4465">
        <v>276.94</v>
      </c>
      <c r="C4465">
        <v>278.06</v>
      </c>
      <c r="D4465">
        <v>276.08999999999997</v>
      </c>
      <c r="E4465">
        <v>276.08999999999997</v>
      </c>
      <c r="F4465" s="2">
        <v>327580000</v>
      </c>
    </row>
    <row r="4466" spans="1:6">
      <c r="A4466" s="32">
        <v>37166</v>
      </c>
      <c r="B4466">
        <v>273.39</v>
      </c>
      <c r="C4466">
        <v>277.92</v>
      </c>
      <c r="D4466">
        <v>273.3</v>
      </c>
      <c r="E4466">
        <v>276.49</v>
      </c>
      <c r="F4466" s="2">
        <v>278610000</v>
      </c>
    </row>
    <row r="4467" spans="1:6">
      <c r="A4467" s="32">
        <v>37165</v>
      </c>
      <c r="B4467">
        <v>277.25</v>
      </c>
      <c r="C4467">
        <v>277.25</v>
      </c>
      <c r="D4467">
        <v>273.08999999999997</v>
      </c>
      <c r="E4467">
        <v>273.08999999999997</v>
      </c>
      <c r="F4467" s="2">
        <v>154930000</v>
      </c>
    </row>
    <row r="4468" spans="1:6">
      <c r="A4468" s="32">
        <v>37162</v>
      </c>
      <c r="B4468">
        <v>276.66000000000003</v>
      </c>
      <c r="C4468">
        <v>277.93</v>
      </c>
      <c r="D4468">
        <v>276.41000000000003</v>
      </c>
      <c r="E4468">
        <v>277.04000000000002</v>
      </c>
      <c r="F4468" s="2">
        <v>197960000</v>
      </c>
    </row>
    <row r="4469" spans="1:6">
      <c r="A4469" s="32">
        <v>37161</v>
      </c>
      <c r="B4469">
        <v>275.3</v>
      </c>
      <c r="C4469">
        <v>277.24</v>
      </c>
      <c r="D4469">
        <v>274.44</v>
      </c>
      <c r="E4469">
        <v>274.76</v>
      </c>
      <c r="F4469" s="2">
        <v>234170000</v>
      </c>
    </row>
    <row r="4470" spans="1:6">
      <c r="A4470" s="32">
        <v>37160</v>
      </c>
      <c r="B4470">
        <v>276.74</v>
      </c>
      <c r="C4470">
        <v>278.27</v>
      </c>
      <c r="D4470">
        <v>275.67</v>
      </c>
      <c r="E4470">
        <v>275.67</v>
      </c>
      <c r="F4470" s="2">
        <v>255790000</v>
      </c>
    </row>
    <row r="4471" spans="1:6">
      <c r="A4471" s="32">
        <v>37159</v>
      </c>
      <c r="B4471">
        <v>283.55</v>
      </c>
      <c r="C4471">
        <v>284.39</v>
      </c>
      <c r="D4471">
        <v>276.72000000000003</v>
      </c>
      <c r="E4471">
        <v>276.72000000000003</v>
      </c>
      <c r="F4471" s="2">
        <v>467940000</v>
      </c>
    </row>
    <row r="4472" spans="1:6">
      <c r="A4472" s="32">
        <v>37158</v>
      </c>
      <c r="B4472">
        <v>274.33999999999997</v>
      </c>
      <c r="C4472">
        <v>279.49</v>
      </c>
      <c r="D4472">
        <v>274</v>
      </c>
      <c r="E4472">
        <v>279.49</v>
      </c>
      <c r="F4472" s="2">
        <v>333530000</v>
      </c>
    </row>
    <row r="4473" spans="1:6">
      <c r="A4473" s="32">
        <v>37155</v>
      </c>
      <c r="B4473">
        <v>276.76</v>
      </c>
      <c r="C4473">
        <v>276.76</v>
      </c>
      <c r="D4473">
        <v>271.13</v>
      </c>
      <c r="E4473">
        <v>274.60000000000002</v>
      </c>
      <c r="F4473" s="2">
        <v>395820000</v>
      </c>
    </row>
    <row r="4474" spans="1:6">
      <c r="A4474" s="32">
        <v>37154</v>
      </c>
      <c r="B4474">
        <v>282.11</v>
      </c>
      <c r="C4474">
        <v>282.11</v>
      </c>
      <c r="D4474">
        <v>278.72000000000003</v>
      </c>
      <c r="E4474">
        <v>279.8</v>
      </c>
      <c r="F4474" s="2">
        <v>433190000</v>
      </c>
    </row>
    <row r="4475" spans="1:6">
      <c r="A4475" s="32">
        <v>37153</v>
      </c>
      <c r="B4475">
        <v>278.39</v>
      </c>
      <c r="C4475">
        <v>287.13</v>
      </c>
      <c r="D4475">
        <v>278.39</v>
      </c>
      <c r="E4475">
        <v>287.13</v>
      </c>
      <c r="F4475" s="2">
        <v>671820000</v>
      </c>
    </row>
    <row r="4476" spans="1:6">
      <c r="A4476" s="32">
        <v>37152</v>
      </c>
      <c r="B4476">
        <v>283.13</v>
      </c>
      <c r="C4476">
        <v>284.27</v>
      </c>
      <c r="D4476">
        <v>268.89</v>
      </c>
      <c r="E4476">
        <v>274.20999999999998</v>
      </c>
      <c r="F4476" s="2">
        <v>1060000000</v>
      </c>
    </row>
    <row r="4477" spans="1:6">
      <c r="A4477" s="32">
        <v>37151</v>
      </c>
      <c r="B4477">
        <v>271.92</v>
      </c>
      <c r="C4477">
        <v>273.45999999999998</v>
      </c>
      <c r="D4477">
        <v>266.07</v>
      </c>
      <c r="E4477">
        <v>270.61</v>
      </c>
      <c r="F4477" s="2">
        <v>762200000</v>
      </c>
    </row>
    <row r="4478" spans="1:6">
      <c r="A4478" s="32">
        <v>37148</v>
      </c>
      <c r="B4478">
        <v>308.41000000000003</v>
      </c>
      <c r="C4478">
        <v>308.41000000000003</v>
      </c>
      <c r="D4478">
        <v>278.33999999999997</v>
      </c>
      <c r="E4478">
        <v>288.10000000000002</v>
      </c>
      <c r="F4478" s="2">
        <v>1280000000</v>
      </c>
    </row>
    <row r="4479" spans="1:6">
      <c r="A4479" s="32">
        <v>37147</v>
      </c>
      <c r="B4479">
        <v>318.45</v>
      </c>
      <c r="C4479">
        <v>318.45</v>
      </c>
      <c r="D4479">
        <v>298.04000000000002</v>
      </c>
      <c r="E4479">
        <v>308.17</v>
      </c>
      <c r="F4479" s="2">
        <v>1240000000</v>
      </c>
    </row>
    <row r="4480" spans="1:6">
      <c r="A4480" s="32">
        <v>37145</v>
      </c>
      <c r="B4480">
        <v>332.65</v>
      </c>
      <c r="C4480">
        <v>333.12</v>
      </c>
      <c r="D4480">
        <v>329.23</v>
      </c>
      <c r="E4480">
        <v>330.37</v>
      </c>
      <c r="F4480" s="2">
        <v>446760000</v>
      </c>
    </row>
    <row r="4481" spans="1:6">
      <c r="A4481" s="32">
        <v>37144</v>
      </c>
      <c r="B4481">
        <v>341.3</v>
      </c>
      <c r="C4481">
        <v>341.3</v>
      </c>
      <c r="D4481">
        <v>331.65</v>
      </c>
      <c r="E4481">
        <v>331.65</v>
      </c>
      <c r="F4481" s="2">
        <v>655340000</v>
      </c>
    </row>
    <row r="4482" spans="1:6">
      <c r="A4482" s="32">
        <v>37141</v>
      </c>
      <c r="B4482">
        <v>341.93</v>
      </c>
      <c r="C4482">
        <v>342.94</v>
      </c>
      <c r="D4482">
        <v>340.46</v>
      </c>
      <c r="E4482">
        <v>342.32</v>
      </c>
      <c r="F4482" s="2">
        <v>597110000</v>
      </c>
    </row>
    <row r="4483" spans="1:6">
      <c r="A4483" s="32">
        <v>37140</v>
      </c>
      <c r="B4483">
        <v>339.85</v>
      </c>
      <c r="C4483">
        <v>342.71</v>
      </c>
      <c r="D4483">
        <v>339.77</v>
      </c>
      <c r="E4483">
        <v>342.56</v>
      </c>
      <c r="F4483" s="2">
        <v>634800000</v>
      </c>
    </row>
    <row r="4484" spans="1:6">
      <c r="A4484" s="32">
        <v>37139</v>
      </c>
      <c r="B4484">
        <v>340.67</v>
      </c>
      <c r="C4484">
        <v>343.11</v>
      </c>
      <c r="D4484">
        <v>338.17</v>
      </c>
      <c r="E4484">
        <v>338.21</v>
      </c>
      <c r="F4484" s="2">
        <v>443060000</v>
      </c>
    </row>
    <row r="4485" spans="1:6">
      <c r="A4485" s="32">
        <v>37138</v>
      </c>
      <c r="B4485">
        <v>344.11</v>
      </c>
      <c r="C4485">
        <v>344.52</v>
      </c>
      <c r="D4485">
        <v>339.76</v>
      </c>
      <c r="E4485">
        <v>339.76</v>
      </c>
      <c r="F4485" s="2">
        <v>540190000</v>
      </c>
    </row>
    <row r="4486" spans="1:6">
      <c r="A4486" s="32">
        <v>37137</v>
      </c>
      <c r="B4486">
        <v>338.39</v>
      </c>
      <c r="C4486">
        <v>343.95</v>
      </c>
      <c r="D4486">
        <v>338.39</v>
      </c>
      <c r="E4486">
        <v>341.65</v>
      </c>
      <c r="F4486" s="2">
        <v>774020000</v>
      </c>
    </row>
    <row r="4487" spans="1:6">
      <c r="A4487" s="32">
        <v>37134</v>
      </c>
      <c r="B4487">
        <v>332.55</v>
      </c>
      <c r="C4487">
        <v>336.58</v>
      </c>
      <c r="D4487">
        <v>330.93</v>
      </c>
      <c r="E4487">
        <v>335.57</v>
      </c>
      <c r="F4487" s="2">
        <v>682050000</v>
      </c>
    </row>
    <row r="4488" spans="1:6">
      <c r="A4488" s="32">
        <v>37133</v>
      </c>
      <c r="B4488">
        <v>337.53</v>
      </c>
      <c r="C4488">
        <v>338.59</v>
      </c>
      <c r="D4488">
        <v>331.62</v>
      </c>
      <c r="E4488">
        <v>331.62</v>
      </c>
      <c r="F4488" s="2">
        <v>985020000</v>
      </c>
    </row>
    <row r="4489" spans="1:6">
      <c r="A4489" s="32">
        <v>37132</v>
      </c>
      <c r="B4489">
        <v>335.79</v>
      </c>
      <c r="C4489">
        <v>340.42</v>
      </c>
      <c r="D4489">
        <v>334.56</v>
      </c>
      <c r="E4489">
        <v>338.02</v>
      </c>
      <c r="F4489" s="2">
        <v>1360000000</v>
      </c>
    </row>
    <row r="4490" spans="1:6">
      <c r="A4490" s="32">
        <v>37131</v>
      </c>
      <c r="B4490">
        <v>339.51</v>
      </c>
      <c r="C4490">
        <v>340.86</v>
      </c>
      <c r="D4490">
        <v>334.49</v>
      </c>
      <c r="E4490">
        <v>335.49</v>
      </c>
      <c r="F4490" s="2">
        <v>1210000000</v>
      </c>
    </row>
    <row r="4491" spans="1:6">
      <c r="A4491" s="32">
        <v>37130</v>
      </c>
      <c r="B4491">
        <v>336.44</v>
      </c>
      <c r="C4491">
        <v>339.85</v>
      </c>
      <c r="D4491">
        <v>336.18</v>
      </c>
      <c r="E4491">
        <v>338.57</v>
      </c>
      <c r="F4491" s="2">
        <v>1510000000</v>
      </c>
    </row>
    <row r="4492" spans="1:6">
      <c r="A4492" s="32">
        <v>37127</v>
      </c>
      <c r="B4492">
        <v>325.58999999999997</v>
      </c>
      <c r="C4492">
        <v>333.09</v>
      </c>
      <c r="D4492">
        <v>325.37</v>
      </c>
      <c r="E4492">
        <v>332.17</v>
      </c>
      <c r="F4492" s="2">
        <v>1540000000</v>
      </c>
    </row>
    <row r="4493" spans="1:6">
      <c r="A4493" s="32">
        <v>37126</v>
      </c>
      <c r="B4493">
        <v>323.01</v>
      </c>
      <c r="C4493">
        <v>326.52</v>
      </c>
      <c r="D4493">
        <v>322.08999999999997</v>
      </c>
      <c r="E4493">
        <v>324.89999999999998</v>
      </c>
      <c r="F4493" s="2">
        <v>807900000</v>
      </c>
    </row>
    <row r="4494" spans="1:6">
      <c r="A4494" s="32">
        <v>37125</v>
      </c>
      <c r="B4494">
        <v>318.62</v>
      </c>
      <c r="C4494">
        <v>322.88</v>
      </c>
      <c r="D4494">
        <v>318.62</v>
      </c>
      <c r="E4494">
        <v>321.31</v>
      </c>
      <c r="F4494" s="2">
        <v>682560000</v>
      </c>
    </row>
    <row r="4495" spans="1:6">
      <c r="A4495" s="32">
        <v>37124</v>
      </c>
      <c r="B4495">
        <v>321.08999999999997</v>
      </c>
      <c r="C4495">
        <v>322.54000000000002</v>
      </c>
      <c r="D4495">
        <v>318.47000000000003</v>
      </c>
      <c r="E4495">
        <v>319.14</v>
      </c>
      <c r="F4495" s="2">
        <v>557940000</v>
      </c>
    </row>
    <row r="4496" spans="1:6">
      <c r="A4496" s="32">
        <v>37123</v>
      </c>
      <c r="B4496">
        <v>321.81</v>
      </c>
      <c r="C4496">
        <v>323.26</v>
      </c>
      <c r="D4496">
        <v>319.7</v>
      </c>
      <c r="E4496">
        <v>319.7</v>
      </c>
      <c r="F4496" s="2">
        <v>564760000</v>
      </c>
    </row>
    <row r="4497" spans="1:6">
      <c r="A4497" s="32">
        <v>37120</v>
      </c>
      <c r="B4497">
        <v>318.60000000000002</v>
      </c>
      <c r="C4497">
        <v>324.75</v>
      </c>
      <c r="D4497">
        <v>318.60000000000002</v>
      </c>
      <c r="E4497">
        <v>323.25</v>
      </c>
      <c r="F4497" s="2">
        <v>1060000000</v>
      </c>
    </row>
    <row r="4498" spans="1:6">
      <c r="A4498" s="32">
        <v>37119</v>
      </c>
      <c r="B4498">
        <v>317.35000000000002</v>
      </c>
      <c r="C4498">
        <v>319.72000000000003</v>
      </c>
      <c r="D4498">
        <v>317.29000000000002</v>
      </c>
      <c r="E4498">
        <v>317.77</v>
      </c>
      <c r="F4498" s="2">
        <v>686520000</v>
      </c>
    </row>
    <row r="4499" spans="1:6">
      <c r="A4499" s="32">
        <v>37118</v>
      </c>
      <c r="B4499">
        <v>315.35000000000002</v>
      </c>
      <c r="C4499">
        <v>318</v>
      </c>
      <c r="D4499">
        <v>314.49</v>
      </c>
      <c r="E4499">
        <v>317.77</v>
      </c>
      <c r="F4499" s="2">
        <v>405550000</v>
      </c>
    </row>
    <row r="4500" spans="1:6">
      <c r="A4500" s="32">
        <v>37117</v>
      </c>
      <c r="B4500">
        <v>316.77</v>
      </c>
      <c r="C4500">
        <v>317.95999999999998</v>
      </c>
      <c r="D4500">
        <v>313.5</v>
      </c>
      <c r="E4500">
        <v>314.25</v>
      </c>
      <c r="F4500" s="2">
        <v>358050000</v>
      </c>
    </row>
    <row r="4501" spans="1:6">
      <c r="A4501" s="32">
        <v>37113</v>
      </c>
      <c r="B4501">
        <v>317.23</v>
      </c>
      <c r="C4501">
        <v>319.20999999999998</v>
      </c>
      <c r="D4501">
        <v>314.06</v>
      </c>
      <c r="E4501">
        <v>315.87</v>
      </c>
      <c r="F4501" s="2">
        <v>450430000</v>
      </c>
    </row>
    <row r="4502" spans="1:6">
      <c r="A4502" s="32">
        <v>37112</v>
      </c>
      <c r="B4502">
        <v>322.10000000000002</v>
      </c>
      <c r="C4502">
        <v>322.66000000000003</v>
      </c>
      <c r="D4502">
        <v>316.75</v>
      </c>
      <c r="E4502">
        <v>316.77</v>
      </c>
      <c r="F4502" s="2">
        <v>584830000</v>
      </c>
    </row>
    <row r="4503" spans="1:6">
      <c r="A4503" s="32">
        <v>37111</v>
      </c>
      <c r="B4503">
        <v>319</v>
      </c>
      <c r="C4503">
        <v>323.45</v>
      </c>
      <c r="D4503">
        <v>319</v>
      </c>
      <c r="E4503">
        <v>323.08999999999997</v>
      </c>
      <c r="F4503" s="2">
        <v>889580000</v>
      </c>
    </row>
    <row r="4504" spans="1:6">
      <c r="A4504" s="32">
        <v>37110</v>
      </c>
      <c r="B4504">
        <v>314.98</v>
      </c>
      <c r="C4504">
        <v>319.60000000000002</v>
      </c>
      <c r="D4504">
        <v>313.89999999999998</v>
      </c>
      <c r="E4504">
        <v>316.63</v>
      </c>
      <c r="F4504" s="2">
        <v>668460000</v>
      </c>
    </row>
    <row r="4505" spans="1:6">
      <c r="A4505" s="32">
        <v>37109</v>
      </c>
      <c r="B4505">
        <v>323</v>
      </c>
      <c r="C4505">
        <v>323.35000000000002</v>
      </c>
      <c r="D4505">
        <v>313.14999999999998</v>
      </c>
      <c r="E4505">
        <v>314.06</v>
      </c>
      <c r="F4505" s="2">
        <v>1080000000</v>
      </c>
    </row>
    <row r="4506" spans="1:6">
      <c r="A4506" s="32">
        <v>37106</v>
      </c>
      <c r="B4506">
        <v>304.87</v>
      </c>
      <c r="C4506">
        <v>316.62</v>
      </c>
      <c r="D4506">
        <v>304.87</v>
      </c>
      <c r="E4506">
        <v>315.95</v>
      </c>
      <c r="F4506" s="2">
        <v>1170000000</v>
      </c>
    </row>
    <row r="4507" spans="1:6">
      <c r="A4507" s="32">
        <v>37105</v>
      </c>
      <c r="B4507">
        <v>302.05</v>
      </c>
      <c r="C4507">
        <v>304.18</v>
      </c>
      <c r="D4507">
        <v>299.83</v>
      </c>
      <c r="E4507">
        <v>303.23</v>
      </c>
      <c r="F4507" s="2">
        <v>361350000</v>
      </c>
    </row>
    <row r="4508" spans="1:6">
      <c r="A4508" s="32">
        <v>37104</v>
      </c>
      <c r="B4508">
        <v>298.82</v>
      </c>
      <c r="C4508">
        <v>301.7</v>
      </c>
      <c r="D4508">
        <v>298.82</v>
      </c>
      <c r="E4508">
        <v>300.52999999999997</v>
      </c>
      <c r="F4508" s="2">
        <v>286590000</v>
      </c>
    </row>
    <row r="4509" spans="1:6">
      <c r="A4509" s="32">
        <v>37103</v>
      </c>
      <c r="B4509">
        <v>298.56</v>
      </c>
      <c r="C4509">
        <v>299.33</v>
      </c>
      <c r="D4509">
        <v>295.39999999999998</v>
      </c>
      <c r="E4509">
        <v>297.69</v>
      </c>
      <c r="F4509" s="2">
        <v>227900000</v>
      </c>
    </row>
    <row r="4510" spans="1:6">
      <c r="A4510" s="32">
        <v>37102</v>
      </c>
      <c r="B4510">
        <v>300.68</v>
      </c>
      <c r="C4510">
        <v>301.36</v>
      </c>
      <c r="D4510">
        <v>297.29000000000002</v>
      </c>
      <c r="E4510">
        <v>298.33</v>
      </c>
      <c r="F4510" s="2">
        <v>216780000</v>
      </c>
    </row>
    <row r="4511" spans="1:6">
      <c r="A4511" s="32">
        <v>37099</v>
      </c>
      <c r="B4511">
        <v>305.33</v>
      </c>
      <c r="C4511">
        <v>305.85000000000002</v>
      </c>
      <c r="D4511">
        <v>300.25</v>
      </c>
      <c r="E4511">
        <v>301.08999999999997</v>
      </c>
      <c r="F4511" s="2">
        <v>356070000</v>
      </c>
    </row>
    <row r="4512" spans="1:6">
      <c r="A4512" s="32">
        <v>37098</v>
      </c>
      <c r="B4512">
        <v>308.10000000000002</v>
      </c>
      <c r="C4512">
        <v>310.27999999999997</v>
      </c>
      <c r="D4512">
        <v>305.33</v>
      </c>
      <c r="E4512">
        <v>305.33</v>
      </c>
      <c r="F4512" s="2">
        <v>520920000</v>
      </c>
    </row>
    <row r="4513" spans="1:6">
      <c r="A4513" s="32">
        <v>37097</v>
      </c>
      <c r="B4513">
        <v>308.95</v>
      </c>
      <c r="C4513">
        <v>311.68</v>
      </c>
      <c r="D4513">
        <v>308.10000000000002</v>
      </c>
      <c r="E4513">
        <v>308.10000000000002</v>
      </c>
      <c r="F4513" s="2">
        <v>640400000</v>
      </c>
    </row>
    <row r="4514" spans="1:6">
      <c r="A4514" s="32">
        <v>37096</v>
      </c>
      <c r="B4514">
        <v>309.3</v>
      </c>
      <c r="C4514">
        <v>309.64999999999998</v>
      </c>
      <c r="D4514">
        <v>305.49</v>
      </c>
      <c r="E4514">
        <v>308.87</v>
      </c>
      <c r="F4514" s="2">
        <v>374770000</v>
      </c>
    </row>
    <row r="4515" spans="1:6">
      <c r="A4515" s="32">
        <v>37095</v>
      </c>
      <c r="B4515">
        <v>312.86</v>
      </c>
      <c r="C4515">
        <v>312.92</v>
      </c>
      <c r="D4515">
        <v>307.8</v>
      </c>
      <c r="E4515">
        <v>309.58</v>
      </c>
      <c r="F4515" s="2">
        <v>380120000</v>
      </c>
    </row>
    <row r="4516" spans="1:6">
      <c r="A4516" s="32">
        <v>37092</v>
      </c>
      <c r="B4516">
        <v>316.75</v>
      </c>
      <c r="C4516">
        <v>317.62</v>
      </c>
      <c r="D4516">
        <v>312.27</v>
      </c>
      <c r="E4516">
        <v>312.27</v>
      </c>
      <c r="F4516" s="2">
        <v>503060000</v>
      </c>
    </row>
    <row r="4517" spans="1:6">
      <c r="A4517" s="32">
        <v>37091</v>
      </c>
      <c r="B4517">
        <v>315.77</v>
      </c>
      <c r="C4517">
        <v>318.83</v>
      </c>
      <c r="D4517">
        <v>315.77</v>
      </c>
      <c r="E4517">
        <v>316.02</v>
      </c>
      <c r="F4517" s="2">
        <v>851200000</v>
      </c>
    </row>
    <row r="4518" spans="1:6">
      <c r="A4518" s="32">
        <v>37090</v>
      </c>
      <c r="B4518">
        <v>315.25</v>
      </c>
      <c r="C4518">
        <v>316.70999999999998</v>
      </c>
      <c r="D4518">
        <v>314.26</v>
      </c>
      <c r="E4518">
        <v>315.16000000000003</v>
      </c>
      <c r="F4518" s="2">
        <v>663770000</v>
      </c>
    </row>
    <row r="4519" spans="1:6">
      <c r="A4519" s="32">
        <v>37089</v>
      </c>
      <c r="B4519">
        <v>309.70999999999998</v>
      </c>
      <c r="C4519">
        <v>315.20999999999998</v>
      </c>
      <c r="D4519">
        <v>309.60000000000002</v>
      </c>
      <c r="E4519">
        <v>315.20999999999998</v>
      </c>
      <c r="F4519" s="2">
        <v>499980000</v>
      </c>
    </row>
    <row r="4520" spans="1:6">
      <c r="A4520" s="32">
        <v>37088</v>
      </c>
      <c r="B4520">
        <v>315.44</v>
      </c>
      <c r="C4520">
        <v>315.44</v>
      </c>
      <c r="D4520">
        <v>309.38</v>
      </c>
      <c r="E4520">
        <v>309.38</v>
      </c>
      <c r="F4520" s="2">
        <v>341040000</v>
      </c>
    </row>
    <row r="4521" spans="1:6">
      <c r="A4521" s="32">
        <v>37085</v>
      </c>
      <c r="B4521">
        <v>316.67</v>
      </c>
      <c r="C4521">
        <v>318.58999999999997</v>
      </c>
      <c r="D4521">
        <v>312.91000000000003</v>
      </c>
      <c r="E4521">
        <v>314.31</v>
      </c>
      <c r="F4521" s="2">
        <v>522260000</v>
      </c>
    </row>
    <row r="4522" spans="1:6">
      <c r="A4522" s="32">
        <v>37084</v>
      </c>
      <c r="B4522">
        <v>314.07</v>
      </c>
      <c r="C4522">
        <v>315.67</v>
      </c>
      <c r="D4522">
        <v>311.14</v>
      </c>
      <c r="E4522">
        <v>315</v>
      </c>
      <c r="F4522" s="2">
        <v>365080000</v>
      </c>
    </row>
    <row r="4523" spans="1:6">
      <c r="A4523" s="32">
        <v>37083</v>
      </c>
      <c r="B4523">
        <v>323.33999999999997</v>
      </c>
      <c r="C4523">
        <v>323.89</v>
      </c>
      <c r="D4523">
        <v>310.58</v>
      </c>
      <c r="E4523">
        <v>312.64</v>
      </c>
      <c r="F4523" s="2">
        <v>566760000</v>
      </c>
    </row>
    <row r="4524" spans="1:6">
      <c r="A4524" s="32">
        <v>37082</v>
      </c>
      <c r="B4524">
        <v>325.7</v>
      </c>
      <c r="C4524">
        <v>327.76</v>
      </c>
      <c r="D4524">
        <v>322.23</v>
      </c>
      <c r="E4524">
        <v>323.68</v>
      </c>
      <c r="F4524" s="2">
        <v>410110000</v>
      </c>
    </row>
    <row r="4525" spans="1:6">
      <c r="A4525" s="32">
        <v>37081</v>
      </c>
      <c r="B4525">
        <v>322.32</v>
      </c>
      <c r="C4525">
        <v>326.27999999999997</v>
      </c>
      <c r="D4525">
        <v>322.19</v>
      </c>
      <c r="E4525">
        <v>324.47000000000003</v>
      </c>
      <c r="F4525" s="2">
        <v>352420000</v>
      </c>
    </row>
    <row r="4526" spans="1:6">
      <c r="A4526" s="32">
        <v>37077</v>
      </c>
      <c r="B4526">
        <v>328.23</v>
      </c>
      <c r="C4526">
        <v>329.36</v>
      </c>
      <c r="D4526">
        <v>323.31</v>
      </c>
      <c r="E4526">
        <v>324.88</v>
      </c>
      <c r="F4526" s="2">
        <v>614790000</v>
      </c>
    </row>
    <row r="4527" spans="1:6">
      <c r="A4527" s="32">
        <v>37076</v>
      </c>
      <c r="B4527">
        <v>328.08</v>
      </c>
      <c r="C4527">
        <v>329.62</v>
      </c>
      <c r="D4527">
        <v>326.39</v>
      </c>
      <c r="E4527">
        <v>326.43</v>
      </c>
      <c r="F4527" s="2">
        <v>827330000</v>
      </c>
    </row>
    <row r="4528" spans="1:6">
      <c r="A4528" s="32">
        <v>37075</v>
      </c>
      <c r="B4528">
        <v>323.25</v>
      </c>
      <c r="C4528">
        <v>327.32</v>
      </c>
      <c r="D4528">
        <v>323.25</v>
      </c>
      <c r="E4528">
        <v>326.81</v>
      </c>
      <c r="F4528" s="2">
        <v>608380000</v>
      </c>
    </row>
    <row r="4529" spans="1:6">
      <c r="A4529" s="32">
        <v>37074</v>
      </c>
      <c r="B4529">
        <v>323.23</v>
      </c>
      <c r="C4529">
        <v>324.64999999999998</v>
      </c>
      <c r="D4529">
        <v>322.02</v>
      </c>
      <c r="E4529">
        <v>322.45</v>
      </c>
      <c r="F4529" s="2">
        <v>324330000</v>
      </c>
    </row>
    <row r="4530" spans="1:6">
      <c r="A4530" s="32">
        <v>37071</v>
      </c>
      <c r="B4530">
        <v>325.94</v>
      </c>
      <c r="C4530">
        <v>326.57</v>
      </c>
      <c r="D4530">
        <v>321.89</v>
      </c>
      <c r="E4530">
        <v>322.55</v>
      </c>
      <c r="F4530" s="2">
        <v>676760000</v>
      </c>
    </row>
    <row r="4531" spans="1:6">
      <c r="A4531" s="32">
        <v>37070</v>
      </c>
      <c r="B4531">
        <v>323.54000000000002</v>
      </c>
      <c r="C4531">
        <v>325.58</v>
      </c>
      <c r="D4531">
        <v>322.38</v>
      </c>
      <c r="E4531">
        <v>322.55</v>
      </c>
      <c r="F4531" s="2">
        <v>706830000</v>
      </c>
    </row>
    <row r="4532" spans="1:6">
      <c r="A4532" s="32">
        <v>37069</v>
      </c>
      <c r="B4532">
        <v>322.33</v>
      </c>
      <c r="C4532">
        <v>323.52999999999997</v>
      </c>
      <c r="D4532">
        <v>321.39</v>
      </c>
      <c r="E4532">
        <v>323.20999999999998</v>
      </c>
      <c r="F4532" s="2">
        <v>501420000</v>
      </c>
    </row>
    <row r="4533" spans="1:6">
      <c r="A4533" s="32">
        <v>37068</v>
      </c>
      <c r="B4533">
        <v>320.2</v>
      </c>
      <c r="C4533">
        <v>324.39</v>
      </c>
      <c r="D4533">
        <v>320.2</v>
      </c>
      <c r="E4533">
        <v>320.76</v>
      </c>
      <c r="F4533" s="2">
        <v>537360000</v>
      </c>
    </row>
    <row r="4534" spans="1:6">
      <c r="A4534" s="32">
        <v>37067</v>
      </c>
      <c r="B4534">
        <v>319.42</v>
      </c>
      <c r="C4534">
        <v>321.38</v>
      </c>
      <c r="D4534">
        <v>318.92</v>
      </c>
      <c r="E4534">
        <v>319.81</v>
      </c>
      <c r="F4534" s="2">
        <v>261210000</v>
      </c>
    </row>
    <row r="4535" spans="1:6">
      <c r="A4535" s="32">
        <v>37064</v>
      </c>
      <c r="B4535">
        <v>317.82</v>
      </c>
      <c r="C4535">
        <v>318.88</v>
      </c>
      <c r="D4535">
        <v>316.85000000000002</v>
      </c>
      <c r="E4535">
        <v>318.67</v>
      </c>
      <c r="F4535" s="2">
        <v>330500000</v>
      </c>
    </row>
    <row r="4536" spans="1:6">
      <c r="A4536" s="32">
        <v>37063</v>
      </c>
      <c r="B4536">
        <v>319.89999999999998</v>
      </c>
      <c r="C4536">
        <v>321.49</v>
      </c>
      <c r="D4536">
        <v>316.86</v>
      </c>
      <c r="E4536">
        <v>316.92</v>
      </c>
      <c r="F4536" s="2">
        <v>387120000</v>
      </c>
    </row>
    <row r="4537" spans="1:6">
      <c r="A4537" s="32">
        <v>37062</v>
      </c>
      <c r="B4537">
        <v>320.87</v>
      </c>
      <c r="C4537">
        <v>321.48</v>
      </c>
      <c r="D4537">
        <v>318.47000000000003</v>
      </c>
      <c r="E4537">
        <v>318.47000000000003</v>
      </c>
      <c r="F4537" s="2">
        <v>332070000</v>
      </c>
    </row>
    <row r="4538" spans="1:6">
      <c r="A4538" s="32">
        <v>37061</v>
      </c>
      <c r="B4538">
        <v>319.87</v>
      </c>
      <c r="C4538">
        <v>321.42</v>
      </c>
      <c r="D4538">
        <v>317.49</v>
      </c>
      <c r="E4538">
        <v>319.58999999999997</v>
      </c>
      <c r="F4538" s="2">
        <v>325740000</v>
      </c>
    </row>
    <row r="4539" spans="1:6">
      <c r="A4539" s="32">
        <v>37060</v>
      </c>
      <c r="B4539">
        <v>325.89</v>
      </c>
      <c r="C4539">
        <v>327</v>
      </c>
      <c r="D4539">
        <v>318.49</v>
      </c>
      <c r="E4539">
        <v>318.49</v>
      </c>
      <c r="F4539" s="2">
        <v>643570000</v>
      </c>
    </row>
    <row r="4540" spans="1:6">
      <c r="A4540" s="32">
        <v>37057</v>
      </c>
      <c r="B4540">
        <v>322.26</v>
      </c>
      <c r="C4540">
        <v>326.66000000000003</v>
      </c>
      <c r="D4540">
        <v>322.26</v>
      </c>
      <c r="E4540">
        <v>323.97000000000003</v>
      </c>
      <c r="F4540" s="2">
        <v>904310000</v>
      </c>
    </row>
    <row r="4541" spans="1:6">
      <c r="A4541" s="32">
        <v>37056</v>
      </c>
      <c r="B4541">
        <v>325.19</v>
      </c>
      <c r="C4541">
        <v>327.7</v>
      </c>
      <c r="D4541">
        <v>321.67</v>
      </c>
      <c r="E4541">
        <v>322.24</v>
      </c>
      <c r="F4541" s="2">
        <v>929340000</v>
      </c>
    </row>
    <row r="4542" spans="1:6">
      <c r="A4542" s="32">
        <v>37055</v>
      </c>
      <c r="B4542">
        <v>315.61</v>
      </c>
      <c r="C4542">
        <v>325.52</v>
      </c>
      <c r="D4542">
        <v>315.61</v>
      </c>
      <c r="E4542">
        <v>324.94</v>
      </c>
      <c r="F4542" s="2">
        <v>1100000000</v>
      </c>
    </row>
    <row r="4543" spans="1:6">
      <c r="A4543" s="32">
        <v>37054</v>
      </c>
      <c r="B4543">
        <v>314.64</v>
      </c>
      <c r="C4543">
        <v>317.02</v>
      </c>
      <c r="D4543">
        <v>313.77</v>
      </c>
      <c r="E4543">
        <v>314.2</v>
      </c>
      <c r="F4543" s="2">
        <v>442140000</v>
      </c>
    </row>
    <row r="4544" spans="1:6">
      <c r="A4544" s="32">
        <v>37053</v>
      </c>
      <c r="B4544">
        <v>312.05</v>
      </c>
      <c r="C4544">
        <v>314.39999999999998</v>
      </c>
      <c r="D4544">
        <v>311.14</v>
      </c>
      <c r="E4544">
        <v>314.39999999999998</v>
      </c>
      <c r="F4544" s="2">
        <v>295580000</v>
      </c>
    </row>
    <row r="4545" spans="1:6">
      <c r="A4545" s="32">
        <v>37050</v>
      </c>
      <c r="B4545">
        <v>308.69</v>
      </c>
      <c r="C4545">
        <v>312.39999999999998</v>
      </c>
      <c r="D4545">
        <v>307.55</v>
      </c>
      <c r="E4545">
        <v>312.29000000000002</v>
      </c>
      <c r="F4545" s="2">
        <v>350890000</v>
      </c>
    </row>
    <row r="4546" spans="1:6">
      <c r="A4546" s="32">
        <v>37049</v>
      </c>
      <c r="B4546">
        <v>310.58</v>
      </c>
      <c r="C4546">
        <v>312.25</v>
      </c>
      <c r="D4546">
        <v>307.10000000000002</v>
      </c>
      <c r="E4546">
        <v>308.04000000000002</v>
      </c>
      <c r="F4546" s="2">
        <v>400370000</v>
      </c>
    </row>
    <row r="4547" spans="1:6">
      <c r="A4547" s="32">
        <v>37048</v>
      </c>
      <c r="B4547">
        <v>312.07</v>
      </c>
      <c r="C4547">
        <v>312.93</v>
      </c>
      <c r="D4547">
        <v>309.87</v>
      </c>
      <c r="E4547">
        <v>310.45999999999998</v>
      </c>
      <c r="F4547" s="2">
        <v>398610000</v>
      </c>
    </row>
    <row r="4548" spans="1:6">
      <c r="A4548" s="32">
        <v>37047</v>
      </c>
      <c r="B4548">
        <v>315.31</v>
      </c>
      <c r="C4548">
        <v>316.31</v>
      </c>
      <c r="D4548">
        <v>308.83</v>
      </c>
      <c r="E4548">
        <v>310.14</v>
      </c>
      <c r="F4548" s="2">
        <v>594370000</v>
      </c>
    </row>
    <row r="4549" spans="1:6">
      <c r="A4549" s="32">
        <v>37046</v>
      </c>
      <c r="B4549">
        <v>313.45</v>
      </c>
      <c r="C4549">
        <v>315.83</v>
      </c>
      <c r="D4549">
        <v>313.37</v>
      </c>
      <c r="E4549">
        <v>313.95999999999998</v>
      </c>
      <c r="F4549" s="2">
        <v>447030000</v>
      </c>
    </row>
    <row r="4550" spans="1:6">
      <c r="A4550" s="32">
        <v>37043</v>
      </c>
      <c r="B4550">
        <v>311</v>
      </c>
      <c r="C4550">
        <v>313.74</v>
      </c>
      <c r="D4550">
        <v>311</v>
      </c>
      <c r="E4550">
        <v>312.06</v>
      </c>
      <c r="F4550" s="2">
        <v>525540000</v>
      </c>
    </row>
    <row r="4551" spans="1:6">
      <c r="A4551" s="32">
        <v>37042</v>
      </c>
      <c r="B4551">
        <v>309.57</v>
      </c>
      <c r="C4551">
        <v>312.07</v>
      </c>
      <c r="D4551">
        <v>307.58999999999997</v>
      </c>
      <c r="E4551">
        <v>310.13</v>
      </c>
      <c r="F4551" s="2">
        <v>562770000</v>
      </c>
    </row>
    <row r="4552" spans="1:6">
      <c r="A4552" s="32">
        <v>37041</v>
      </c>
      <c r="B4552">
        <v>310.2</v>
      </c>
      <c r="C4552">
        <v>311.94</v>
      </c>
      <c r="D4552">
        <v>307.83</v>
      </c>
      <c r="E4552">
        <v>310.18</v>
      </c>
      <c r="F4552" s="2">
        <v>616480000</v>
      </c>
    </row>
    <row r="4553" spans="1:6">
      <c r="A4553" s="32">
        <v>37040</v>
      </c>
      <c r="B4553">
        <v>317.45999999999998</v>
      </c>
      <c r="C4553">
        <v>317.45999999999998</v>
      </c>
      <c r="D4553">
        <v>309.01</v>
      </c>
      <c r="E4553">
        <v>309.47000000000003</v>
      </c>
      <c r="F4553" s="2">
        <v>580610000</v>
      </c>
    </row>
    <row r="4554" spans="1:6">
      <c r="A4554" s="32">
        <v>37039</v>
      </c>
      <c r="B4554">
        <v>311.69</v>
      </c>
      <c r="C4554">
        <v>316.88</v>
      </c>
      <c r="D4554">
        <v>311.69</v>
      </c>
      <c r="E4554">
        <v>316.88</v>
      </c>
      <c r="F4554" s="2">
        <v>421330000</v>
      </c>
    </row>
    <row r="4555" spans="1:6">
      <c r="A4555" s="32">
        <v>37036</v>
      </c>
      <c r="B4555">
        <v>314.17</v>
      </c>
      <c r="C4555">
        <v>318.47000000000003</v>
      </c>
      <c r="D4555">
        <v>309.33999999999997</v>
      </c>
      <c r="E4555">
        <v>311.11</v>
      </c>
      <c r="F4555" s="2">
        <v>886160000</v>
      </c>
    </row>
    <row r="4556" spans="1:6">
      <c r="A4556" s="32">
        <v>37035</v>
      </c>
      <c r="B4556">
        <v>311.56</v>
      </c>
      <c r="C4556">
        <v>314.41000000000003</v>
      </c>
      <c r="D4556">
        <v>311.16000000000003</v>
      </c>
      <c r="E4556">
        <v>312.27</v>
      </c>
      <c r="F4556" s="2">
        <v>600770000</v>
      </c>
    </row>
    <row r="4557" spans="1:6">
      <c r="A4557" s="32">
        <v>37034</v>
      </c>
      <c r="B4557">
        <v>305.77999999999997</v>
      </c>
      <c r="C4557">
        <v>312.10000000000002</v>
      </c>
      <c r="D4557">
        <v>305.77999999999997</v>
      </c>
      <c r="E4557">
        <v>311.17</v>
      </c>
      <c r="F4557" s="2">
        <v>849480000</v>
      </c>
    </row>
    <row r="4558" spans="1:6">
      <c r="A4558" s="32">
        <v>37033</v>
      </c>
      <c r="B4558">
        <v>299.16000000000003</v>
      </c>
      <c r="C4558">
        <v>305.3</v>
      </c>
      <c r="D4558">
        <v>299.16000000000003</v>
      </c>
      <c r="E4558">
        <v>304.52999999999997</v>
      </c>
      <c r="F4558" s="2">
        <v>303260000</v>
      </c>
    </row>
    <row r="4559" spans="1:6">
      <c r="A4559" s="32">
        <v>37032</v>
      </c>
      <c r="B4559">
        <v>301.18</v>
      </c>
      <c r="C4559">
        <v>301.58</v>
      </c>
      <c r="D4559">
        <v>298.08</v>
      </c>
      <c r="E4559">
        <v>298.20999999999998</v>
      </c>
      <c r="F4559" s="2">
        <v>198400000</v>
      </c>
    </row>
    <row r="4560" spans="1:6">
      <c r="A4560" s="32">
        <v>37029</v>
      </c>
      <c r="B4560">
        <v>301.5</v>
      </c>
      <c r="C4560">
        <v>302.81</v>
      </c>
      <c r="D4560">
        <v>299.43</v>
      </c>
      <c r="E4560">
        <v>300.64</v>
      </c>
      <c r="F4560" s="2">
        <v>375420000</v>
      </c>
    </row>
    <row r="4561" spans="1:6">
      <c r="A4561" s="32">
        <v>37028</v>
      </c>
      <c r="B4561">
        <v>300.49</v>
      </c>
      <c r="C4561">
        <v>303.04000000000002</v>
      </c>
      <c r="D4561">
        <v>298.60000000000002</v>
      </c>
      <c r="E4561">
        <v>300.98</v>
      </c>
      <c r="F4561" s="2">
        <v>440240000</v>
      </c>
    </row>
    <row r="4562" spans="1:6">
      <c r="A4562" s="32">
        <v>37027</v>
      </c>
      <c r="B4562">
        <v>307.77999999999997</v>
      </c>
      <c r="C4562">
        <v>308.08</v>
      </c>
      <c r="D4562">
        <v>299.61</v>
      </c>
      <c r="E4562">
        <v>300.25</v>
      </c>
      <c r="F4562" s="2">
        <v>360080000</v>
      </c>
    </row>
    <row r="4563" spans="1:6">
      <c r="A4563" s="32">
        <v>37026</v>
      </c>
      <c r="B4563">
        <v>309.69</v>
      </c>
      <c r="C4563">
        <v>311.67</v>
      </c>
      <c r="D4563">
        <v>306.74</v>
      </c>
      <c r="E4563">
        <v>307.47000000000003</v>
      </c>
      <c r="F4563" s="2">
        <v>459640000</v>
      </c>
    </row>
    <row r="4564" spans="1:6">
      <c r="A4564" s="32">
        <v>37025</v>
      </c>
      <c r="B4564">
        <v>311.86</v>
      </c>
      <c r="C4564">
        <v>313.31</v>
      </c>
      <c r="D4564">
        <v>307.17</v>
      </c>
      <c r="E4564">
        <v>307.52999999999997</v>
      </c>
      <c r="F4564" s="2">
        <v>368820000</v>
      </c>
    </row>
    <row r="4565" spans="1:6">
      <c r="A4565" s="32">
        <v>37022</v>
      </c>
      <c r="B4565">
        <v>315.49</v>
      </c>
      <c r="C4565">
        <v>321.52999999999997</v>
      </c>
      <c r="D4565">
        <v>310.39</v>
      </c>
      <c r="E4565">
        <v>310.93</v>
      </c>
      <c r="F4565" s="2">
        <v>734590000</v>
      </c>
    </row>
    <row r="4566" spans="1:6">
      <c r="A4566" s="32">
        <v>37021</v>
      </c>
      <c r="B4566">
        <v>312.58</v>
      </c>
      <c r="C4566">
        <v>317.77</v>
      </c>
      <c r="D4566">
        <v>312.39999999999998</v>
      </c>
      <c r="E4566">
        <v>316.13</v>
      </c>
      <c r="F4566" s="2">
        <v>595870000</v>
      </c>
    </row>
    <row r="4567" spans="1:6">
      <c r="A4567" s="32">
        <v>37020</v>
      </c>
      <c r="B4567">
        <v>307.35000000000002</v>
      </c>
      <c r="C4567">
        <v>311.95999999999998</v>
      </c>
      <c r="D4567">
        <v>305.29000000000002</v>
      </c>
      <c r="E4567">
        <v>311.73</v>
      </c>
      <c r="F4567" s="2">
        <v>327940000</v>
      </c>
    </row>
    <row r="4568" spans="1:6">
      <c r="A4568" s="32">
        <v>37015</v>
      </c>
      <c r="B4568">
        <v>301</v>
      </c>
      <c r="C4568">
        <v>306.58999999999997</v>
      </c>
      <c r="D4568">
        <v>299.47000000000003</v>
      </c>
      <c r="E4568">
        <v>306.48</v>
      </c>
      <c r="F4568" s="2">
        <v>340430000</v>
      </c>
    </row>
    <row r="4569" spans="1:6">
      <c r="A4569" s="32">
        <v>37014</v>
      </c>
      <c r="B4569">
        <v>299.39</v>
      </c>
      <c r="C4569">
        <v>302.89</v>
      </c>
      <c r="D4569">
        <v>298.11</v>
      </c>
      <c r="E4569">
        <v>301.08999999999997</v>
      </c>
      <c r="F4569" s="2">
        <v>210760000</v>
      </c>
    </row>
    <row r="4570" spans="1:6">
      <c r="A4570" s="32">
        <v>37013</v>
      </c>
      <c r="B4570">
        <v>302.44</v>
      </c>
      <c r="C4570">
        <v>305.33999999999997</v>
      </c>
      <c r="D4570">
        <v>299.52</v>
      </c>
      <c r="E4570">
        <v>299.52</v>
      </c>
      <c r="F4570" s="2">
        <v>335040000</v>
      </c>
    </row>
    <row r="4571" spans="1:6">
      <c r="A4571" s="32">
        <v>37011</v>
      </c>
      <c r="B4571">
        <v>297.25</v>
      </c>
      <c r="C4571">
        <v>302.16000000000003</v>
      </c>
      <c r="D4571">
        <v>297.25</v>
      </c>
      <c r="E4571">
        <v>300.63</v>
      </c>
      <c r="F4571" s="2">
        <v>260680000</v>
      </c>
    </row>
    <row r="4572" spans="1:6">
      <c r="A4572" s="32">
        <v>37008</v>
      </c>
      <c r="B4572">
        <v>296.98</v>
      </c>
      <c r="C4572">
        <v>298.37</v>
      </c>
      <c r="D4572">
        <v>296.33999999999997</v>
      </c>
      <c r="E4572">
        <v>297.20999999999998</v>
      </c>
      <c r="F4572" s="2">
        <v>284030000</v>
      </c>
    </row>
    <row r="4573" spans="1:6">
      <c r="A4573" s="32">
        <v>37007</v>
      </c>
      <c r="B4573">
        <v>299.68</v>
      </c>
      <c r="C4573">
        <v>302.45</v>
      </c>
      <c r="D4573">
        <v>297.14</v>
      </c>
      <c r="E4573">
        <v>297.14</v>
      </c>
      <c r="F4573" s="2">
        <v>640280000</v>
      </c>
    </row>
    <row r="4574" spans="1:6">
      <c r="A4574" s="32">
        <v>37006</v>
      </c>
      <c r="B4574">
        <v>295.60000000000002</v>
      </c>
      <c r="C4574">
        <v>298.68</v>
      </c>
      <c r="D4574">
        <v>293.89999999999998</v>
      </c>
      <c r="E4574">
        <v>296.86</v>
      </c>
      <c r="F4574" s="2">
        <v>497120000</v>
      </c>
    </row>
    <row r="4575" spans="1:6">
      <c r="A4575" s="32">
        <v>37005</v>
      </c>
      <c r="B4575">
        <v>289.72000000000003</v>
      </c>
      <c r="C4575">
        <v>297.12</v>
      </c>
      <c r="D4575">
        <v>289.64</v>
      </c>
      <c r="E4575">
        <v>296.95</v>
      </c>
      <c r="F4575" s="2">
        <v>473130000</v>
      </c>
    </row>
    <row r="4576" spans="1:6">
      <c r="A4576" s="32">
        <v>37004</v>
      </c>
      <c r="B4576">
        <v>292.61</v>
      </c>
      <c r="C4576">
        <v>293.85000000000002</v>
      </c>
      <c r="D4576">
        <v>288.75</v>
      </c>
      <c r="E4576">
        <v>290.54000000000002</v>
      </c>
      <c r="F4576" s="2">
        <v>204470000</v>
      </c>
    </row>
    <row r="4577" spans="1:6">
      <c r="A4577" s="32">
        <v>37001</v>
      </c>
      <c r="B4577">
        <v>300.20999999999998</v>
      </c>
      <c r="C4577">
        <v>301.12</v>
      </c>
      <c r="D4577">
        <v>292.58</v>
      </c>
      <c r="E4577">
        <v>292.58</v>
      </c>
      <c r="F4577" s="2">
        <v>479710000</v>
      </c>
    </row>
    <row r="4578" spans="1:6">
      <c r="A4578" s="32">
        <v>37000</v>
      </c>
      <c r="B4578">
        <v>302.63</v>
      </c>
      <c r="C4578">
        <v>306.5</v>
      </c>
      <c r="D4578">
        <v>298.07</v>
      </c>
      <c r="E4578">
        <v>298.07</v>
      </c>
      <c r="F4578" s="2">
        <v>1220000000</v>
      </c>
    </row>
    <row r="4579" spans="1:6">
      <c r="A4579" s="32">
        <v>36999</v>
      </c>
      <c r="B4579">
        <v>289.02999999999997</v>
      </c>
      <c r="C4579">
        <v>298.69</v>
      </c>
      <c r="D4579">
        <v>289.02999999999997</v>
      </c>
      <c r="E4579">
        <v>297.33</v>
      </c>
      <c r="F4579" s="2">
        <v>971410000</v>
      </c>
    </row>
    <row r="4580" spans="1:6">
      <c r="A4580" s="32">
        <v>36998</v>
      </c>
      <c r="B4580">
        <v>291.67</v>
      </c>
      <c r="C4580">
        <v>291.95999999999998</v>
      </c>
      <c r="D4580">
        <v>286.62</v>
      </c>
      <c r="E4580">
        <v>286.62</v>
      </c>
      <c r="F4580" s="2">
        <v>511650000</v>
      </c>
    </row>
    <row r="4581" spans="1:6">
      <c r="A4581" s="32">
        <v>36993</v>
      </c>
      <c r="B4581">
        <v>282.48</v>
      </c>
      <c r="C4581">
        <v>292.08999999999997</v>
      </c>
      <c r="D4581">
        <v>282.48</v>
      </c>
      <c r="E4581">
        <v>291.27999999999997</v>
      </c>
      <c r="F4581" s="2">
        <v>697560000</v>
      </c>
    </row>
    <row r="4582" spans="1:6">
      <c r="A4582" s="32">
        <v>36992</v>
      </c>
      <c r="B4582">
        <v>282.36</v>
      </c>
      <c r="C4582">
        <v>284.16000000000003</v>
      </c>
      <c r="D4582">
        <v>282.11</v>
      </c>
      <c r="E4582">
        <v>282.37</v>
      </c>
      <c r="F4582" s="2">
        <v>299120000</v>
      </c>
    </row>
    <row r="4583" spans="1:6">
      <c r="A4583" s="32">
        <v>36991</v>
      </c>
      <c r="B4583">
        <v>278.83999999999997</v>
      </c>
      <c r="C4583">
        <v>279.54000000000002</v>
      </c>
      <c r="D4583">
        <v>276.95</v>
      </c>
      <c r="E4583">
        <v>279.54000000000002</v>
      </c>
      <c r="F4583" s="2">
        <v>148510000</v>
      </c>
    </row>
    <row r="4584" spans="1:6">
      <c r="A4584" s="32">
        <v>36990</v>
      </c>
      <c r="B4584">
        <v>281.13</v>
      </c>
      <c r="C4584">
        <v>282.85000000000002</v>
      </c>
      <c r="D4584">
        <v>278.07</v>
      </c>
      <c r="E4584">
        <v>278.25</v>
      </c>
      <c r="F4584" s="2">
        <v>197100000</v>
      </c>
    </row>
    <row r="4585" spans="1:6">
      <c r="A4585" s="32">
        <v>36986</v>
      </c>
      <c r="B4585">
        <v>279.49</v>
      </c>
      <c r="C4585">
        <v>282.02</v>
      </c>
      <c r="D4585">
        <v>278.01</v>
      </c>
      <c r="E4585">
        <v>282.02</v>
      </c>
      <c r="F4585" s="2">
        <v>269910000</v>
      </c>
    </row>
    <row r="4586" spans="1:6">
      <c r="A4586" s="32">
        <v>36985</v>
      </c>
      <c r="B4586">
        <v>283.23</v>
      </c>
      <c r="C4586">
        <v>284.11</v>
      </c>
      <c r="D4586">
        <v>279.16000000000003</v>
      </c>
      <c r="E4586">
        <v>279.16000000000003</v>
      </c>
      <c r="F4586" s="2">
        <v>262060000</v>
      </c>
    </row>
    <row r="4587" spans="1:6">
      <c r="A4587" s="32">
        <v>36984</v>
      </c>
      <c r="B4587">
        <v>289.60000000000002</v>
      </c>
      <c r="C4587">
        <v>291.39999999999998</v>
      </c>
      <c r="D4587">
        <v>285.44</v>
      </c>
      <c r="E4587">
        <v>285.57</v>
      </c>
      <c r="F4587" s="2">
        <v>335230000</v>
      </c>
    </row>
    <row r="4588" spans="1:6">
      <c r="A4588" s="32">
        <v>36983</v>
      </c>
      <c r="B4588">
        <v>291.20999999999998</v>
      </c>
      <c r="C4588">
        <v>291.72000000000003</v>
      </c>
      <c r="D4588">
        <v>289.38</v>
      </c>
      <c r="E4588">
        <v>290.11</v>
      </c>
      <c r="F4588" s="2">
        <v>259740000</v>
      </c>
    </row>
    <row r="4589" spans="1:6">
      <c r="A4589" s="32">
        <v>36980</v>
      </c>
      <c r="B4589">
        <v>291.14</v>
      </c>
      <c r="C4589">
        <v>294.3</v>
      </c>
      <c r="D4589">
        <v>290.19</v>
      </c>
      <c r="E4589">
        <v>291.94</v>
      </c>
      <c r="F4589" s="2">
        <v>292490000</v>
      </c>
    </row>
    <row r="4590" spans="1:6">
      <c r="A4590" s="32">
        <v>36979</v>
      </c>
      <c r="B4590">
        <v>286.11</v>
      </c>
      <c r="C4590">
        <v>287.89999999999998</v>
      </c>
      <c r="D4590">
        <v>284.92</v>
      </c>
      <c r="E4590">
        <v>287.88</v>
      </c>
      <c r="F4590" s="2">
        <v>241070000</v>
      </c>
    </row>
    <row r="4591" spans="1:6">
      <c r="A4591" s="32">
        <v>36978</v>
      </c>
      <c r="B4591">
        <v>292.99</v>
      </c>
      <c r="C4591">
        <v>294.13</v>
      </c>
      <c r="D4591">
        <v>287.10000000000002</v>
      </c>
      <c r="E4591">
        <v>287.10000000000002</v>
      </c>
      <c r="F4591" s="2">
        <v>288180000</v>
      </c>
    </row>
    <row r="4592" spans="1:6">
      <c r="A4592" s="32">
        <v>36977</v>
      </c>
      <c r="B4592">
        <v>293.97000000000003</v>
      </c>
      <c r="C4592">
        <v>295.33</v>
      </c>
      <c r="D4592">
        <v>291.02</v>
      </c>
      <c r="E4592">
        <v>291.02</v>
      </c>
      <c r="F4592" s="2">
        <v>290860000</v>
      </c>
    </row>
    <row r="4593" spans="1:6">
      <c r="A4593" s="32">
        <v>36976</v>
      </c>
      <c r="B4593">
        <v>291.64999999999998</v>
      </c>
      <c r="C4593">
        <v>294.31</v>
      </c>
      <c r="D4593">
        <v>291.64999999999998</v>
      </c>
      <c r="E4593">
        <v>293.8</v>
      </c>
      <c r="F4593" s="2">
        <v>235790000</v>
      </c>
    </row>
    <row r="4594" spans="1:6">
      <c r="A4594" s="32">
        <v>36973</v>
      </c>
      <c r="B4594">
        <v>290.27</v>
      </c>
      <c r="C4594">
        <v>293.39</v>
      </c>
      <c r="D4594">
        <v>290.25</v>
      </c>
      <c r="E4594">
        <v>290.25</v>
      </c>
      <c r="F4594" s="2">
        <v>343040000</v>
      </c>
    </row>
    <row r="4595" spans="1:6">
      <c r="A4595" s="32">
        <v>36972</v>
      </c>
      <c r="B4595">
        <v>290.16000000000003</v>
      </c>
      <c r="C4595">
        <v>292.07</v>
      </c>
      <c r="D4595">
        <v>289.38</v>
      </c>
      <c r="E4595">
        <v>289.42</v>
      </c>
      <c r="F4595" s="2">
        <v>349140000</v>
      </c>
    </row>
    <row r="4596" spans="1:6">
      <c r="A4596" s="32">
        <v>36971</v>
      </c>
      <c r="B4596">
        <v>291.35000000000002</v>
      </c>
      <c r="C4596">
        <v>291.74</v>
      </c>
      <c r="D4596">
        <v>287.81</v>
      </c>
      <c r="E4596">
        <v>291.22000000000003</v>
      </c>
      <c r="F4596" s="2">
        <v>446520000</v>
      </c>
    </row>
    <row r="4597" spans="1:6">
      <c r="A4597" s="32">
        <v>36970</v>
      </c>
      <c r="B4597">
        <v>292.62</v>
      </c>
      <c r="C4597">
        <v>294.69</v>
      </c>
      <c r="D4597">
        <v>291.94</v>
      </c>
      <c r="E4597">
        <v>293.14</v>
      </c>
      <c r="F4597" s="2">
        <v>238140000</v>
      </c>
    </row>
    <row r="4598" spans="1:6">
      <c r="A4598" s="32">
        <v>36969</v>
      </c>
      <c r="B4598">
        <v>292.49</v>
      </c>
      <c r="C4598">
        <v>293.86</v>
      </c>
      <c r="D4598">
        <v>291.27999999999997</v>
      </c>
      <c r="E4598">
        <v>291.3</v>
      </c>
      <c r="F4598" s="2">
        <v>316190000</v>
      </c>
    </row>
    <row r="4599" spans="1:6">
      <c r="A4599" s="32">
        <v>36966</v>
      </c>
      <c r="B4599">
        <v>295.89999999999998</v>
      </c>
      <c r="C4599">
        <v>296.33999999999997</v>
      </c>
      <c r="D4599">
        <v>293</v>
      </c>
      <c r="E4599">
        <v>293</v>
      </c>
      <c r="F4599" s="2">
        <v>309320000</v>
      </c>
    </row>
    <row r="4600" spans="1:6">
      <c r="A4600" s="32">
        <v>36965</v>
      </c>
      <c r="B4600">
        <v>299.89999999999998</v>
      </c>
      <c r="C4600">
        <v>299.89999999999998</v>
      </c>
      <c r="D4600">
        <v>293.02999999999997</v>
      </c>
      <c r="E4600">
        <v>296.10000000000002</v>
      </c>
      <c r="F4600" s="2">
        <v>549780000</v>
      </c>
    </row>
    <row r="4601" spans="1:6">
      <c r="A4601" s="32">
        <v>36964</v>
      </c>
      <c r="B4601">
        <v>303.99</v>
      </c>
      <c r="C4601">
        <v>305.12</v>
      </c>
      <c r="D4601">
        <v>299.93</v>
      </c>
      <c r="E4601">
        <v>299.93</v>
      </c>
      <c r="F4601" s="2">
        <v>563830000</v>
      </c>
    </row>
    <row r="4602" spans="1:6">
      <c r="A4602" s="32">
        <v>36963</v>
      </c>
      <c r="B4602">
        <v>300.52999999999997</v>
      </c>
      <c r="C4602">
        <v>302.76</v>
      </c>
      <c r="D4602">
        <v>298.73</v>
      </c>
      <c r="E4602">
        <v>302.76</v>
      </c>
      <c r="F4602" s="2">
        <v>610960000</v>
      </c>
    </row>
    <row r="4603" spans="1:6">
      <c r="A4603" s="32">
        <v>36962</v>
      </c>
      <c r="B4603">
        <v>305.07</v>
      </c>
      <c r="C4603">
        <v>307.44</v>
      </c>
      <c r="D4603">
        <v>303.58</v>
      </c>
      <c r="E4603">
        <v>304.87</v>
      </c>
      <c r="F4603" s="2">
        <v>993810000</v>
      </c>
    </row>
    <row r="4604" spans="1:6">
      <c r="A4604" s="32">
        <v>36959</v>
      </c>
      <c r="B4604">
        <v>303.06</v>
      </c>
      <c r="C4604">
        <v>307.64999999999998</v>
      </c>
      <c r="D4604">
        <v>303.01</v>
      </c>
      <c r="E4604">
        <v>307</v>
      </c>
      <c r="F4604" s="2">
        <v>838690000</v>
      </c>
    </row>
    <row r="4605" spans="1:6">
      <c r="A4605" s="32">
        <v>36958</v>
      </c>
      <c r="B4605">
        <v>306.3</v>
      </c>
      <c r="C4605">
        <v>309.11</v>
      </c>
      <c r="D4605">
        <v>301.17</v>
      </c>
      <c r="E4605">
        <v>301.76</v>
      </c>
      <c r="F4605" s="2">
        <v>671880000</v>
      </c>
    </row>
    <row r="4606" spans="1:6">
      <c r="A4606" s="32">
        <v>36957</v>
      </c>
      <c r="B4606">
        <v>302.08</v>
      </c>
      <c r="C4606">
        <v>306.55</v>
      </c>
      <c r="D4606">
        <v>302.08</v>
      </c>
      <c r="E4606">
        <v>306.35000000000002</v>
      </c>
      <c r="F4606" s="2">
        <v>934150000</v>
      </c>
    </row>
    <row r="4607" spans="1:6">
      <c r="A4607" s="32">
        <v>36956</v>
      </c>
      <c r="B4607">
        <v>302.41000000000003</v>
      </c>
      <c r="C4607">
        <v>304.35000000000002</v>
      </c>
      <c r="D4607">
        <v>299.81</v>
      </c>
      <c r="E4607">
        <v>299.81</v>
      </c>
      <c r="F4607" s="2">
        <v>460640000</v>
      </c>
    </row>
    <row r="4608" spans="1:6">
      <c r="A4608" s="32">
        <v>36955</v>
      </c>
      <c r="B4608">
        <v>303.33</v>
      </c>
      <c r="C4608">
        <v>303.33</v>
      </c>
      <c r="D4608">
        <v>295.72000000000003</v>
      </c>
      <c r="E4608">
        <v>300.24</v>
      </c>
      <c r="F4608" s="2">
        <v>718770000</v>
      </c>
    </row>
    <row r="4609" spans="1:6">
      <c r="A4609" s="32">
        <v>36952</v>
      </c>
      <c r="B4609">
        <v>316.20999999999998</v>
      </c>
      <c r="C4609">
        <v>317.44</v>
      </c>
      <c r="D4609">
        <v>305.77</v>
      </c>
      <c r="E4609">
        <v>306.05</v>
      </c>
      <c r="F4609" s="2">
        <v>961310000</v>
      </c>
    </row>
    <row r="4610" spans="1:6">
      <c r="A4610" s="32">
        <v>36951</v>
      </c>
      <c r="B4610">
        <v>323.64999999999998</v>
      </c>
      <c r="C4610">
        <v>326.79000000000002</v>
      </c>
      <c r="D4610">
        <v>316.22000000000003</v>
      </c>
      <c r="E4610">
        <v>316.22000000000003</v>
      </c>
      <c r="F4610" s="2">
        <v>1250000000</v>
      </c>
    </row>
    <row r="4611" spans="1:6">
      <c r="A4611" s="32">
        <v>36950</v>
      </c>
      <c r="B4611">
        <v>327.48</v>
      </c>
      <c r="C4611">
        <v>328.43</v>
      </c>
      <c r="D4611">
        <v>325.2</v>
      </c>
      <c r="E4611">
        <v>325.2</v>
      </c>
      <c r="F4611" s="2">
        <v>1300000000</v>
      </c>
    </row>
    <row r="4612" spans="1:6">
      <c r="A4612" s="32">
        <v>36949</v>
      </c>
      <c r="B4612">
        <v>324.76</v>
      </c>
      <c r="C4612">
        <v>327.81</v>
      </c>
      <c r="D4612">
        <v>323.33999999999997</v>
      </c>
      <c r="E4612">
        <v>326.92</v>
      </c>
      <c r="F4612" s="2">
        <v>1210000000</v>
      </c>
    </row>
    <row r="4613" spans="1:6">
      <c r="A4613" s="32">
        <v>36948</v>
      </c>
      <c r="B4613">
        <v>328.73</v>
      </c>
      <c r="C4613">
        <v>329.88</v>
      </c>
      <c r="D4613">
        <v>320.7</v>
      </c>
      <c r="E4613">
        <v>321.33</v>
      </c>
      <c r="F4613" s="2">
        <v>1800000000</v>
      </c>
    </row>
    <row r="4614" spans="1:6">
      <c r="A4614" s="32">
        <v>36945</v>
      </c>
      <c r="B4614">
        <v>310.64999999999998</v>
      </c>
      <c r="C4614">
        <v>324.27</v>
      </c>
      <c r="D4614">
        <v>310.64999999999998</v>
      </c>
      <c r="E4614">
        <v>324.24</v>
      </c>
      <c r="F4614" s="2">
        <v>1630000000</v>
      </c>
    </row>
    <row r="4615" spans="1:6">
      <c r="A4615" s="32">
        <v>36944</v>
      </c>
      <c r="B4615">
        <v>308.05</v>
      </c>
      <c r="C4615">
        <v>310.25</v>
      </c>
      <c r="D4615">
        <v>307</v>
      </c>
      <c r="E4615">
        <v>309.02</v>
      </c>
      <c r="F4615" s="2">
        <v>264580000</v>
      </c>
    </row>
    <row r="4616" spans="1:6">
      <c r="A4616" s="32">
        <v>36943</v>
      </c>
      <c r="B4616">
        <v>310.43</v>
      </c>
      <c r="C4616">
        <v>314.13</v>
      </c>
      <c r="D4616">
        <v>310.23</v>
      </c>
      <c r="E4616">
        <v>310.23</v>
      </c>
      <c r="F4616" s="2">
        <v>411180000</v>
      </c>
    </row>
    <row r="4617" spans="1:6">
      <c r="A4617" s="32">
        <v>36942</v>
      </c>
      <c r="B4617">
        <v>310.58999999999997</v>
      </c>
      <c r="C4617">
        <v>312.57</v>
      </c>
      <c r="D4617">
        <v>308.63</v>
      </c>
      <c r="E4617">
        <v>312.32</v>
      </c>
      <c r="F4617" s="2">
        <v>376780000</v>
      </c>
    </row>
    <row r="4618" spans="1:6">
      <c r="A4618" s="32">
        <v>36941</v>
      </c>
      <c r="B4618">
        <v>312.99</v>
      </c>
      <c r="C4618">
        <v>312.99</v>
      </c>
      <c r="D4618">
        <v>308.47000000000003</v>
      </c>
      <c r="E4618">
        <v>309.64</v>
      </c>
      <c r="F4618" s="2">
        <v>426140000</v>
      </c>
    </row>
    <row r="4619" spans="1:6">
      <c r="A4619" s="32">
        <v>36938</v>
      </c>
      <c r="B4619">
        <v>316.04000000000002</v>
      </c>
      <c r="C4619">
        <v>319.06</v>
      </c>
      <c r="D4619">
        <v>315.10000000000002</v>
      </c>
      <c r="E4619">
        <v>316</v>
      </c>
      <c r="F4619" s="2">
        <v>463490000</v>
      </c>
    </row>
    <row r="4620" spans="1:6">
      <c r="A4620" s="32">
        <v>36937</v>
      </c>
      <c r="B4620">
        <v>315.66000000000003</v>
      </c>
      <c r="C4620">
        <v>317.44</v>
      </c>
      <c r="D4620">
        <v>314.33</v>
      </c>
      <c r="E4620">
        <v>315.14999999999998</v>
      </c>
      <c r="F4620" s="2">
        <v>404630000</v>
      </c>
    </row>
    <row r="4621" spans="1:6">
      <c r="A4621" s="32">
        <v>36936</v>
      </c>
      <c r="B4621">
        <v>320.89</v>
      </c>
      <c r="C4621">
        <v>321.45</v>
      </c>
      <c r="D4621">
        <v>315.10000000000002</v>
      </c>
      <c r="E4621">
        <v>315.25</v>
      </c>
      <c r="F4621" s="2">
        <v>707600000</v>
      </c>
    </row>
    <row r="4622" spans="1:6">
      <c r="A4622" s="32">
        <v>36935</v>
      </c>
      <c r="B4622">
        <v>319.45999999999998</v>
      </c>
      <c r="C4622">
        <v>322.29000000000002</v>
      </c>
      <c r="D4622">
        <v>317.64999999999998</v>
      </c>
      <c r="E4622">
        <v>322.04000000000002</v>
      </c>
      <c r="F4622" s="2">
        <v>718360000</v>
      </c>
    </row>
    <row r="4623" spans="1:6">
      <c r="A4623" s="32">
        <v>36934</v>
      </c>
      <c r="B4623">
        <v>324.02999999999997</v>
      </c>
      <c r="C4623">
        <v>324.66000000000003</v>
      </c>
      <c r="D4623">
        <v>315.95999999999998</v>
      </c>
      <c r="E4623">
        <v>318.2</v>
      </c>
      <c r="F4623" s="2">
        <v>687530000</v>
      </c>
    </row>
    <row r="4624" spans="1:6">
      <c r="A4624" s="32">
        <v>36931</v>
      </c>
      <c r="B4624">
        <v>329.26</v>
      </c>
      <c r="C4624">
        <v>331.51</v>
      </c>
      <c r="D4624">
        <v>324.45999999999998</v>
      </c>
      <c r="E4624">
        <v>324.72000000000003</v>
      </c>
      <c r="F4624" s="2">
        <v>1190000000</v>
      </c>
    </row>
    <row r="4625" spans="1:6">
      <c r="A4625" s="32">
        <v>36929</v>
      </c>
      <c r="B4625">
        <v>323.20999999999998</v>
      </c>
      <c r="C4625">
        <v>327.86</v>
      </c>
      <c r="D4625">
        <v>323.20999999999998</v>
      </c>
      <c r="E4625">
        <v>327.51</v>
      </c>
      <c r="F4625" s="2">
        <v>751800000</v>
      </c>
    </row>
    <row r="4626" spans="1:6">
      <c r="A4626" s="32">
        <v>36928</v>
      </c>
      <c r="B4626">
        <v>330.21</v>
      </c>
      <c r="C4626">
        <v>331.21</v>
      </c>
      <c r="D4626">
        <v>323.04000000000002</v>
      </c>
      <c r="E4626">
        <v>323.16000000000003</v>
      </c>
      <c r="F4626" s="2">
        <v>784980000</v>
      </c>
    </row>
    <row r="4627" spans="1:6">
      <c r="A4627" s="32">
        <v>36927</v>
      </c>
      <c r="B4627">
        <v>333.43</v>
      </c>
      <c r="C4627">
        <v>335.94</v>
      </c>
      <c r="D4627">
        <v>328.77</v>
      </c>
      <c r="E4627">
        <v>329.08</v>
      </c>
      <c r="F4627" s="2">
        <v>994970000</v>
      </c>
    </row>
    <row r="4628" spans="1:6">
      <c r="A4628" s="32">
        <v>36924</v>
      </c>
      <c r="B4628">
        <v>331.81</v>
      </c>
      <c r="C4628">
        <v>334.28</v>
      </c>
      <c r="D4628">
        <v>330.83</v>
      </c>
      <c r="E4628">
        <v>334.1</v>
      </c>
      <c r="F4628" s="2">
        <v>1130000000</v>
      </c>
    </row>
    <row r="4629" spans="1:6">
      <c r="A4629" s="32">
        <v>36923</v>
      </c>
      <c r="B4629">
        <v>331.83</v>
      </c>
      <c r="C4629">
        <v>336.03</v>
      </c>
      <c r="D4629">
        <v>329.63</v>
      </c>
      <c r="E4629">
        <v>330.46</v>
      </c>
      <c r="F4629" s="2">
        <v>1960000000</v>
      </c>
    </row>
    <row r="4630" spans="1:6">
      <c r="A4630" s="32">
        <v>36922</v>
      </c>
      <c r="B4630">
        <v>326.58999999999997</v>
      </c>
      <c r="C4630">
        <v>332.77</v>
      </c>
      <c r="D4630">
        <v>323.02</v>
      </c>
      <c r="E4630">
        <v>332.77</v>
      </c>
      <c r="F4630" s="2">
        <v>1970000000</v>
      </c>
    </row>
    <row r="4631" spans="1:6">
      <c r="A4631" s="32">
        <v>36921</v>
      </c>
      <c r="B4631">
        <v>334.11</v>
      </c>
      <c r="C4631">
        <v>334.38</v>
      </c>
      <c r="D4631">
        <v>324.61</v>
      </c>
      <c r="E4631">
        <v>325.20999999999998</v>
      </c>
      <c r="F4631" s="2">
        <v>2210000000</v>
      </c>
    </row>
    <row r="4632" spans="1:6">
      <c r="A4632" s="32">
        <v>36920</v>
      </c>
      <c r="B4632">
        <v>333.3</v>
      </c>
      <c r="C4632">
        <v>337.49</v>
      </c>
      <c r="D4632">
        <v>330.14</v>
      </c>
      <c r="E4632">
        <v>332.54</v>
      </c>
      <c r="F4632" s="2">
        <v>1770000000</v>
      </c>
    </row>
    <row r="4633" spans="1:6">
      <c r="A4633" s="32">
        <v>36917</v>
      </c>
      <c r="B4633">
        <v>342.93</v>
      </c>
      <c r="C4633">
        <v>347.19</v>
      </c>
      <c r="D4633">
        <v>330.73</v>
      </c>
      <c r="E4633">
        <v>332.13</v>
      </c>
      <c r="F4633" s="2">
        <v>2910000000</v>
      </c>
    </row>
    <row r="4634" spans="1:6">
      <c r="A4634" s="32">
        <v>36916</v>
      </c>
      <c r="B4634">
        <v>326.08</v>
      </c>
      <c r="C4634">
        <v>341.29</v>
      </c>
      <c r="D4634">
        <v>326.08</v>
      </c>
      <c r="E4634">
        <v>339.68</v>
      </c>
      <c r="F4634" s="2">
        <v>2720000000</v>
      </c>
    </row>
    <row r="4635" spans="1:6">
      <c r="A4635" s="32">
        <v>36915</v>
      </c>
      <c r="B4635">
        <v>327.63</v>
      </c>
      <c r="C4635">
        <v>330.64</v>
      </c>
      <c r="D4635">
        <v>324.43</v>
      </c>
      <c r="E4635">
        <v>325.58999999999997</v>
      </c>
      <c r="F4635" s="2">
        <v>1480000000</v>
      </c>
    </row>
    <row r="4636" spans="1:6">
      <c r="A4636" s="32">
        <v>36914</v>
      </c>
      <c r="B4636">
        <v>319.89999999999998</v>
      </c>
      <c r="C4636">
        <v>325.85000000000002</v>
      </c>
      <c r="D4636">
        <v>319.33999999999997</v>
      </c>
      <c r="E4636">
        <v>325.62</v>
      </c>
      <c r="F4636" s="2">
        <v>1440000000</v>
      </c>
    </row>
    <row r="4637" spans="1:6">
      <c r="A4637" s="32">
        <v>36913</v>
      </c>
      <c r="B4637">
        <v>318.02999999999997</v>
      </c>
      <c r="C4637">
        <v>319.08999999999997</v>
      </c>
      <c r="D4637">
        <v>315.52</v>
      </c>
      <c r="E4637">
        <v>319.08999999999997</v>
      </c>
      <c r="F4637" s="2">
        <v>642470000</v>
      </c>
    </row>
    <row r="4638" spans="1:6">
      <c r="A4638" s="32">
        <v>36910</v>
      </c>
      <c r="B4638">
        <v>318.54000000000002</v>
      </c>
      <c r="C4638">
        <v>321.33</v>
      </c>
      <c r="D4638">
        <v>313.39</v>
      </c>
      <c r="E4638">
        <v>316.86</v>
      </c>
      <c r="F4638" s="2">
        <v>872250000</v>
      </c>
    </row>
    <row r="4639" spans="1:6">
      <c r="A4639" s="32">
        <v>36909</v>
      </c>
      <c r="B4639">
        <v>319.64999999999998</v>
      </c>
      <c r="C4639">
        <v>322.79000000000002</v>
      </c>
      <c r="D4639">
        <v>314.19</v>
      </c>
      <c r="E4639">
        <v>314.26</v>
      </c>
      <c r="F4639" s="2">
        <v>1540000000</v>
      </c>
    </row>
    <row r="4640" spans="1:6">
      <c r="A4640" s="32">
        <v>36908</v>
      </c>
      <c r="B4640">
        <v>309.19</v>
      </c>
      <c r="C4640">
        <v>315.56</v>
      </c>
      <c r="D4640">
        <v>307.87</v>
      </c>
      <c r="E4640">
        <v>314.98</v>
      </c>
      <c r="F4640" s="2">
        <v>805260000</v>
      </c>
    </row>
    <row r="4641" spans="1:6">
      <c r="A4641" s="32">
        <v>36907</v>
      </c>
      <c r="B4641">
        <v>319.99</v>
      </c>
      <c r="C4641">
        <v>320.14999999999998</v>
      </c>
      <c r="D4641">
        <v>308.42</v>
      </c>
      <c r="E4641">
        <v>308.42</v>
      </c>
      <c r="F4641" s="2">
        <v>800220000</v>
      </c>
    </row>
    <row r="4642" spans="1:6">
      <c r="A4642" s="32">
        <v>36906</v>
      </c>
      <c r="B4642">
        <v>315.22000000000003</v>
      </c>
      <c r="C4642">
        <v>320.16000000000003</v>
      </c>
      <c r="D4642">
        <v>314.14</v>
      </c>
      <c r="E4642">
        <v>317.51</v>
      </c>
      <c r="F4642" s="2">
        <v>1540000000</v>
      </c>
    </row>
    <row r="4643" spans="1:6">
      <c r="A4643" s="32">
        <v>36903</v>
      </c>
      <c r="B4643">
        <v>300.32</v>
      </c>
      <c r="C4643">
        <v>312.07</v>
      </c>
      <c r="D4643">
        <v>300.32</v>
      </c>
      <c r="E4643">
        <v>311.25</v>
      </c>
      <c r="F4643" s="2">
        <v>1540000000</v>
      </c>
    </row>
    <row r="4644" spans="1:6">
      <c r="A4644" s="32">
        <v>36902</v>
      </c>
      <c r="B4644">
        <v>295.27999999999997</v>
      </c>
      <c r="C4644">
        <v>298.52</v>
      </c>
      <c r="D4644">
        <v>293.44</v>
      </c>
      <c r="E4644">
        <v>295.06</v>
      </c>
      <c r="F4644" s="2">
        <v>734010000</v>
      </c>
    </row>
    <row r="4645" spans="1:6">
      <c r="A4645" s="32">
        <v>36901</v>
      </c>
      <c r="B4645">
        <v>300.81</v>
      </c>
      <c r="C4645">
        <v>304.7</v>
      </c>
      <c r="D4645">
        <v>293.64999999999998</v>
      </c>
      <c r="E4645">
        <v>293.64999999999998</v>
      </c>
      <c r="F4645" s="2">
        <v>684160000</v>
      </c>
    </row>
    <row r="4646" spans="1:6">
      <c r="A4646" s="32">
        <v>36900</v>
      </c>
      <c r="B4646">
        <v>297</v>
      </c>
      <c r="C4646">
        <v>306.55</v>
      </c>
      <c r="D4646">
        <v>295.56</v>
      </c>
      <c r="E4646">
        <v>298.37</v>
      </c>
      <c r="F4646" s="2">
        <v>1360000000</v>
      </c>
    </row>
    <row r="4647" spans="1:6">
      <c r="A4647" s="32">
        <v>36899</v>
      </c>
      <c r="B4647">
        <v>294.35000000000002</v>
      </c>
      <c r="C4647">
        <v>300.02999999999997</v>
      </c>
      <c r="D4647">
        <v>291.89</v>
      </c>
      <c r="E4647">
        <v>295.83999999999997</v>
      </c>
      <c r="F4647" s="2">
        <v>934480000</v>
      </c>
    </row>
    <row r="4648" spans="1:6">
      <c r="A4648" s="32">
        <v>36896</v>
      </c>
      <c r="B4648">
        <v>278.74</v>
      </c>
      <c r="C4648">
        <v>286.76</v>
      </c>
      <c r="D4648">
        <v>278.74</v>
      </c>
      <c r="E4648">
        <v>286.76</v>
      </c>
      <c r="F4648" s="2">
        <v>344690000</v>
      </c>
    </row>
    <row r="4649" spans="1:6">
      <c r="A4649" s="32">
        <v>36895</v>
      </c>
      <c r="B4649">
        <v>274.68</v>
      </c>
      <c r="C4649">
        <v>279.27999999999997</v>
      </c>
      <c r="D4649">
        <v>274.68</v>
      </c>
      <c r="E4649">
        <v>278.75</v>
      </c>
      <c r="F4649" s="2">
        <v>329330000</v>
      </c>
    </row>
    <row r="4650" spans="1:6">
      <c r="A4650" s="32">
        <v>36894</v>
      </c>
      <c r="B4650">
        <v>268.89</v>
      </c>
      <c r="C4650">
        <v>272.27</v>
      </c>
      <c r="D4650">
        <v>268.85000000000002</v>
      </c>
      <c r="E4650">
        <v>272.02999999999997</v>
      </c>
      <c r="F4650" s="2">
        <v>90860000</v>
      </c>
    </row>
    <row r="4651" spans="1:6">
      <c r="A4651" s="32">
        <v>36889</v>
      </c>
      <c r="B4651">
        <v>268.86</v>
      </c>
      <c r="C4651">
        <v>270.45999999999998</v>
      </c>
      <c r="D4651">
        <v>268.44</v>
      </c>
      <c r="E4651">
        <v>269.19</v>
      </c>
      <c r="F4651" s="2">
        <v>76750000</v>
      </c>
    </row>
    <row r="4652" spans="1:6">
      <c r="A4652" s="32">
        <v>36888</v>
      </c>
      <c r="B4652">
        <v>266.68</v>
      </c>
      <c r="C4652">
        <v>269.18</v>
      </c>
      <c r="D4652">
        <v>266.68</v>
      </c>
      <c r="E4652">
        <v>267.70999999999998</v>
      </c>
      <c r="F4652" s="2">
        <v>92010000</v>
      </c>
    </row>
    <row r="4653" spans="1:6">
      <c r="A4653" s="32">
        <v>36887</v>
      </c>
      <c r="B4653">
        <v>265.23</v>
      </c>
      <c r="C4653">
        <v>266.81</v>
      </c>
      <c r="D4653">
        <v>264.39999999999998</v>
      </c>
      <c r="E4653">
        <v>266.47000000000003</v>
      </c>
      <c r="F4653" s="2">
        <v>83830000</v>
      </c>
    </row>
    <row r="4654" spans="1:6">
      <c r="A4654" s="32">
        <v>36886</v>
      </c>
      <c r="B4654">
        <v>266.55</v>
      </c>
      <c r="C4654">
        <v>268.01</v>
      </c>
      <c r="D4654">
        <v>263.97000000000003</v>
      </c>
      <c r="E4654">
        <v>264.86</v>
      </c>
      <c r="F4654" s="2">
        <v>98480000</v>
      </c>
    </row>
    <row r="4655" spans="1:6">
      <c r="A4655" s="32">
        <v>36885</v>
      </c>
      <c r="B4655">
        <v>267.75</v>
      </c>
      <c r="C4655">
        <v>267.94</v>
      </c>
      <c r="D4655">
        <v>266.45</v>
      </c>
      <c r="E4655">
        <v>266.52</v>
      </c>
      <c r="F4655" s="2">
        <v>51260000</v>
      </c>
    </row>
    <row r="4656" spans="1:6">
      <c r="A4656" s="32">
        <v>36882</v>
      </c>
      <c r="B4656">
        <v>270.23</v>
      </c>
      <c r="C4656">
        <v>271.08</v>
      </c>
      <c r="D4656">
        <v>267.04000000000002</v>
      </c>
      <c r="E4656">
        <v>267.08999999999997</v>
      </c>
      <c r="F4656" s="2">
        <v>112350000</v>
      </c>
    </row>
    <row r="4657" spans="1:6">
      <c r="A4657" s="32">
        <v>36881</v>
      </c>
      <c r="B4657">
        <v>268.77</v>
      </c>
      <c r="C4657">
        <v>270.25</v>
      </c>
      <c r="D4657">
        <v>267.32</v>
      </c>
      <c r="E4657">
        <v>269.85000000000002</v>
      </c>
      <c r="F4657" s="2">
        <v>154270000</v>
      </c>
    </row>
    <row r="4658" spans="1:6">
      <c r="A4658" s="32">
        <v>36880</v>
      </c>
      <c r="B4658">
        <v>271.17</v>
      </c>
      <c r="C4658">
        <v>273.79000000000002</v>
      </c>
      <c r="D4658">
        <v>269.91000000000003</v>
      </c>
      <c r="E4658">
        <v>269.91000000000003</v>
      </c>
      <c r="F4658" s="2">
        <v>139810000</v>
      </c>
    </row>
    <row r="4659" spans="1:6">
      <c r="A4659" s="32">
        <v>36879</v>
      </c>
      <c r="B4659">
        <v>271.67</v>
      </c>
      <c r="C4659">
        <v>273.2</v>
      </c>
      <c r="D4659">
        <v>270.35000000000002</v>
      </c>
      <c r="E4659">
        <v>271.08999999999997</v>
      </c>
      <c r="F4659" s="2">
        <v>181670000</v>
      </c>
    </row>
    <row r="4660" spans="1:6">
      <c r="A4660" s="32">
        <v>36878</v>
      </c>
      <c r="B4660">
        <v>272.58</v>
      </c>
      <c r="C4660">
        <v>273.97000000000003</v>
      </c>
      <c r="D4660">
        <v>270.91000000000003</v>
      </c>
      <c r="E4660">
        <v>271.19</v>
      </c>
      <c r="F4660" s="2">
        <v>185180000</v>
      </c>
    </row>
    <row r="4661" spans="1:6">
      <c r="A4661" s="32">
        <v>36875</v>
      </c>
      <c r="B4661">
        <v>271.23</v>
      </c>
      <c r="C4661">
        <v>274.49</v>
      </c>
      <c r="D4661">
        <v>271.13</v>
      </c>
      <c r="E4661">
        <v>273.17</v>
      </c>
      <c r="F4661" s="2">
        <v>195430000</v>
      </c>
    </row>
    <row r="4662" spans="1:6">
      <c r="A4662" s="32">
        <v>36874</v>
      </c>
      <c r="B4662">
        <v>271.04000000000002</v>
      </c>
      <c r="C4662">
        <v>273.19</v>
      </c>
      <c r="D4662">
        <v>270.12</v>
      </c>
      <c r="E4662">
        <v>271.29000000000002</v>
      </c>
      <c r="F4662" s="2">
        <v>138020000</v>
      </c>
    </row>
    <row r="4663" spans="1:6">
      <c r="A4663" s="32">
        <v>36873</v>
      </c>
      <c r="B4663">
        <v>270.22000000000003</v>
      </c>
      <c r="C4663">
        <v>273.11</v>
      </c>
      <c r="D4663">
        <v>267.95999999999998</v>
      </c>
      <c r="E4663">
        <v>271.92</v>
      </c>
      <c r="F4663" s="2">
        <v>163960000</v>
      </c>
    </row>
    <row r="4664" spans="1:6">
      <c r="A4664" s="32">
        <v>36872</v>
      </c>
      <c r="B4664">
        <v>274.3</v>
      </c>
      <c r="C4664">
        <v>274.68</v>
      </c>
      <c r="D4664">
        <v>269.62</v>
      </c>
      <c r="E4664">
        <v>269.62</v>
      </c>
      <c r="F4664" s="2">
        <v>200380000</v>
      </c>
    </row>
    <row r="4665" spans="1:6">
      <c r="A4665" s="32">
        <v>36868</v>
      </c>
      <c r="B4665">
        <v>272.82</v>
      </c>
      <c r="C4665">
        <v>274.20999999999998</v>
      </c>
      <c r="D4665">
        <v>271.75</v>
      </c>
      <c r="E4665">
        <v>273.69</v>
      </c>
      <c r="F4665" s="2">
        <v>146090000</v>
      </c>
    </row>
    <row r="4666" spans="1:6">
      <c r="A4666" s="32">
        <v>36867</v>
      </c>
      <c r="B4666">
        <v>271.57</v>
      </c>
      <c r="C4666">
        <v>273.70999999999998</v>
      </c>
      <c r="D4666">
        <v>271.16000000000003</v>
      </c>
      <c r="E4666">
        <v>272.70999999999998</v>
      </c>
      <c r="F4666" s="2">
        <v>166910000</v>
      </c>
    </row>
    <row r="4667" spans="1:6">
      <c r="A4667" s="32">
        <v>36866</v>
      </c>
      <c r="B4667">
        <v>276.11</v>
      </c>
      <c r="C4667">
        <v>278.67</v>
      </c>
      <c r="D4667">
        <v>272.02999999999997</v>
      </c>
      <c r="E4667">
        <v>272.02999999999997</v>
      </c>
      <c r="F4667" s="2">
        <v>217110000</v>
      </c>
    </row>
    <row r="4668" spans="1:6">
      <c r="A4668" s="32">
        <v>36864</v>
      </c>
      <c r="B4668">
        <v>274.04000000000002</v>
      </c>
      <c r="C4668">
        <v>274.04000000000002</v>
      </c>
      <c r="D4668">
        <v>271.47000000000003</v>
      </c>
      <c r="E4668">
        <v>271.47000000000003</v>
      </c>
      <c r="F4668" s="2">
        <v>92690000</v>
      </c>
    </row>
    <row r="4669" spans="1:6">
      <c r="A4669" s="32">
        <v>36861</v>
      </c>
      <c r="B4669">
        <v>276.77999999999997</v>
      </c>
      <c r="C4669">
        <v>276.77999999999997</v>
      </c>
      <c r="D4669">
        <v>273.77</v>
      </c>
      <c r="E4669">
        <v>273.86</v>
      </c>
      <c r="F4669" s="2">
        <v>187120000</v>
      </c>
    </row>
    <row r="4670" spans="1:6">
      <c r="A4670" s="32">
        <v>36860</v>
      </c>
      <c r="B4670">
        <v>283.68</v>
      </c>
      <c r="C4670">
        <v>283.75</v>
      </c>
      <c r="D4670">
        <v>277.92</v>
      </c>
      <c r="E4670">
        <v>277.92</v>
      </c>
      <c r="F4670" s="2">
        <v>184320000</v>
      </c>
    </row>
    <row r="4671" spans="1:6">
      <c r="A4671" s="32">
        <v>36859</v>
      </c>
      <c r="B4671">
        <v>282.57</v>
      </c>
      <c r="C4671">
        <v>284.23</v>
      </c>
      <c r="D4671">
        <v>282.31</v>
      </c>
      <c r="E4671">
        <v>282.89999999999998</v>
      </c>
      <c r="F4671" s="2">
        <v>116310000</v>
      </c>
    </row>
    <row r="4672" spans="1:6">
      <c r="A4672" s="32">
        <v>36858</v>
      </c>
      <c r="B4672">
        <v>284.51</v>
      </c>
      <c r="C4672">
        <v>285.57</v>
      </c>
      <c r="D4672">
        <v>283.45999999999998</v>
      </c>
      <c r="E4672">
        <v>283.67</v>
      </c>
      <c r="F4672" s="2">
        <v>176370000</v>
      </c>
    </row>
    <row r="4673" spans="1:6">
      <c r="A4673" s="32">
        <v>36857</v>
      </c>
      <c r="B4673">
        <v>286.8</v>
      </c>
      <c r="C4673">
        <v>287.97000000000003</v>
      </c>
      <c r="D4673">
        <v>284.72000000000003</v>
      </c>
      <c r="E4673">
        <v>284.73</v>
      </c>
      <c r="F4673" s="2">
        <v>262220000</v>
      </c>
    </row>
    <row r="4674" spans="1:6">
      <c r="A4674" s="32">
        <v>36854</v>
      </c>
      <c r="B4674">
        <v>284.60000000000002</v>
      </c>
      <c r="C4674">
        <v>286.43</v>
      </c>
      <c r="D4674">
        <v>284.2</v>
      </c>
      <c r="E4674">
        <v>285.42</v>
      </c>
      <c r="F4674" s="2">
        <v>207090000</v>
      </c>
    </row>
    <row r="4675" spans="1:6">
      <c r="A4675" s="32">
        <v>36853</v>
      </c>
      <c r="B4675">
        <v>283.74</v>
      </c>
      <c r="C4675">
        <v>284.95</v>
      </c>
      <c r="D4675">
        <v>282.63</v>
      </c>
      <c r="E4675">
        <v>284.22000000000003</v>
      </c>
      <c r="F4675" s="2">
        <v>229570000</v>
      </c>
    </row>
    <row r="4676" spans="1:6">
      <c r="A4676" s="32">
        <v>36852</v>
      </c>
      <c r="B4676">
        <v>288.02</v>
      </c>
      <c r="C4676">
        <v>288.55</v>
      </c>
      <c r="D4676">
        <v>283.58</v>
      </c>
      <c r="E4676">
        <v>283.58</v>
      </c>
      <c r="F4676" s="2">
        <v>270400000</v>
      </c>
    </row>
    <row r="4677" spans="1:6">
      <c r="A4677" s="32">
        <v>36851</v>
      </c>
      <c r="B4677">
        <v>287.02</v>
      </c>
      <c r="C4677">
        <v>288.68</v>
      </c>
      <c r="D4677">
        <v>286.01</v>
      </c>
      <c r="E4677">
        <v>287.06</v>
      </c>
      <c r="F4677" s="2">
        <v>272940000</v>
      </c>
    </row>
    <row r="4678" spans="1:6">
      <c r="A4678" s="32">
        <v>36850</v>
      </c>
      <c r="B4678">
        <v>294.39999999999998</v>
      </c>
      <c r="C4678">
        <v>296.13</v>
      </c>
      <c r="D4678">
        <v>288.41000000000003</v>
      </c>
      <c r="E4678">
        <v>288.41000000000003</v>
      </c>
      <c r="F4678" s="2">
        <v>500360000</v>
      </c>
    </row>
    <row r="4679" spans="1:6">
      <c r="A4679" s="32">
        <v>36847</v>
      </c>
      <c r="B4679">
        <v>289.55</v>
      </c>
      <c r="C4679">
        <v>294.70999999999998</v>
      </c>
      <c r="D4679">
        <v>289.48</v>
      </c>
      <c r="E4679">
        <v>294.70999999999998</v>
      </c>
      <c r="F4679" s="2">
        <v>375020000</v>
      </c>
    </row>
    <row r="4680" spans="1:6">
      <c r="A4680" s="32">
        <v>36846</v>
      </c>
      <c r="B4680">
        <v>289.49</v>
      </c>
      <c r="C4680">
        <v>290.54000000000002</v>
      </c>
      <c r="D4680">
        <v>288.54000000000002</v>
      </c>
      <c r="E4680">
        <v>289.99</v>
      </c>
      <c r="F4680" s="2">
        <v>273380000</v>
      </c>
    </row>
    <row r="4681" spans="1:6">
      <c r="A4681" s="32">
        <v>36845</v>
      </c>
      <c r="B4681">
        <v>292.31</v>
      </c>
      <c r="C4681">
        <v>293.11</v>
      </c>
      <c r="D4681">
        <v>288.75</v>
      </c>
      <c r="E4681">
        <v>288.75</v>
      </c>
      <c r="F4681" s="2">
        <v>366680000</v>
      </c>
    </row>
    <row r="4682" spans="1:6">
      <c r="A4682" s="32">
        <v>36844</v>
      </c>
      <c r="B4682">
        <v>288.38</v>
      </c>
      <c r="C4682">
        <v>290.98</v>
      </c>
      <c r="D4682">
        <v>287.86</v>
      </c>
      <c r="E4682">
        <v>288.27999999999997</v>
      </c>
      <c r="F4682" s="2">
        <v>235120000</v>
      </c>
    </row>
    <row r="4683" spans="1:6">
      <c r="A4683" s="32">
        <v>36843</v>
      </c>
      <c r="B4683">
        <v>289.7</v>
      </c>
      <c r="C4683">
        <v>289.7</v>
      </c>
      <c r="D4683">
        <v>287.18</v>
      </c>
      <c r="E4683">
        <v>287.18</v>
      </c>
      <c r="F4683" s="2">
        <v>220920000</v>
      </c>
    </row>
    <row r="4684" spans="1:6">
      <c r="A4684" s="32">
        <v>36840</v>
      </c>
      <c r="B4684">
        <v>293.56</v>
      </c>
      <c r="C4684">
        <v>296.08</v>
      </c>
      <c r="D4684">
        <v>291.94</v>
      </c>
      <c r="E4684">
        <v>293.23</v>
      </c>
      <c r="F4684" s="2">
        <v>322280000</v>
      </c>
    </row>
    <row r="4685" spans="1:6">
      <c r="A4685" s="32">
        <v>36839</v>
      </c>
      <c r="B4685">
        <v>298.79000000000002</v>
      </c>
      <c r="C4685">
        <v>299.10000000000002</v>
      </c>
      <c r="D4685">
        <v>293.38</v>
      </c>
      <c r="E4685">
        <v>293.58999999999997</v>
      </c>
      <c r="F4685" s="2">
        <v>420280000</v>
      </c>
    </row>
    <row r="4686" spans="1:6">
      <c r="A4686" s="32">
        <v>36838</v>
      </c>
      <c r="B4686">
        <v>295.45</v>
      </c>
      <c r="C4686">
        <v>300.55</v>
      </c>
      <c r="D4686">
        <v>293.81</v>
      </c>
      <c r="E4686">
        <v>299.37</v>
      </c>
      <c r="F4686" s="2">
        <v>702320000</v>
      </c>
    </row>
    <row r="4687" spans="1:6">
      <c r="A4687" s="32">
        <v>36837</v>
      </c>
      <c r="B4687">
        <v>294.3</v>
      </c>
      <c r="C4687">
        <v>298.25</v>
      </c>
      <c r="D4687">
        <v>290</v>
      </c>
      <c r="E4687">
        <v>292.36</v>
      </c>
      <c r="F4687" s="2">
        <v>501160000</v>
      </c>
    </row>
    <row r="4688" spans="1:6">
      <c r="A4688" s="32">
        <v>36836</v>
      </c>
      <c r="B4688">
        <v>289.33</v>
      </c>
      <c r="C4688">
        <v>294.36</v>
      </c>
      <c r="D4688">
        <v>288.86</v>
      </c>
      <c r="E4688">
        <v>291.93</v>
      </c>
      <c r="F4688" s="2">
        <v>537350000</v>
      </c>
    </row>
    <row r="4689" spans="1:6">
      <c r="A4689" s="32">
        <v>36833</v>
      </c>
      <c r="B4689">
        <v>282.62</v>
      </c>
      <c r="C4689">
        <v>287.83999999999997</v>
      </c>
      <c r="D4689">
        <v>282.62</v>
      </c>
      <c r="E4689">
        <v>287.83999999999997</v>
      </c>
      <c r="F4689" s="2">
        <v>372490000</v>
      </c>
    </row>
    <row r="4690" spans="1:6">
      <c r="A4690" s="32">
        <v>36832</v>
      </c>
      <c r="B4690">
        <v>280.87</v>
      </c>
      <c r="C4690">
        <v>282.74</v>
      </c>
      <c r="D4690">
        <v>278.45999999999998</v>
      </c>
      <c r="E4690">
        <v>280.3</v>
      </c>
      <c r="F4690" s="2">
        <v>347850000</v>
      </c>
    </row>
    <row r="4691" spans="1:6">
      <c r="A4691" s="32">
        <v>36831</v>
      </c>
      <c r="B4691">
        <v>274.14999999999998</v>
      </c>
      <c r="C4691">
        <v>279.92</v>
      </c>
      <c r="D4691">
        <v>273.95999999999998</v>
      </c>
      <c r="E4691">
        <v>279.77</v>
      </c>
      <c r="F4691" s="2">
        <v>242880000</v>
      </c>
    </row>
    <row r="4692" spans="1:6">
      <c r="A4692" s="32">
        <v>36830</v>
      </c>
      <c r="B4692">
        <v>271.5</v>
      </c>
      <c r="C4692">
        <v>272.67</v>
      </c>
      <c r="D4692">
        <v>268.89</v>
      </c>
      <c r="E4692">
        <v>271.83999999999997</v>
      </c>
      <c r="F4692" s="2">
        <v>183550000</v>
      </c>
    </row>
    <row r="4693" spans="1:6">
      <c r="A4693" s="32">
        <v>36829</v>
      </c>
      <c r="B4693">
        <v>276.32</v>
      </c>
      <c r="C4693">
        <v>277.67</v>
      </c>
      <c r="D4693">
        <v>270.29000000000002</v>
      </c>
      <c r="E4693">
        <v>270.33999999999997</v>
      </c>
      <c r="F4693" s="2">
        <v>176270000</v>
      </c>
    </row>
    <row r="4694" spans="1:6">
      <c r="A4694" s="32">
        <v>36826</v>
      </c>
      <c r="B4694">
        <v>276.69</v>
      </c>
      <c r="C4694">
        <v>279.43</v>
      </c>
      <c r="D4694">
        <v>274.33999999999997</v>
      </c>
      <c r="E4694">
        <v>274.33999999999997</v>
      </c>
      <c r="F4694" s="2">
        <v>277190000</v>
      </c>
    </row>
    <row r="4695" spans="1:6">
      <c r="A4695" s="32">
        <v>36825</v>
      </c>
      <c r="B4695">
        <v>270.52</v>
      </c>
      <c r="C4695">
        <v>275.70999999999998</v>
      </c>
      <c r="D4695">
        <v>270.42</v>
      </c>
      <c r="E4695">
        <v>275.39</v>
      </c>
      <c r="F4695" s="2">
        <v>230720000</v>
      </c>
    </row>
    <row r="4696" spans="1:6">
      <c r="A4696" s="32">
        <v>36824</v>
      </c>
      <c r="B4696">
        <v>277.26</v>
      </c>
      <c r="C4696">
        <v>278.38</v>
      </c>
      <c r="D4696">
        <v>270.19</v>
      </c>
      <c r="E4696">
        <v>271.10000000000002</v>
      </c>
      <c r="F4696" s="2">
        <v>180160000</v>
      </c>
    </row>
    <row r="4697" spans="1:6">
      <c r="A4697" s="32">
        <v>36823</v>
      </c>
      <c r="B4697">
        <v>279.14999999999998</v>
      </c>
      <c r="C4697">
        <v>280.51</v>
      </c>
      <c r="D4697">
        <v>275.43</v>
      </c>
      <c r="E4697">
        <v>275.48</v>
      </c>
      <c r="F4697" s="2">
        <v>231110000</v>
      </c>
    </row>
    <row r="4698" spans="1:6">
      <c r="A4698" s="32">
        <v>36819</v>
      </c>
      <c r="B4698">
        <v>283.73</v>
      </c>
      <c r="C4698">
        <v>285.89</v>
      </c>
      <c r="D4698">
        <v>276.60000000000002</v>
      </c>
      <c r="E4698">
        <v>276.60000000000002</v>
      </c>
      <c r="F4698" s="2">
        <v>559630000</v>
      </c>
    </row>
    <row r="4699" spans="1:6">
      <c r="A4699" s="32">
        <v>36818</v>
      </c>
      <c r="B4699">
        <v>268.29000000000002</v>
      </c>
      <c r="C4699">
        <v>276.89999999999998</v>
      </c>
      <c r="D4699">
        <v>267.12</v>
      </c>
      <c r="E4699">
        <v>276.19</v>
      </c>
      <c r="F4699" s="2">
        <v>513680000</v>
      </c>
    </row>
    <row r="4700" spans="1:6">
      <c r="A4700" s="32">
        <v>36817</v>
      </c>
      <c r="B4700">
        <v>259.86</v>
      </c>
      <c r="C4700">
        <v>268.18</v>
      </c>
      <c r="D4700">
        <v>259.86</v>
      </c>
      <c r="E4700">
        <v>268.18</v>
      </c>
      <c r="F4700" s="2">
        <v>323160000</v>
      </c>
    </row>
    <row r="4701" spans="1:6">
      <c r="A4701" s="32">
        <v>36816</v>
      </c>
      <c r="B4701">
        <v>258.63</v>
      </c>
      <c r="C4701">
        <v>264.60000000000002</v>
      </c>
      <c r="D4701">
        <v>258.45999999999998</v>
      </c>
      <c r="E4701">
        <v>259.95</v>
      </c>
      <c r="F4701" s="2">
        <v>240940000</v>
      </c>
    </row>
    <row r="4702" spans="1:6">
      <c r="A4702" s="32">
        <v>36815</v>
      </c>
      <c r="B4702">
        <v>261.38</v>
      </c>
      <c r="C4702">
        <v>262.67</v>
      </c>
      <c r="D4702">
        <v>258.08</v>
      </c>
      <c r="E4702">
        <v>258.08</v>
      </c>
      <c r="F4702" s="2">
        <v>234790000</v>
      </c>
    </row>
    <row r="4703" spans="1:6">
      <c r="A4703" s="32">
        <v>36812</v>
      </c>
      <c r="B4703">
        <v>250.71</v>
      </c>
      <c r="C4703">
        <v>258.32</v>
      </c>
      <c r="D4703">
        <v>250.49</v>
      </c>
      <c r="E4703">
        <v>254.26</v>
      </c>
      <c r="F4703" s="2">
        <v>297530000</v>
      </c>
    </row>
    <row r="4704" spans="1:6">
      <c r="A4704" s="32">
        <v>36811</v>
      </c>
      <c r="B4704">
        <v>250.66</v>
      </c>
      <c r="C4704">
        <v>259.08999999999997</v>
      </c>
      <c r="D4704">
        <v>249.77</v>
      </c>
      <c r="E4704">
        <v>257.74</v>
      </c>
      <c r="F4704" s="2">
        <v>237550000</v>
      </c>
    </row>
    <row r="4705" spans="1:6">
      <c r="A4705" s="32">
        <v>36810</v>
      </c>
      <c r="B4705">
        <v>253.96</v>
      </c>
      <c r="C4705">
        <v>253.96</v>
      </c>
      <c r="D4705">
        <v>250.6</v>
      </c>
      <c r="E4705">
        <v>250.6</v>
      </c>
      <c r="F4705" s="2">
        <v>170660000</v>
      </c>
    </row>
    <row r="4706" spans="1:6">
      <c r="A4706" s="32">
        <v>36809</v>
      </c>
      <c r="B4706">
        <v>261.56</v>
      </c>
      <c r="C4706">
        <v>262.89</v>
      </c>
      <c r="D4706">
        <v>254.39</v>
      </c>
      <c r="E4706">
        <v>256.98</v>
      </c>
      <c r="F4706" s="2">
        <v>180940000</v>
      </c>
    </row>
    <row r="4707" spans="1:6">
      <c r="A4707" s="32">
        <v>36808</v>
      </c>
      <c r="B4707">
        <v>266.81</v>
      </c>
      <c r="C4707">
        <v>266.85000000000002</v>
      </c>
      <c r="D4707">
        <v>260.33</v>
      </c>
      <c r="E4707">
        <v>261.29000000000002</v>
      </c>
      <c r="F4707" s="2">
        <v>121980000</v>
      </c>
    </row>
    <row r="4708" spans="1:6">
      <c r="A4708" s="32">
        <v>36805</v>
      </c>
      <c r="B4708">
        <v>270.48</v>
      </c>
      <c r="C4708">
        <v>271.07</v>
      </c>
      <c r="D4708">
        <v>267.54000000000002</v>
      </c>
      <c r="E4708">
        <v>267.68</v>
      </c>
      <c r="F4708" s="2">
        <v>119760000</v>
      </c>
    </row>
    <row r="4709" spans="1:6">
      <c r="A4709" s="32">
        <v>36804</v>
      </c>
      <c r="B4709">
        <v>272.51</v>
      </c>
      <c r="C4709">
        <v>275.02</v>
      </c>
      <c r="D4709">
        <v>269.04000000000002</v>
      </c>
      <c r="E4709">
        <v>269.51</v>
      </c>
      <c r="F4709" s="2">
        <v>213210000</v>
      </c>
    </row>
    <row r="4710" spans="1:6">
      <c r="A4710" s="32">
        <v>36803</v>
      </c>
      <c r="B4710">
        <v>271.82</v>
      </c>
      <c r="C4710">
        <v>274.3</v>
      </c>
      <c r="D4710">
        <v>270.38</v>
      </c>
      <c r="E4710">
        <v>271.85000000000002</v>
      </c>
      <c r="F4710" s="2">
        <v>157790000</v>
      </c>
    </row>
    <row r="4711" spans="1:6">
      <c r="A4711" s="32">
        <v>36802</v>
      </c>
      <c r="B4711">
        <v>275.44</v>
      </c>
      <c r="C4711">
        <v>275.75</v>
      </c>
      <c r="D4711">
        <v>270.14</v>
      </c>
      <c r="E4711">
        <v>271.38</v>
      </c>
      <c r="F4711" s="2">
        <v>134080000</v>
      </c>
    </row>
    <row r="4712" spans="1:6">
      <c r="A4712" s="32">
        <v>36801</v>
      </c>
      <c r="B4712">
        <v>275.77999999999997</v>
      </c>
      <c r="C4712">
        <v>277.45</v>
      </c>
      <c r="D4712">
        <v>275.5</v>
      </c>
      <c r="E4712">
        <v>276.69</v>
      </c>
      <c r="F4712" s="2">
        <v>81110000</v>
      </c>
    </row>
    <row r="4713" spans="1:6">
      <c r="A4713" s="32">
        <v>36798</v>
      </c>
      <c r="B4713">
        <v>281.70999999999998</v>
      </c>
      <c r="C4713">
        <v>282.5</v>
      </c>
      <c r="D4713">
        <v>277.29000000000002</v>
      </c>
      <c r="E4713">
        <v>277.29000000000002</v>
      </c>
      <c r="F4713" s="2">
        <v>136760000</v>
      </c>
    </row>
    <row r="4714" spans="1:6">
      <c r="A4714" s="32">
        <v>36797</v>
      </c>
      <c r="B4714">
        <v>285.43</v>
      </c>
      <c r="C4714">
        <v>286.66000000000003</v>
      </c>
      <c r="D4714">
        <v>279.75</v>
      </c>
      <c r="E4714">
        <v>279.75</v>
      </c>
      <c r="F4714" s="2">
        <v>170970000</v>
      </c>
    </row>
    <row r="4715" spans="1:6">
      <c r="A4715" s="32">
        <v>36796</v>
      </c>
      <c r="B4715">
        <v>281.70999999999998</v>
      </c>
      <c r="C4715">
        <v>285.64999999999998</v>
      </c>
      <c r="D4715">
        <v>278.88</v>
      </c>
      <c r="E4715">
        <v>285.38</v>
      </c>
      <c r="F4715" s="2">
        <v>243980000</v>
      </c>
    </row>
    <row r="4716" spans="1:6">
      <c r="A4716" s="32">
        <v>36795</v>
      </c>
      <c r="B4716">
        <v>279.91000000000003</v>
      </c>
      <c r="C4716">
        <v>284.89</v>
      </c>
      <c r="D4716">
        <v>279.91000000000003</v>
      </c>
      <c r="E4716">
        <v>282.08</v>
      </c>
      <c r="F4716" s="2">
        <v>274630000</v>
      </c>
    </row>
    <row r="4717" spans="1:6">
      <c r="A4717" s="32">
        <v>36794</v>
      </c>
      <c r="B4717">
        <v>275.66000000000003</v>
      </c>
      <c r="C4717">
        <v>280.25</v>
      </c>
      <c r="D4717">
        <v>275.58</v>
      </c>
      <c r="E4717">
        <v>280.25</v>
      </c>
      <c r="F4717" s="2">
        <v>110760000</v>
      </c>
    </row>
    <row r="4718" spans="1:6">
      <c r="A4718" s="32">
        <v>36791</v>
      </c>
      <c r="B4718">
        <v>283.31</v>
      </c>
      <c r="C4718">
        <v>283.31</v>
      </c>
      <c r="D4718">
        <v>273.60000000000002</v>
      </c>
      <c r="E4718">
        <v>274.14</v>
      </c>
      <c r="F4718" s="2">
        <v>156720000</v>
      </c>
    </row>
    <row r="4719" spans="1:6">
      <c r="A4719" s="32">
        <v>36790</v>
      </c>
      <c r="B4719">
        <v>282.45999999999998</v>
      </c>
      <c r="C4719">
        <v>285.62</v>
      </c>
      <c r="D4719">
        <v>282.35000000000002</v>
      </c>
      <c r="E4719">
        <v>283.13</v>
      </c>
      <c r="F4719" s="2">
        <v>109000000</v>
      </c>
    </row>
    <row r="4720" spans="1:6">
      <c r="A4720" s="32">
        <v>36789</v>
      </c>
      <c r="B4720">
        <v>289.32</v>
      </c>
      <c r="C4720">
        <v>290.42</v>
      </c>
      <c r="D4720">
        <v>282.23</v>
      </c>
      <c r="E4720">
        <v>282.23</v>
      </c>
      <c r="F4720" s="2">
        <v>132560000</v>
      </c>
    </row>
    <row r="4721" spans="1:6">
      <c r="A4721" s="32">
        <v>36788</v>
      </c>
      <c r="B4721">
        <v>285.70999999999998</v>
      </c>
      <c r="C4721">
        <v>289.13</v>
      </c>
      <c r="D4721">
        <v>285.67</v>
      </c>
      <c r="E4721">
        <v>287.16000000000003</v>
      </c>
      <c r="F4721" s="2">
        <v>109150000</v>
      </c>
    </row>
    <row r="4722" spans="1:6">
      <c r="A4722" s="32">
        <v>36787</v>
      </c>
      <c r="B4722">
        <v>289.95999999999998</v>
      </c>
      <c r="C4722">
        <v>290.04000000000002</v>
      </c>
      <c r="D4722">
        <v>286.07</v>
      </c>
      <c r="E4722">
        <v>286.81</v>
      </c>
      <c r="F4722" s="2">
        <v>124280000</v>
      </c>
    </row>
    <row r="4723" spans="1:6">
      <c r="A4723" s="32">
        <v>36784</v>
      </c>
      <c r="B4723">
        <v>287.89</v>
      </c>
      <c r="C4723">
        <v>294.92</v>
      </c>
      <c r="D4723">
        <v>287.85000000000002</v>
      </c>
      <c r="E4723">
        <v>293.3</v>
      </c>
      <c r="F4723" s="2">
        <v>174060000</v>
      </c>
    </row>
    <row r="4724" spans="1:6">
      <c r="A4724" s="32">
        <v>36783</v>
      </c>
      <c r="B4724">
        <v>291.55</v>
      </c>
      <c r="C4724">
        <v>291.55</v>
      </c>
      <c r="D4724">
        <v>285.39999999999998</v>
      </c>
      <c r="E4724">
        <v>287.20999999999998</v>
      </c>
      <c r="F4724" s="2">
        <v>153370000</v>
      </c>
    </row>
    <row r="4725" spans="1:6">
      <c r="A4725" s="32">
        <v>36782</v>
      </c>
      <c r="B4725">
        <v>288.37</v>
      </c>
      <c r="C4725">
        <v>292.18</v>
      </c>
      <c r="D4725">
        <v>288.17</v>
      </c>
      <c r="E4725">
        <v>290.55</v>
      </c>
      <c r="F4725" s="2">
        <v>181440000</v>
      </c>
    </row>
    <row r="4726" spans="1:6">
      <c r="A4726" s="32">
        <v>36781</v>
      </c>
      <c r="B4726">
        <v>289.95999999999998</v>
      </c>
      <c r="C4726">
        <v>292.07</v>
      </c>
      <c r="D4726">
        <v>288.02999999999997</v>
      </c>
      <c r="E4726">
        <v>288.02999999999997</v>
      </c>
      <c r="F4726" s="2">
        <v>131340000</v>
      </c>
    </row>
    <row r="4727" spans="1:6">
      <c r="A4727" s="32">
        <v>36780</v>
      </c>
      <c r="B4727">
        <v>296.66000000000003</v>
      </c>
      <c r="C4727">
        <v>296.66000000000003</v>
      </c>
      <c r="D4727">
        <v>290.23</v>
      </c>
      <c r="E4727">
        <v>290.33999999999997</v>
      </c>
      <c r="F4727" s="2">
        <v>128920000</v>
      </c>
    </row>
    <row r="4728" spans="1:6">
      <c r="A4728" s="32">
        <v>36777</v>
      </c>
      <c r="B4728">
        <v>298.52</v>
      </c>
      <c r="C4728">
        <v>300.48</v>
      </c>
      <c r="D4728">
        <v>297.07</v>
      </c>
      <c r="E4728">
        <v>297.07</v>
      </c>
      <c r="F4728" s="2">
        <v>105810000</v>
      </c>
    </row>
    <row r="4729" spans="1:6">
      <c r="A4729" s="32">
        <v>36776</v>
      </c>
      <c r="B4729">
        <v>302.38</v>
      </c>
      <c r="C4729">
        <v>302.39999999999998</v>
      </c>
      <c r="D4729">
        <v>298.18</v>
      </c>
      <c r="E4729">
        <v>298.31</v>
      </c>
      <c r="F4729" s="2">
        <v>180270000</v>
      </c>
    </row>
    <row r="4730" spans="1:6">
      <c r="A4730" s="32">
        <v>36775</v>
      </c>
      <c r="B4730">
        <v>308.27</v>
      </c>
      <c r="C4730">
        <v>308.91000000000003</v>
      </c>
      <c r="D4730">
        <v>302.51</v>
      </c>
      <c r="E4730">
        <v>302.51</v>
      </c>
      <c r="F4730" s="2">
        <v>253080000</v>
      </c>
    </row>
    <row r="4731" spans="1:6">
      <c r="A4731" s="32">
        <v>36774</v>
      </c>
      <c r="B4731">
        <v>308.93</v>
      </c>
      <c r="C4731">
        <v>310.10000000000002</v>
      </c>
      <c r="D4731">
        <v>308.13</v>
      </c>
      <c r="E4731">
        <v>308.25</v>
      </c>
      <c r="F4731" s="2">
        <v>118480000</v>
      </c>
    </row>
    <row r="4732" spans="1:6">
      <c r="A4732" s="32">
        <v>36773</v>
      </c>
      <c r="B4732">
        <v>311.20999999999998</v>
      </c>
      <c r="C4732">
        <v>312.24</v>
      </c>
      <c r="D4732">
        <v>309.01</v>
      </c>
      <c r="E4732">
        <v>309.01</v>
      </c>
      <c r="F4732" s="2">
        <v>118730000</v>
      </c>
    </row>
    <row r="4733" spans="1:6">
      <c r="A4733" s="32">
        <v>36770</v>
      </c>
      <c r="B4733">
        <v>310.45</v>
      </c>
      <c r="C4733">
        <v>312.14999999999998</v>
      </c>
      <c r="D4733">
        <v>310.26</v>
      </c>
      <c r="E4733">
        <v>310.73</v>
      </c>
      <c r="F4733" s="2">
        <v>255250000</v>
      </c>
    </row>
    <row r="4734" spans="1:6">
      <c r="A4734" s="32">
        <v>36769</v>
      </c>
      <c r="B4734">
        <v>309.36</v>
      </c>
      <c r="C4734">
        <v>310.07</v>
      </c>
      <c r="D4734">
        <v>305.58</v>
      </c>
      <c r="E4734">
        <v>307.83</v>
      </c>
      <c r="F4734" s="2">
        <v>190820000</v>
      </c>
    </row>
    <row r="4735" spans="1:6">
      <c r="A4735" s="32">
        <v>36768</v>
      </c>
      <c r="B4735">
        <v>308.44</v>
      </c>
      <c r="C4735">
        <v>313.29000000000002</v>
      </c>
      <c r="D4735">
        <v>308.27999999999997</v>
      </c>
      <c r="E4735">
        <v>309.67</v>
      </c>
      <c r="F4735" s="2">
        <v>284080000</v>
      </c>
    </row>
    <row r="4736" spans="1:6">
      <c r="A4736" s="32">
        <v>36767</v>
      </c>
      <c r="B4736">
        <v>305.7</v>
      </c>
      <c r="C4736">
        <v>310.77999999999997</v>
      </c>
      <c r="D4736">
        <v>305.45999999999998</v>
      </c>
      <c r="E4736">
        <v>309.24</v>
      </c>
      <c r="F4736" s="2">
        <v>199240000</v>
      </c>
    </row>
    <row r="4737" spans="1:6">
      <c r="A4737" s="32">
        <v>36766</v>
      </c>
      <c r="B4737">
        <v>306.77999999999997</v>
      </c>
      <c r="C4737">
        <v>308.02</v>
      </c>
      <c r="D4737">
        <v>304.94</v>
      </c>
      <c r="E4737">
        <v>305.72000000000003</v>
      </c>
      <c r="F4737" s="2">
        <v>73340000</v>
      </c>
    </row>
    <row r="4738" spans="1:6">
      <c r="A4738" s="32">
        <v>36763</v>
      </c>
      <c r="B4738">
        <v>307.24</v>
      </c>
      <c r="C4738">
        <v>308.81</v>
      </c>
      <c r="D4738">
        <v>306.11</v>
      </c>
      <c r="E4738">
        <v>306.83999999999997</v>
      </c>
      <c r="F4738" s="2">
        <v>109300000</v>
      </c>
    </row>
    <row r="4739" spans="1:6">
      <c r="A4739" s="32">
        <v>36762</v>
      </c>
      <c r="B4739">
        <v>308.58</v>
      </c>
      <c r="C4739">
        <v>311.06</v>
      </c>
      <c r="D4739">
        <v>306.02999999999997</v>
      </c>
      <c r="E4739">
        <v>307.32</v>
      </c>
      <c r="F4739" s="2">
        <v>158900000</v>
      </c>
    </row>
    <row r="4740" spans="1:6">
      <c r="A4740" s="32">
        <v>36761</v>
      </c>
      <c r="B4740">
        <v>316.24</v>
      </c>
      <c r="C4740">
        <v>318.04000000000002</v>
      </c>
      <c r="D4740">
        <v>308.37</v>
      </c>
      <c r="E4740">
        <v>308.37</v>
      </c>
      <c r="F4740" s="2">
        <v>244550000</v>
      </c>
    </row>
    <row r="4741" spans="1:6">
      <c r="A4741" s="32">
        <v>36760</v>
      </c>
      <c r="B4741">
        <v>312.60000000000002</v>
      </c>
      <c r="C4741">
        <v>316.49</v>
      </c>
      <c r="D4741">
        <v>312.60000000000002</v>
      </c>
      <c r="E4741">
        <v>316.48</v>
      </c>
      <c r="F4741" s="2">
        <v>131500000</v>
      </c>
    </row>
    <row r="4742" spans="1:6">
      <c r="A4742" s="32">
        <v>36759</v>
      </c>
      <c r="B4742">
        <v>318.32</v>
      </c>
      <c r="C4742">
        <v>318.36</v>
      </c>
      <c r="D4742">
        <v>312.66000000000003</v>
      </c>
      <c r="E4742">
        <v>312.66000000000003</v>
      </c>
      <c r="F4742" s="2">
        <v>167710000</v>
      </c>
    </row>
    <row r="4743" spans="1:6">
      <c r="A4743" s="32">
        <v>36756</v>
      </c>
      <c r="B4743">
        <v>322.97000000000003</v>
      </c>
      <c r="C4743">
        <v>323.52</v>
      </c>
      <c r="D4743">
        <v>317.27</v>
      </c>
      <c r="E4743">
        <v>319.22000000000003</v>
      </c>
      <c r="F4743" s="2">
        <v>290070000</v>
      </c>
    </row>
    <row r="4744" spans="1:6">
      <c r="A4744" s="32">
        <v>36755</v>
      </c>
      <c r="B4744">
        <v>326.8</v>
      </c>
      <c r="C4744">
        <v>329.05</v>
      </c>
      <c r="D4744">
        <v>322.14999999999998</v>
      </c>
      <c r="E4744">
        <v>322.5</v>
      </c>
      <c r="F4744" s="2">
        <v>441390000</v>
      </c>
    </row>
    <row r="4745" spans="1:6">
      <c r="A4745" s="32">
        <v>36754</v>
      </c>
      <c r="B4745">
        <v>321.48</v>
      </c>
      <c r="C4745">
        <v>327.71</v>
      </c>
      <c r="D4745">
        <v>317.42</v>
      </c>
      <c r="E4745">
        <v>327.45999999999998</v>
      </c>
      <c r="F4745" s="2">
        <v>337630000</v>
      </c>
    </row>
    <row r="4746" spans="1:6">
      <c r="A4746" s="32">
        <v>36753</v>
      </c>
      <c r="B4746">
        <v>319.83999999999997</v>
      </c>
      <c r="C4746">
        <v>323.87</v>
      </c>
      <c r="D4746">
        <v>319.25</v>
      </c>
      <c r="E4746">
        <v>321.44</v>
      </c>
      <c r="F4746" s="2">
        <v>397020000</v>
      </c>
    </row>
    <row r="4747" spans="1:6">
      <c r="A4747" s="32">
        <v>36749</v>
      </c>
      <c r="B4747">
        <v>308.99</v>
      </c>
      <c r="C4747">
        <v>316.60000000000002</v>
      </c>
      <c r="D4747">
        <v>308.58999999999997</v>
      </c>
      <c r="E4747">
        <v>316.60000000000002</v>
      </c>
      <c r="F4747" s="2">
        <v>268700000</v>
      </c>
    </row>
    <row r="4748" spans="1:6">
      <c r="A4748" s="32">
        <v>36748</v>
      </c>
      <c r="B4748">
        <v>315.04000000000002</v>
      </c>
      <c r="C4748">
        <v>317.47000000000003</v>
      </c>
      <c r="D4748">
        <v>307.31</v>
      </c>
      <c r="E4748">
        <v>309.42</v>
      </c>
      <c r="F4748" s="2">
        <v>411740000</v>
      </c>
    </row>
    <row r="4749" spans="1:6">
      <c r="A4749" s="32">
        <v>36747</v>
      </c>
      <c r="B4749">
        <v>319.73</v>
      </c>
      <c r="C4749">
        <v>323.32</v>
      </c>
      <c r="D4749">
        <v>314.37</v>
      </c>
      <c r="E4749">
        <v>315.02</v>
      </c>
      <c r="F4749" s="2">
        <v>646810000</v>
      </c>
    </row>
    <row r="4750" spans="1:6">
      <c r="A4750" s="32">
        <v>36746</v>
      </c>
      <c r="B4750">
        <v>308.11</v>
      </c>
      <c r="C4750">
        <v>318.77</v>
      </c>
      <c r="D4750">
        <v>308.11</v>
      </c>
      <c r="E4750">
        <v>318.14999999999998</v>
      </c>
      <c r="F4750" s="2">
        <v>729690000</v>
      </c>
    </row>
    <row r="4751" spans="1:6">
      <c r="A4751" s="32">
        <v>36745</v>
      </c>
      <c r="B4751">
        <v>313.06</v>
      </c>
      <c r="C4751">
        <v>315.14999999999998</v>
      </c>
      <c r="D4751">
        <v>305.37</v>
      </c>
      <c r="E4751">
        <v>306.72000000000003</v>
      </c>
      <c r="F4751" s="2">
        <v>409670000</v>
      </c>
    </row>
    <row r="4752" spans="1:6">
      <c r="A4752" s="32">
        <v>36742</v>
      </c>
      <c r="B4752">
        <v>311.39</v>
      </c>
      <c r="C4752">
        <v>318.89999999999998</v>
      </c>
      <c r="D4752">
        <v>311.39</v>
      </c>
      <c r="E4752">
        <v>311.42</v>
      </c>
      <c r="F4752" s="2">
        <v>1000000000</v>
      </c>
    </row>
    <row r="4753" spans="1:6">
      <c r="A4753" s="32">
        <v>36741</v>
      </c>
      <c r="B4753">
        <v>301.52</v>
      </c>
      <c r="C4753">
        <v>308.89</v>
      </c>
      <c r="D4753">
        <v>300.69</v>
      </c>
      <c r="E4753">
        <v>307.97000000000003</v>
      </c>
      <c r="F4753" s="2">
        <v>558630000</v>
      </c>
    </row>
    <row r="4754" spans="1:6">
      <c r="A4754" s="32">
        <v>36740</v>
      </c>
      <c r="B4754">
        <v>295.11</v>
      </c>
      <c r="C4754">
        <v>303.23</v>
      </c>
      <c r="D4754">
        <v>292.24</v>
      </c>
      <c r="E4754">
        <v>301.22000000000003</v>
      </c>
      <c r="F4754" s="2">
        <v>442190000</v>
      </c>
    </row>
    <row r="4755" spans="1:6">
      <c r="A4755" s="32">
        <v>36739</v>
      </c>
      <c r="B4755">
        <v>285.02</v>
      </c>
      <c r="C4755">
        <v>295.72000000000003</v>
      </c>
      <c r="D4755">
        <v>283.19</v>
      </c>
      <c r="E4755">
        <v>295.49</v>
      </c>
      <c r="F4755" s="2">
        <v>206070000</v>
      </c>
    </row>
    <row r="4756" spans="1:6">
      <c r="A4756" s="32">
        <v>36738</v>
      </c>
      <c r="B4756">
        <v>290.77</v>
      </c>
      <c r="C4756">
        <v>290.77</v>
      </c>
      <c r="D4756">
        <v>282.82</v>
      </c>
      <c r="E4756">
        <v>284.67</v>
      </c>
      <c r="F4756" s="2">
        <v>135360000</v>
      </c>
    </row>
    <row r="4757" spans="1:6">
      <c r="A4757" s="32">
        <v>36735</v>
      </c>
      <c r="B4757">
        <v>294.06</v>
      </c>
      <c r="C4757">
        <v>295.45999999999998</v>
      </c>
      <c r="D4757">
        <v>291.60000000000002</v>
      </c>
      <c r="E4757">
        <v>291.60000000000002</v>
      </c>
      <c r="F4757" s="2">
        <v>105770000</v>
      </c>
    </row>
    <row r="4758" spans="1:6">
      <c r="A4758" s="32">
        <v>36734</v>
      </c>
      <c r="B4758">
        <v>288.37</v>
      </c>
      <c r="C4758">
        <v>295.97000000000003</v>
      </c>
      <c r="D4758">
        <v>286.16000000000003</v>
      </c>
      <c r="E4758">
        <v>294.22000000000003</v>
      </c>
      <c r="F4758" s="2">
        <v>147600000</v>
      </c>
    </row>
    <row r="4759" spans="1:6">
      <c r="A4759" s="32">
        <v>36733</v>
      </c>
      <c r="B4759">
        <v>295.81</v>
      </c>
      <c r="C4759">
        <v>296.25</v>
      </c>
      <c r="D4759">
        <v>290.64999999999998</v>
      </c>
      <c r="E4759">
        <v>291.43</v>
      </c>
      <c r="F4759" s="2">
        <v>107450000</v>
      </c>
    </row>
    <row r="4760" spans="1:6">
      <c r="A4760" s="32">
        <v>36732</v>
      </c>
      <c r="B4760">
        <v>290.83999999999997</v>
      </c>
      <c r="C4760">
        <v>296.60000000000002</v>
      </c>
      <c r="D4760">
        <v>288.58</v>
      </c>
      <c r="E4760">
        <v>295.58999999999997</v>
      </c>
      <c r="F4760" s="2">
        <v>178180000</v>
      </c>
    </row>
    <row r="4761" spans="1:6">
      <c r="A4761" s="32">
        <v>36731</v>
      </c>
      <c r="B4761">
        <v>304.27</v>
      </c>
      <c r="C4761">
        <v>304.27</v>
      </c>
      <c r="D4761">
        <v>292.58</v>
      </c>
      <c r="E4761">
        <v>293.13</v>
      </c>
      <c r="F4761" s="2">
        <v>242410000</v>
      </c>
    </row>
    <row r="4762" spans="1:6">
      <c r="A4762" s="32">
        <v>36728</v>
      </c>
      <c r="B4762">
        <v>308.22000000000003</v>
      </c>
      <c r="C4762">
        <v>308.61</v>
      </c>
      <c r="D4762">
        <v>303.91000000000003</v>
      </c>
      <c r="E4762">
        <v>305.66000000000003</v>
      </c>
      <c r="F4762" s="2">
        <v>138420000</v>
      </c>
    </row>
    <row r="4763" spans="1:6">
      <c r="A4763" s="32">
        <v>36727</v>
      </c>
      <c r="B4763">
        <v>314.52999999999997</v>
      </c>
      <c r="C4763">
        <v>315.10000000000002</v>
      </c>
      <c r="D4763">
        <v>307.23</v>
      </c>
      <c r="E4763">
        <v>307.85000000000002</v>
      </c>
      <c r="F4763" s="2">
        <v>144870000</v>
      </c>
    </row>
    <row r="4764" spans="1:6">
      <c r="A4764" s="32">
        <v>36726</v>
      </c>
      <c r="B4764">
        <v>313.36</v>
      </c>
      <c r="C4764">
        <v>316.56</v>
      </c>
      <c r="D4764">
        <v>312.98</v>
      </c>
      <c r="E4764">
        <v>314.54000000000002</v>
      </c>
      <c r="F4764" s="2">
        <v>80530000</v>
      </c>
    </row>
    <row r="4765" spans="1:6">
      <c r="A4765" s="32">
        <v>36725</v>
      </c>
      <c r="B4765">
        <v>314.99</v>
      </c>
      <c r="C4765">
        <v>315.04000000000002</v>
      </c>
      <c r="D4765">
        <v>312.70999999999998</v>
      </c>
      <c r="E4765">
        <v>313.39</v>
      </c>
      <c r="F4765" s="2">
        <v>78290000</v>
      </c>
    </row>
    <row r="4766" spans="1:6">
      <c r="A4766" s="32">
        <v>36721</v>
      </c>
      <c r="B4766">
        <v>320.93</v>
      </c>
      <c r="C4766">
        <v>321.02999999999997</v>
      </c>
      <c r="D4766">
        <v>314.89</v>
      </c>
      <c r="E4766">
        <v>315.58</v>
      </c>
      <c r="F4766" s="2">
        <v>121330000</v>
      </c>
    </row>
    <row r="4767" spans="1:6">
      <c r="A4767" s="32">
        <v>36720</v>
      </c>
      <c r="B4767">
        <v>324.18</v>
      </c>
      <c r="C4767">
        <v>325.02</v>
      </c>
      <c r="D4767">
        <v>320.43</v>
      </c>
      <c r="E4767">
        <v>320.45</v>
      </c>
      <c r="F4767" s="2">
        <v>116090000</v>
      </c>
    </row>
    <row r="4768" spans="1:6">
      <c r="A4768" s="32">
        <v>36719</v>
      </c>
      <c r="B4768">
        <v>325.27</v>
      </c>
      <c r="C4768">
        <v>327.58</v>
      </c>
      <c r="D4768">
        <v>323.26</v>
      </c>
      <c r="E4768">
        <v>323.93</v>
      </c>
      <c r="F4768" s="2">
        <v>103520000</v>
      </c>
    </row>
    <row r="4769" spans="1:6">
      <c r="A4769" s="32">
        <v>36718</v>
      </c>
      <c r="B4769">
        <v>326.51</v>
      </c>
      <c r="C4769">
        <v>329.51</v>
      </c>
      <c r="D4769">
        <v>323.79000000000002</v>
      </c>
      <c r="E4769">
        <v>325.72000000000003</v>
      </c>
      <c r="F4769" s="2">
        <v>132980000</v>
      </c>
    </row>
    <row r="4770" spans="1:6">
      <c r="A4770" s="32">
        <v>36717</v>
      </c>
      <c r="B4770">
        <v>325.07</v>
      </c>
      <c r="C4770">
        <v>329.55</v>
      </c>
      <c r="D4770">
        <v>325.07</v>
      </c>
      <c r="E4770">
        <v>326.62</v>
      </c>
      <c r="F4770" s="2">
        <v>205000000</v>
      </c>
    </row>
    <row r="4771" spans="1:6">
      <c r="A4771" s="32">
        <v>36714</v>
      </c>
      <c r="B4771">
        <v>318.72000000000003</v>
      </c>
      <c r="C4771">
        <v>325.25</v>
      </c>
      <c r="D4771">
        <v>318.72000000000003</v>
      </c>
      <c r="E4771">
        <v>322.87</v>
      </c>
      <c r="F4771" s="2">
        <v>168090000</v>
      </c>
    </row>
    <row r="4772" spans="1:6">
      <c r="A4772" s="32">
        <v>36713</v>
      </c>
      <c r="B4772">
        <v>320.99</v>
      </c>
      <c r="C4772">
        <v>320.99</v>
      </c>
      <c r="D4772">
        <v>317.79000000000002</v>
      </c>
      <c r="E4772">
        <v>318.42</v>
      </c>
      <c r="F4772" s="2">
        <v>157600000</v>
      </c>
    </row>
    <row r="4773" spans="1:6">
      <c r="A4773" s="32">
        <v>36712</v>
      </c>
      <c r="B4773">
        <v>317.36</v>
      </c>
      <c r="C4773">
        <v>322.85000000000002</v>
      </c>
      <c r="D4773">
        <v>316.83</v>
      </c>
      <c r="E4773">
        <v>322.85000000000002</v>
      </c>
      <c r="F4773" s="2">
        <v>178850000</v>
      </c>
    </row>
    <row r="4774" spans="1:6">
      <c r="A4774" s="32">
        <v>36711</v>
      </c>
      <c r="B4774">
        <v>319.43</v>
      </c>
      <c r="C4774">
        <v>320.19</v>
      </c>
      <c r="D4774">
        <v>315.17</v>
      </c>
      <c r="E4774">
        <v>316.66000000000003</v>
      </c>
      <c r="F4774" s="2">
        <v>209140000</v>
      </c>
    </row>
    <row r="4775" spans="1:6">
      <c r="A4775" s="32">
        <v>36710</v>
      </c>
      <c r="B4775">
        <v>326.52999999999997</v>
      </c>
      <c r="C4775">
        <v>326.8</v>
      </c>
      <c r="D4775">
        <v>318.24</v>
      </c>
      <c r="E4775">
        <v>319.26</v>
      </c>
      <c r="F4775" s="2">
        <v>229760000</v>
      </c>
    </row>
    <row r="4776" spans="1:6">
      <c r="A4776" s="32">
        <v>36707</v>
      </c>
      <c r="B4776">
        <v>323.02999999999997</v>
      </c>
      <c r="C4776">
        <v>325.69</v>
      </c>
      <c r="D4776">
        <v>322.89999999999998</v>
      </c>
      <c r="E4776">
        <v>325.69</v>
      </c>
      <c r="F4776" s="2">
        <v>207470000</v>
      </c>
    </row>
    <row r="4777" spans="1:6">
      <c r="A4777" s="32">
        <v>36706</v>
      </c>
      <c r="B4777">
        <v>334.32</v>
      </c>
      <c r="C4777">
        <v>334.32</v>
      </c>
      <c r="D4777">
        <v>323.11</v>
      </c>
      <c r="E4777">
        <v>323.35000000000002</v>
      </c>
      <c r="F4777" s="2">
        <v>228470000</v>
      </c>
    </row>
    <row r="4778" spans="1:6">
      <c r="A4778" s="32">
        <v>36705</v>
      </c>
      <c r="B4778">
        <v>334.5</v>
      </c>
      <c r="C4778">
        <v>336.61</v>
      </c>
      <c r="D4778">
        <v>333.27</v>
      </c>
      <c r="E4778">
        <v>334.48</v>
      </c>
      <c r="F4778" s="2">
        <v>78760000</v>
      </c>
    </row>
    <row r="4779" spans="1:6">
      <c r="A4779" s="32">
        <v>36704</v>
      </c>
      <c r="B4779">
        <v>332.31</v>
      </c>
      <c r="C4779">
        <v>334.66</v>
      </c>
      <c r="D4779">
        <v>332.31</v>
      </c>
      <c r="E4779">
        <v>334.18</v>
      </c>
      <c r="F4779" s="2">
        <v>92330000</v>
      </c>
    </row>
    <row r="4780" spans="1:6">
      <c r="A4780" s="32">
        <v>36703</v>
      </c>
      <c r="B4780">
        <v>333.56</v>
      </c>
      <c r="C4780">
        <v>333.69</v>
      </c>
      <c r="D4780">
        <v>329.32</v>
      </c>
      <c r="E4780">
        <v>330.73</v>
      </c>
      <c r="F4780" s="2">
        <v>91780000</v>
      </c>
    </row>
    <row r="4781" spans="1:6">
      <c r="A4781" s="32">
        <v>36700</v>
      </c>
      <c r="B4781">
        <v>333.48</v>
      </c>
      <c r="C4781">
        <v>334.81</v>
      </c>
      <c r="D4781">
        <v>329.06</v>
      </c>
      <c r="E4781">
        <v>333.31</v>
      </c>
      <c r="F4781" s="2">
        <v>161450000</v>
      </c>
    </row>
    <row r="4782" spans="1:6">
      <c r="A4782" s="32">
        <v>36699</v>
      </c>
      <c r="B4782">
        <v>345.09</v>
      </c>
      <c r="C4782">
        <v>345.7</v>
      </c>
      <c r="D4782">
        <v>334.03</v>
      </c>
      <c r="E4782">
        <v>334.03</v>
      </c>
      <c r="F4782" s="2">
        <v>309420000</v>
      </c>
    </row>
    <row r="4783" spans="1:6">
      <c r="A4783" s="32">
        <v>36698</v>
      </c>
      <c r="B4783">
        <v>339.81</v>
      </c>
      <c r="C4783">
        <v>339.81</v>
      </c>
      <c r="D4783">
        <v>337.66</v>
      </c>
      <c r="E4783">
        <v>338.12</v>
      </c>
      <c r="F4783" s="2">
        <v>94220000</v>
      </c>
    </row>
    <row r="4784" spans="1:6">
      <c r="A4784" s="32">
        <v>36697</v>
      </c>
      <c r="B4784">
        <v>342.53</v>
      </c>
      <c r="C4784">
        <v>344.56</v>
      </c>
      <c r="D4784">
        <v>338.67</v>
      </c>
      <c r="E4784">
        <v>339.77</v>
      </c>
      <c r="F4784" s="2">
        <v>114110000</v>
      </c>
    </row>
    <row r="4785" spans="1:6">
      <c r="A4785" s="32">
        <v>36696</v>
      </c>
      <c r="B4785">
        <v>343.01</v>
      </c>
      <c r="C4785">
        <v>343.31</v>
      </c>
      <c r="D4785">
        <v>339.83</v>
      </c>
      <c r="E4785">
        <v>340.66</v>
      </c>
      <c r="F4785" s="2">
        <v>126550000</v>
      </c>
    </row>
    <row r="4786" spans="1:6">
      <c r="A4786" s="32">
        <v>36693</v>
      </c>
      <c r="B4786">
        <v>347.01</v>
      </c>
      <c r="C4786">
        <v>348.74</v>
      </c>
      <c r="D4786">
        <v>344.49</v>
      </c>
      <c r="E4786">
        <v>344.49</v>
      </c>
      <c r="F4786" s="2">
        <v>151900000</v>
      </c>
    </row>
    <row r="4787" spans="1:6">
      <c r="A4787" s="32">
        <v>36692</v>
      </c>
      <c r="B4787">
        <v>345.11</v>
      </c>
      <c r="C4787">
        <v>349.27</v>
      </c>
      <c r="D4787">
        <v>341.74</v>
      </c>
      <c r="E4787">
        <v>345.29</v>
      </c>
      <c r="F4787" s="2">
        <v>391470000</v>
      </c>
    </row>
    <row r="4788" spans="1:6">
      <c r="A4788" s="32">
        <v>36691</v>
      </c>
      <c r="B4788">
        <v>335.69</v>
      </c>
      <c r="C4788">
        <v>345.43</v>
      </c>
      <c r="D4788">
        <v>335.39</v>
      </c>
      <c r="E4788">
        <v>345.43</v>
      </c>
      <c r="F4788" s="2">
        <v>153030000</v>
      </c>
    </row>
    <row r="4789" spans="1:6">
      <c r="A4789" s="32">
        <v>36690</v>
      </c>
      <c r="B4789">
        <v>338.38</v>
      </c>
      <c r="C4789">
        <v>338.38</v>
      </c>
      <c r="D4789">
        <v>334.08</v>
      </c>
      <c r="E4789">
        <v>334.99</v>
      </c>
      <c r="F4789" s="2">
        <v>114780000</v>
      </c>
    </row>
    <row r="4790" spans="1:6">
      <c r="A4790" s="32">
        <v>36689</v>
      </c>
      <c r="B4790">
        <v>341.66</v>
      </c>
      <c r="C4790">
        <v>343.72</v>
      </c>
      <c r="D4790">
        <v>338.34</v>
      </c>
      <c r="E4790">
        <v>340.7</v>
      </c>
      <c r="F4790" s="2">
        <v>129740000</v>
      </c>
    </row>
    <row r="4791" spans="1:6">
      <c r="A4791" s="32">
        <v>36686</v>
      </c>
      <c r="B4791">
        <v>344.03</v>
      </c>
      <c r="C4791">
        <v>346.72</v>
      </c>
      <c r="D4791">
        <v>340.5</v>
      </c>
      <c r="E4791">
        <v>341.35</v>
      </c>
      <c r="F4791" s="2">
        <v>206630000</v>
      </c>
    </row>
    <row r="4792" spans="1:6">
      <c r="A4792" s="32">
        <v>36685</v>
      </c>
      <c r="B4792">
        <v>343.9</v>
      </c>
      <c r="C4792">
        <v>346.85</v>
      </c>
      <c r="D4792">
        <v>339.9</v>
      </c>
      <c r="E4792">
        <v>344.58</v>
      </c>
      <c r="F4792" s="2">
        <v>207750000</v>
      </c>
    </row>
    <row r="4793" spans="1:6">
      <c r="A4793" s="32">
        <v>36684</v>
      </c>
      <c r="B4793">
        <v>343.83</v>
      </c>
      <c r="C4793">
        <v>349.06</v>
      </c>
      <c r="D4793">
        <v>340.83</v>
      </c>
      <c r="E4793">
        <v>340.83</v>
      </c>
      <c r="F4793" s="2">
        <v>302240000</v>
      </c>
    </row>
    <row r="4794" spans="1:6">
      <c r="A4794" s="32">
        <v>36683</v>
      </c>
      <c r="B4794">
        <v>351.97</v>
      </c>
      <c r="C4794">
        <v>351.97</v>
      </c>
      <c r="D4794">
        <v>344.23</v>
      </c>
      <c r="E4794">
        <v>345.43</v>
      </c>
      <c r="F4794" s="2">
        <v>268520000</v>
      </c>
    </row>
    <row r="4795" spans="1:6">
      <c r="A4795" s="32">
        <v>36682</v>
      </c>
      <c r="B4795">
        <v>343.31</v>
      </c>
      <c r="C4795">
        <v>354.08</v>
      </c>
      <c r="D4795">
        <v>343.31</v>
      </c>
      <c r="E4795">
        <v>352.6</v>
      </c>
      <c r="F4795" s="2">
        <v>517280000</v>
      </c>
    </row>
    <row r="4796" spans="1:6">
      <c r="A4796" s="32">
        <v>36679</v>
      </c>
      <c r="B4796">
        <v>335.5</v>
      </c>
      <c r="C4796">
        <v>342.89</v>
      </c>
      <c r="D4796">
        <v>335.44</v>
      </c>
      <c r="E4796">
        <v>339.28</v>
      </c>
      <c r="F4796" s="2">
        <v>696390000</v>
      </c>
    </row>
    <row r="4797" spans="1:6">
      <c r="A4797" s="32">
        <v>36678</v>
      </c>
      <c r="B4797">
        <v>324.83</v>
      </c>
      <c r="C4797">
        <v>331.75</v>
      </c>
      <c r="D4797">
        <v>321.83999999999997</v>
      </c>
      <c r="E4797">
        <v>327.60000000000002</v>
      </c>
      <c r="F4797" s="2">
        <v>295250000</v>
      </c>
    </row>
    <row r="4798" spans="1:6">
      <c r="A4798" s="32">
        <v>36677</v>
      </c>
      <c r="B4798">
        <v>310.62</v>
      </c>
      <c r="C4798">
        <v>328.36</v>
      </c>
      <c r="D4798">
        <v>310.62</v>
      </c>
      <c r="E4798">
        <v>323.29000000000002</v>
      </c>
      <c r="F4798" s="2">
        <v>427490000</v>
      </c>
    </row>
    <row r="4799" spans="1:6">
      <c r="A4799" s="32">
        <v>36676</v>
      </c>
      <c r="B4799">
        <v>309.19</v>
      </c>
      <c r="C4799">
        <v>313.47000000000003</v>
      </c>
      <c r="D4799">
        <v>307.52</v>
      </c>
      <c r="E4799">
        <v>307.82</v>
      </c>
      <c r="F4799" s="2">
        <v>124940000</v>
      </c>
    </row>
    <row r="4800" spans="1:6">
      <c r="A4800" s="32">
        <v>36675</v>
      </c>
      <c r="B4800">
        <v>313.85000000000002</v>
      </c>
      <c r="C4800">
        <v>317.38</v>
      </c>
      <c r="D4800">
        <v>308.45</v>
      </c>
      <c r="E4800">
        <v>308.45</v>
      </c>
      <c r="F4800" s="2">
        <v>217790000</v>
      </c>
    </row>
    <row r="4801" spans="1:6">
      <c r="A4801" s="32">
        <v>36672</v>
      </c>
      <c r="B4801">
        <v>303.04000000000002</v>
      </c>
      <c r="C4801">
        <v>313.29000000000002</v>
      </c>
      <c r="D4801">
        <v>297.41000000000003</v>
      </c>
      <c r="E4801">
        <v>313.08</v>
      </c>
      <c r="F4801" s="2">
        <v>522060000</v>
      </c>
    </row>
    <row r="4802" spans="1:6">
      <c r="A4802" s="32">
        <v>36671</v>
      </c>
      <c r="B4802">
        <v>324.18</v>
      </c>
      <c r="C4802">
        <v>325.81</v>
      </c>
      <c r="D4802">
        <v>307.23</v>
      </c>
      <c r="E4802">
        <v>307.23</v>
      </c>
      <c r="F4802" s="2">
        <v>281340000</v>
      </c>
    </row>
    <row r="4803" spans="1:6">
      <c r="A4803" s="32">
        <v>36670</v>
      </c>
      <c r="B4803">
        <v>323.64</v>
      </c>
      <c r="C4803">
        <v>323.64</v>
      </c>
      <c r="D4803">
        <v>315.77999999999997</v>
      </c>
      <c r="E4803">
        <v>319.68</v>
      </c>
      <c r="F4803" s="2">
        <v>144830000</v>
      </c>
    </row>
    <row r="4804" spans="1:6">
      <c r="A4804" s="32">
        <v>36669</v>
      </c>
      <c r="B4804">
        <v>333.07</v>
      </c>
      <c r="C4804">
        <v>333.07</v>
      </c>
      <c r="D4804">
        <v>325.56</v>
      </c>
      <c r="E4804">
        <v>325.99</v>
      </c>
      <c r="F4804" s="2">
        <v>164660000</v>
      </c>
    </row>
    <row r="4805" spans="1:6">
      <c r="A4805" s="32">
        <v>36668</v>
      </c>
      <c r="B4805">
        <v>340.2</v>
      </c>
      <c r="C4805">
        <v>340.2</v>
      </c>
      <c r="D4805">
        <v>331.6</v>
      </c>
      <c r="E4805">
        <v>333.36</v>
      </c>
      <c r="F4805" s="2">
        <v>150340000</v>
      </c>
    </row>
    <row r="4806" spans="1:6">
      <c r="A4806" s="32">
        <v>36665</v>
      </c>
      <c r="B4806">
        <v>343.88</v>
      </c>
      <c r="C4806">
        <v>347.44</v>
      </c>
      <c r="D4806">
        <v>339.67</v>
      </c>
      <c r="E4806">
        <v>343.4</v>
      </c>
      <c r="F4806" s="2">
        <v>168970000</v>
      </c>
    </row>
    <row r="4807" spans="1:6">
      <c r="A4807" s="32">
        <v>36664</v>
      </c>
      <c r="B4807">
        <v>345.92</v>
      </c>
      <c r="C4807">
        <v>346.51</v>
      </c>
      <c r="D4807">
        <v>340.46</v>
      </c>
      <c r="E4807">
        <v>343.39</v>
      </c>
      <c r="F4807" s="2">
        <v>218910000</v>
      </c>
    </row>
    <row r="4808" spans="1:6">
      <c r="A4808" s="32">
        <v>36662</v>
      </c>
      <c r="B4808">
        <v>341.63</v>
      </c>
      <c r="C4808">
        <v>350.22</v>
      </c>
      <c r="D4808">
        <v>341.63</v>
      </c>
      <c r="E4808">
        <v>350.22</v>
      </c>
      <c r="F4808" s="2">
        <v>150040000</v>
      </c>
    </row>
    <row r="4809" spans="1:6">
      <c r="A4809" s="32">
        <v>36661</v>
      </c>
      <c r="B4809">
        <v>347.37</v>
      </c>
      <c r="C4809">
        <v>348.01</v>
      </c>
      <c r="D4809">
        <v>338.77</v>
      </c>
      <c r="E4809">
        <v>339.37</v>
      </c>
      <c r="F4809" s="2">
        <v>142300000</v>
      </c>
    </row>
    <row r="4810" spans="1:6">
      <c r="A4810" s="32">
        <v>36658</v>
      </c>
      <c r="B4810">
        <v>340.71</v>
      </c>
      <c r="C4810">
        <v>345.67</v>
      </c>
      <c r="D4810">
        <v>336.92</v>
      </c>
      <c r="E4810">
        <v>345.67</v>
      </c>
      <c r="F4810" s="2">
        <v>199910000</v>
      </c>
    </row>
    <row r="4811" spans="1:6">
      <c r="A4811" s="32">
        <v>36657</v>
      </c>
      <c r="B4811">
        <v>339.88</v>
      </c>
      <c r="C4811">
        <v>342.05</v>
      </c>
      <c r="D4811">
        <v>333.37</v>
      </c>
      <c r="E4811">
        <v>336.54</v>
      </c>
      <c r="F4811" s="2">
        <v>183900000</v>
      </c>
    </row>
    <row r="4812" spans="1:6">
      <c r="A4812" s="32">
        <v>36656</v>
      </c>
      <c r="B4812">
        <v>355.41</v>
      </c>
      <c r="C4812">
        <v>355.41</v>
      </c>
      <c r="D4812">
        <v>341.85</v>
      </c>
      <c r="E4812">
        <v>343.53</v>
      </c>
      <c r="F4812" s="2">
        <v>238750000</v>
      </c>
    </row>
    <row r="4813" spans="1:6">
      <c r="A4813" s="32">
        <v>36655</v>
      </c>
      <c r="B4813">
        <v>365.55</v>
      </c>
      <c r="C4813">
        <v>365.55</v>
      </c>
      <c r="D4813">
        <v>357.77</v>
      </c>
      <c r="E4813">
        <v>357.77</v>
      </c>
      <c r="F4813" s="2">
        <v>157310000</v>
      </c>
    </row>
    <row r="4814" spans="1:6">
      <c r="A4814" s="32">
        <v>36654</v>
      </c>
      <c r="B4814">
        <v>379.93</v>
      </c>
      <c r="C4814">
        <v>379.93</v>
      </c>
      <c r="D4814">
        <v>366.17</v>
      </c>
      <c r="E4814">
        <v>366.17</v>
      </c>
      <c r="F4814" s="2">
        <v>162630000</v>
      </c>
    </row>
    <row r="4815" spans="1:6">
      <c r="A4815" s="32">
        <v>36650</v>
      </c>
      <c r="B4815">
        <v>378.49</v>
      </c>
      <c r="C4815">
        <v>381.24</v>
      </c>
      <c r="D4815">
        <v>376.79</v>
      </c>
      <c r="E4815">
        <v>379.97</v>
      </c>
      <c r="F4815" s="2">
        <v>143860000</v>
      </c>
    </row>
    <row r="4816" spans="1:6">
      <c r="A4816" s="32">
        <v>36649</v>
      </c>
      <c r="B4816">
        <v>385.24</v>
      </c>
      <c r="C4816">
        <v>385.24</v>
      </c>
      <c r="D4816">
        <v>378.09</v>
      </c>
      <c r="E4816">
        <v>379.8</v>
      </c>
      <c r="F4816" s="2">
        <v>169420000</v>
      </c>
    </row>
    <row r="4817" spans="1:6">
      <c r="A4817" s="32">
        <v>36648</v>
      </c>
      <c r="B4817">
        <v>390.77</v>
      </c>
      <c r="C4817">
        <v>391.25</v>
      </c>
      <c r="D4817">
        <v>385.44</v>
      </c>
      <c r="E4817">
        <v>385.44</v>
      </c>
      <c r="F4817" s="2">
        <v>85210000</v>
      </c>
    </row>
    <row r="4818" spans="1:6">
      <c r="A4818" s="32">
        <v>36644</v>
      </c>
      <c r="B4818">
        <v>393.74</v>
      </c>
      <c r="C4818">
        <v>394.69</v>
      </c>
      <c r="D4818">
        <v>389.58</v>
      </c>
      <c r="E4818">
        <v>390.4</v>
      </c>
      <c r="F4818" s="2">
        <v>127400000</v>
      </c>
    </row>
    <row r="4819" spans="1:6">
      <c r="A4819" s="32">
        <v>36643</v>
      </c>
      <c r="B4819">
        <v>394.69</v>
      </c>
      <c r="C4819">
        <v>397.9</v>
      </c>
      <c r="D4819">
        <v>393.36</v>
      </c>
      <c r="E4819">
        <v>393.36</v>
      </c>
      <c r="F4819" s="2">
        <v>104220000</v>
      </c>
    </row>
    <row r="4820" spans="1:6">
      <c r="A4820" s="32">
        <v>36642</v>
      </c>
      <c r="B4820">
        <v>398.09</v>
      </c>
      <c r="C4820">
        <v>398.83</v>
      </c>
      <c r="D4820">
        <v>394.56</v>
      </c>
      <c r="E4820">
        <v>394.56</v>
      </c>
      <c r="F4820" s="2">
        <v>145770000</v>
      </c>
    </row>
    <row r="4821" spans="1:6">
      <c r="A4821" s="32">
        <v>36641</v>
      </c>
      <c r="B4821">
        <v>395.43</v>
      </c>
      <c r="C4821">
        <v>397.7</v>
      </c>
      <c r="D4821">
        <v>394.54</v>
      </c>
      <c r="E4821">
        <v>396.48</v>
      </c>
      <c r="F4821" s="2">
        <v>171940000</v>
      </c>
    </row>
    <row r="4822" spans="1:6">
      <c r="A4822" s="32">
        <v>36640</v>
      </c>
      <c r="B4822">
        <v>395.42</v>
      </c>
      <c r="C4822">
        <v>397.23</v>
      </c>
      <c r="D4822">
        <v>393.22</v>
      </c>
      <c r="E4822">
        <v>395</v>
      </c>
      <c r="F4822" s="2">
        <v>144980000</v>
      </c>
    </row>
    <row r="4823" spans="1:6">
      <c r="A4823" s="32">
        <v>36637</v>
      </c>
      <c r="B4823">
        <v>390.93</v>
      </c>
      <c r="C4823">
        <v>395.06</v>
      </c>
      <c r="D4823">
        <v>390.93</v>
      </c>
      <c r="E4823">
        <v>395.06</v>
      </c>
      <c r="F4823" s="2">
        <v>197790000</v>
      </c>
    </row>
    <row r="4824" spans="1:6">
      <c r="A4824" s="32">
        <v>36636</v>
      </c>
      <c r="B4824">
        <v>392.57</v>
      </c>
      <c r="C4824">
        <v>394.35</v>
      </c>
      <c r="D4824">
        <v>389.18</v>
      </c>
      <c r="E4824">
        <v>389.48</v>
      </c>
      <c r="F4824" s="2">
        <v>232020000</v>
      </c>
    </row>
    <row r="4825" spans="1:6">
      <c r="A4825" s="32">
        <v>36635</v>
      </c>
      <c r="B4825">
        <v>388.88</v>
      </c>
      <c r="C4825">
        <v>391.97</v>
      </c>
      <c r="D4825">
        <v>388.61</v>
      </c>
      <c r="E4825">
        <v>391.22</v>
      </c>
      <c r="F4825" s="2">
        <v>207210000</v>
      </c>
    </row>
    <row r="4826" spans="1:6">
      <c r="A4826" s="32">
        <v>36634</v>
      </c>
      <c r="B4826">
        <v>399.31</v>
      </c>
      <c r="C4826">
        <v>402.48</v>
      </c>
      <c r="D4826">
        <v>385.25</v>
      </c>
      <c r="E4826">
        <v>385.25</v>
      </c>
      <c r="F4826" s="2">
        <v>370360000</v>
      </c>
    </row>
    <row r="4827" spans="1:6">
      <c r="A4827" s="32">
        <v>36633</v>
      </c>
      <c r="B4827">
        <v>388.3</v>
      </c>
      <c r="C4827">
        <v>393.32</v>
      </c>
      <c r="D4827">
        <v>387.6</v>
      </c>
      <c r="E4827">
        <v>392.88</v>
      </c>
      <c r="F4827" s="2">
        <v>412270000</v>
      </c>
    </row>
    <row r="4828" spans="1:6">
      <c r="A4828" s="32">
        <v>36628</v>
      </c>
      <c r="B4828">
        <v>402.71</v>
      </c>
      <c r="C4828">
        <v>415.6</v>
      </c>
      <c r="D4828">
        <v>402.71</v>
      </c>
      <c r="E4828">
        <v>414.45</v>
      </c>
      <c r="F4828" s="2">
        <v>404710000</v>
      </c>
    </row>
    <row r="4829" spans="1:6">
      <c r="A4829" s="32">
        <v>36627</v>
      </c>
      <c r="B4829">
        <v>401.02</v>
      </c>
      <c r="C4829">
        <v>402.79</v>
      </c>
      <c r="D4829">
        <v>398.92</v>
      </c>
      <c r="E4829">
        <v>400.74</v>
      </c>
      <c r="F4829" s="2">
        <v>180990000</v>
      </c>
    </row>
    <row r="4830" spans="1:6">
      <c r="A4830" s="32">
        <v>36626</v>
      </c>
      <c r="B4830">
        <v>403.95</v>
      </c>
      <c r="C4830">
        <v>407.37</v>
      </c>
      <c r="D4830">
        <v>403.15</v>
      </c>
      <c r="E4830">
        <v>403.32</v>
      </c>
      <c r="F4830" s="2">
        <v>179500000</v>
      </c>
    </row>
    <row r="4831" spans="1:6">
      <c r="A4831" s="32">
        <v>36623</v>
      </c>
      <c r="B4831">
        <v>398.49</v>
      </c>
      <c r="C4831">
        <v>403.74</v>
      </c>
      <c r="D4831">
        <v>398.46</v>
      </c>
      <c r="E4831">
        <v>403.45</v>
      </c>
      <c r="F4831" s="2">
        <v>220700000</v>
      </c>
    </row>
    <row r="4832" spans="1:6">
      <c r="A4832" s="32">
        <v>36621</v>
      </c>
      <c r="B4832">
        <v>392.96</v>
      </c>
      <c r="C4832">
        <v>395.33</v>
      </c>
      <c r="D4832">
        <v>390.85</v>
      </c>
      <c r="E4832">
        <v>395.33</v>
      </c>
      <c r="F4832" s="2">
        <v>200170000</v>
      </c>
    </row>
    <row r="4833" spans="1:6">
      <c r="A4833" s="32">
        <v>36620</v>
      </c>
      <c r="B4833">
        <v>397.98</v>
      </c>
      <c r="C4833">
        <v>397.98</v>
      </c>
      <c r="D4833">
        <v>391.16</v>
      </c>
      <c r="E4833">
        <v>392.7</v>
      </c>
      <c r="F4833" s="2">
        <v>173050000</v>
      </c>
    </row>
    <row r="4834" spans="1:6">
      <c r="A4834" s="32">
        <v>36619</v>
      </c>
      <c r="B4834">
        <v>397.89</v>
      </c>
      <c r="C4834">
        <v>401.4</v>
      </c>
      <c r="D4834">
        <v>397.83</v>
      </c>
      <c r="E4834">
        <v>399.74</v>
      </c>
      <c r="F4834" s="2">
        <v>100520000</v>
      </c>
    </row>
    <row r="4835" spans="1:6">
      <c r="A4835" s="32">
        <v>36616</v>
      </c>
      <c r="B4835">
        <v>397.12</v>
      </c>
      <c r="C4835">
        <v>401.01</v>
      </c>
      <c r="D4835">
        <v>396.67</v>
      </c>
      <c r="E4835">
        <v>400.32</v>
      </c>
      <c r="F4835" s="2">
        <v>170540000</v>
      </c>
    </row>
    <row r="4836" spans="1:6">
      <c r="A4836" s="32">
        <v>36615</v>
      </c>
      <c r="B4836">
        <v>410.96</v>
      </c>
      <c r="C4836">
        <v>412.57</v>
      </c>
      <c r="D4836">
        <v>396.98</v>
      </c>
      <c r="E4836">
        <v>399.59</v>
      </c>
      <c r="F4836" s="2">
        <v>297650000</v>
      </c>
    </row>
    <row r="4837" spans="1:6">
      <c r="A4837" s="32">
        <v>36614</v>
      </c>
      <c r="B4837">
        <v>416.56</v>
      </c>
      <c r="C4837">
        <v>416.92</v>
      </c>
      <c r="D4837">
        <v>409.62</v>
      </c>
      <c r="E4837">
        <v>410.69</v>
      </c>
      <c r="F4837" s="2">
        <v>365670000</v>
      </c>
    </row>
    <row r="4838" spans="1:6">
      <c r="A4838" s="32">
        <v>36613</v>
      </c>
      <c r="B4838">
        <v>409.78</v>
      </c>
      <c r="C4838">
        <v>416.34</v>
      </c>
      <c r="D4838">
        <v>409.78</v>
      </c>
      <c r="E4838">
        <v>412.44</v>
      </c>
      <c r="F4838" s="2">
        <v>312230000</v>
      </c>
    </row>
    <row r="4839" spans="1:6">
      <c r="A4839" s="32">
        <v>36612</v>
      </c>
      <c r="B4839">
        <v>406.85</v>
      </c>
      <c r="C4839">
        <v>412.34</v>
      </c>
      <c r="D4839">
        <v>406.57</v>
      </c>
      <c r="E4839">
        <v>408.24</v>
      </c>
      <c r="F4839" s="2">
        <v>305320000</v>
      </c>
    </row>
    <row r="4840" spans="1:6">
      <c r="A4840" s="32">
        <v>36609</v>
      </c>
      <c r="B4840">
        <v>402.29</v>
      </c>
      <c r="C4840">
        <v>409.61</v>
      </c>
      <c r="D4840">
        <v>401.32</v>
      </c>
      <c r="E4840">
        <v>404.16</v>
      </c>
      <c r="F4840" s="2">
        <v>519580000</v>
      </c>
    </row>
    <row r="4841" spans="1:6">
      <c r="A4841" s="32">
        <v>36608</v>
      </c>
      <c r="B4841">
        <v>396.75</v>
      </c>
      <c r="C4841">
        <v>401.5</v>
      </c>
      <c r="D4841">
        <v>396.33</v>
      </c>
      <c r="E4841">
        <v>399.03</v>
      </c>
      <c r="F4841" s="2">
        <v>264590000</v>
      </c>
    </row>
    <row r="4842" spans="1:6">
      <c r="A4842" s="32">
        <v>36607</v>
      </c>
      <c r="B4842">
        <v>401.5</v>
      </c>
      <c r="C4842">
        <v>402.19</v>
      </c>
      <c r="D4842">
        <v>391.94</v>
      </c>
      <c r="E4842">
        <v>395.15</v>
      </c>
      <c r="F4842" s="2">
        <v>259660000</v>
      </c>
    </row>
    <row r="4843" spans="1:6">
      <c r="A4843" s="32">
        <v>36606</v>
      </c>
      <c r="B4843">
        <v>401.74</v>
      </c>
      <c r="C4843">
        <v>404.73</v>
      </c>
      <c r="D4843">
        <v>397.07</v>
      </c>
      <c r="E4843">
        <v>398.26</v>
      </c>
      <c r="F4843" s="2">
        <v>277030000</v>
      </c>
    </row>
    <row r="4844" spans="1:6">
      <c r="A4844" s="32">
        <v>36605</v>
      </c>
      <c r="B4844">
        <v>401.15</v>
      </c>
      <c r="C4844">
        <v>402.89</v>
      </c>
      <c r="D4844">
        <v>398.2</v>
      </c>
      <c r="E4844">
        <v>400.99</v>
      </c>
      <c r="F4844" s="2">
        <v>224630000</v>
      </c>
    </row>
    <row r="4845" spans="1:6">
      <c r="A4845" s="32">
        <v>36602</v>
      </c>
      <c r="B4845">
        <v>407.56</v>
      </c>
      <c r="C4845">
        <v>407.78</v>
      </c>
      <c r="D4845">
        <v>399.74</v>
      </c>
      <c r="E4845">
        <v>399.74</v>
      </c>
      <c r="F4845" s="2">
        <v>381720000</v>
      </c>
    </row>
    <row r="4846" spans="1:6">
      <c r="A4846" s="32">
        <v>36601</v>
      </c>
      <c r="B4846">
        <v>391.77</v>
      </c>
      <c r="C4846">
        <v>396.44</v>
      </c>
      <c r="D4846">
        <v>389.42</v>
      </c>
      <c r="E4846">
        <v>395.83</v>
      </c>
      <c r="F4846" s="2">
        <v>229650000</v>
      </c>
    </row>
    <row r="4847" spans="1:6">
      <c r="A4847" s="32">
        <v>36600</v>
      </c>
      <c r="B4847">
        <v>399.92</v>
      </c>
      <c r="C4847">
        <v>402.48</v>
      </c>
      <c r="D4847">
        <v>386.2</v>
      </c>
      <c r="E4847">
        <v>386.2</v>
      </c>
      <c r="F4847" s="2">
        <v>330520000</v>
      </c>
    </row>
    <row r="4848" spans="1:6">
      <c r="A4848" s="32">
        <v>36599</v>
      </c>
      <c r="B4848">
        <v>390.53</v>
      </c>
      <c r="C4848">
        <v>401.28</v>
      </c>
      <c r="D4848">
        <v>389.78</v>
      </c>
      <c r="E4848">
        <v>400.37</v>
      </c>
      <c r="F4848" s="2">
        <v>255270000</v>
      </c>
    </row>
    <row r="4849" spans="1:6">
      <c r="A4849" s="32">
        <v>36598</v>
      </c>
      <c r="B4849">
        <v>402.22</v>
      </c>
      <c r="C4849">
        <v>402.22</v>
      </c>
      <c r="D4849">
        <v>388.11</v>
      </c>
      <c r="E4849">
        <v>390.15</v>
      </c>
      <c r="F4849" s="2">
        <v>236990000</v>
      </c>
    </row>
    <row r="4850" spans="1:6">
      <c r="A4850" s="32">
        <v>36595</v>
      </c>
      <c r="B4850">
        <v>400.26</v>
      </c>
      <c r="C4850">
        <v>403.76</v>
      </c>
      <c r="D4850">
        <v>397.73</v>
      </c>
      <c r="E4850">
        <v>402.4</v>
      </c>
      <c r="F4850" s="2">
        <v>396600000</v>
      </c>
    </row>
    <row r="4851" spans="1:6">
      <c r="A4851" s="32">
        <v>36594</v>
      </c>
      <c r="B4851">
        <v>390.18</v>
      </c>
      <c r="C4851">
        <v>397.44</v>
      </c>
      <c r="D4851">
        <v>390.18</v>
      </c>
      <c r="E4851">
        <v>393.23</v>
      </c>
      <c r="F4851" s="2">
        <v>365260000</v>
      </c>
    </row>
    <row r="4852" spans="1:6">
      <c r="A4852" s="32">
        <v>36593</v>
      </c>
      <c r="B4852">
        <v>373.44</v>
      </c>
      <c r="C4852">
        <v>386.46</v>
      </c>
      <c r="D4852">
        <v>372.73</v>
      </c>
      <c r="E4852">
        <v>385.56</v>
      </c>
      <c r="F4852" s="2">
        <v>253680000</v>
      </c>
    </row>
    <row r="4853" spans="1:6">
      <c r="A4853" s="32">
        <v>36592</v>
      </c>
      <c r="B4853">
        <v>378.56</v>
      </c>
      <c r="C4853">
        <v>382.83</v>
      </c>
      <c r="D4853">
        <v>375.95</v>
      </c>
      <c r="E4853">
        <v>380.35</v>
      </c>
      <c r="F4853" s="2">
        <v>255200000</v>
      </c>
    </row>
    <row r="4854" spans="1:6">
      <c r="A4854" s="32">
        <v>36591</v>
      </c>
      <c r="B4854">
        <v>382.51</v>
      </c>
      <c r="C4854">
        <v>385.35</v>
      </c>
      <c r="D4854">
        <v>377.87</v>
      </c>
      <c r="E4854">
        <v>379.27</v>
      </c>
      <c r="F4854" s="2">
        <v>259210000</v>
      </c>
    </row>
    <row r="4855" spans="1:6">
      <c r="A4855" s="32">
        <v>36588</v>
      </c>
      <c r="B4855">
        <v>395.48</v>
      </c>
      <c r="C4855">
        <v>397.93</v>
      </c>
      <c r="D4855">
        <v>383.13</v>
      </c>
      <c r="E4855">
        <v>383.13</v>
      </c>
      <c r="F4855" s="2">
        <v>403240000</v>
      </c>
    </row>
    <row r="4856" spans="1:6">
      <c r="A4856" s="32">
        <v>36587</v>
      </c>
      <c r="B4856">
        <v>374.73</v>
      </c>
      <c r="C4856">
        <v>391.66</v>
      </c>
      <c r="D4856">
        <v>374.02</v>
      </c>
      <c r="E4856">
        <v>391.39</v>
      </c>
      <c r="F4856" s="2">
        <v>392090000</v>
      </c>
    </row>
    <row r="4857" spans="1:6">
      <c r="A4857" s="32">
        <v>36586</v>
      </c>
      <c r="B4857">
        <v>376.89</v>
      </c>
      <c r="C4857">
        <v>380.02</v>
      </c>
      <c r="D4857">
        <v>368.08</v>
      </c>
      <c r="E4857">
        <v>371.56</v>
      </c>
      <c r="F4857" s="2">
        <v>266340000</v>
      </c>
    </row>
    <row r="4858" spans="1:6">
      <c r="A4858" s="32">
        <v>36585</v>
      </c>
      <c r="B4858">
        <v>392.21</v>
      </c>
      <c r="C4858">
        <v>394.79</v>
      </c>
      <c r="D4858">
        <v>374.32</v>
      </c>
      <c r="E4858">
        <v>374.32</v>
      </c>
      <c r="F4858" s="2">
        <v>250450000</v>
      </c>
    </row>
    <row r="4859" spans="1:6">
      <c r="A4859" s="32">
        <v>36584</v>
      </c>
      <c r="B4859">
        <v>403.15</v>
      </c>
      <c r="C4859">
        <v>404.19</v>
      </c>
      <c r="D4859">
        <v>388.39</v>
      </c>
      <c r="E4859">
        <v>388.39</v>
      </c>
      <c r="F4859" s="2">
        <v>209370000</v>
      </c>
    </row>
    <row r="4860" spans="1:6">
      <c r="A4860" s="32">
        <v>36581</v>
      </c>
      <c r="B4860">
        <v>395.71</v>
      </c>
      <c r="C4860">
        <v>407.17</v>
      </c>
      <c r="D4860">
        <v>394.45</v>
      </c>
      <c r="E4860">
        <v>406.66</v>
      </c>
      <c r="F4860" s="2">
        <v>293460000</v>
      </c>
    </row>
    <row r="4861" spans="1:6">
      <c r="A4861" s="32">
        <v>36580</v>
      </c>
      <c r="B4861">
        <v>392.44</v>
      </c>
      <c r="C4861">
        <v>399.61</v>
      </c>
      <c r="D4861">
        <v>391.3</v>
      </c>
      <c r="E4861">
        <v>395.1</v>
      </c>
      <c r="F4861" s="2">
        <v>217480000</v>
      </c>
    </row>
    <row r="4862" spans="1:6">
      <c r="A4862" s="32">
        <v>36579</v>
      </c>
      <c r="B4862">
        <v>379.75</v>
      </c>
      <c r="C4862">
        <v>393.42</v>
      </c>
      <c r="D4862">
        <v>375.79</v>
      </c>
      <c r="E4862">
        <v>389</v>
      </c>
      <c r="F4862" s="2">
        <v>248650000</v>
      </c>
    </row>
    <row r="4863" spans="1:6">
      <c r="A4863" s="32">
        <v>36578</v>
      </c>
      <c r="B4863">
        <v>406.02</v>
      </c>
      <c r="C4863">
        <v>406.02</v>
      </c>
      <c r="D4863">
        <v>379.43</v>
      </c>
      <c r="E4863">
        <v>379.43</v>
      </c>
      <c r="F4863" s="2">
        <v>257560000</v>
      </c>
    </row>
    <row r="4864" spans="1:6">
      <c r="A4864" s="32">
        <v>36574</v>
      </c>
      <c r="B4864">
        <v>407.01</v>
      </c>
      <c r="C4864">
        <v>412.24</v>
      </c>
      <c r="D4864">
        <v>400.68</v>
      </c>
      <c r="E4864">
        <v>408.35</v>
      </c>
      <c r="F4864" s="2">
        <v>285320000</v>
      </c>
    </row>
    <row r="4865" spans="1:6">
      <c r="A4865" s="32">
        <v>36573</v>
      </c>
      <c r="B4865">
        <v>424.28</v>
      </c>
      <c r="C4865">
        <v>426.99</v>
      </c>
      <c r="D4865">
        <v>405.79</v>
      </c>
      <c r="E4865">
        <v>405.81</v>
      </c>
      <c r="F4865" s="2">
        <v>252440000</v>
      </c>
    </row>
    <row r="4866" spans="1:6">
      <c r="A4866" s="32">
        <v>36572</v>
      </c>
      <c r="B4866">
        <v>432.71</v>
      </c>
      <c r="C4866">
        <v>433.71</v>
      </c>
      <c r="D4866">
        <v>422.48</v>
      </c>
      <c r="E4866">
        <v>422.83</v>
      </c>
      <c r="F4866" s="2">
        <v>212910000</v>
      </c>
    </row>
    <row r="4867" spans="1:6">
      <c r="A4867" s="32">
        <v>36571</v>
      </c>
      <c r="B4867">
        <v>449.33</v>
      </c>
      <c r="C4867">
        <v>450.59</v>
      </c>
      <c r="D4867">
        <v>430.97</v>
      </c>
      <c r="E4867">
        <v>430.97</v>
      </c>
      <c r="F4867" s="2">
        <v>268500000</v>
      </c>
    </row>
    <row r="4868" spans="1:6">
      <c r="A4868" s="32">
        <v>36570</v>
      </c>
      <c r="B4868">
        <v>456.27</v>
      </c>
      <c r="C4868">
        <v>458.84</v>
      </c>
      <c r="D4868">
        <v>445.72</v>
      </c>
      <c r="E4868">
        <v>447.56</v>
      </c>
      <c r="F4868" s="2">
        <v>275540000</v>
      </c>
    </row>
    <row r="4869" spans="1:6">
      <c r="A4869" s="32">
        <v>36567</v>
      </c>
      <c r="B4869">
        <v>457.28</v>
      </c>
      <c r="C4869">
        <v>462.56</v>
      </c>
      <c r="D4869">
        <v>454.53</v>
      </c>
      <c r="E4869">
        <v>456.12</v>
      </c>
      <c r="F4869" s="2">
        <v>416130000</v>
      </c>
    </row>
    <row r="4870" spans="1:6">
      <c r="A4870" s="32">
        <v>36566</v>
      </c>
      <c r="B4870">
        <v>452.89</v>
      </c>
      <c r="C4870">
        <v>458.49</v>
      </c>
      <c r="D4870">
        <v>448.2</v>
      </c>
      <c r="E4870">
        <v>453.1</v>
      </c>
      <c r="F4870" s="2">
        <v>295980000</v>
      </c>
    </row>
    <row r="4871" spans="1:6">
      <c r="A4871" s="32">
        <v>36565</v>
      </c>
      <c r="B4871">
        <v>468.74</v>
      </c>
      <c r="C4871">
        <v>470.27</v>
      </c>
      <c r="D4871">
        <v>455.75</v>
      </c>
      <c r="E4871">
        <v>456.02</v>
      </c>
      <c r="F4871" s="2">
        <v>309190000</v>
      </c>
    </row>
    <row r="4872" spans="1:6">
      <c r="A4872" s="32">
        <v>36564</v>
      </c>
      <c r="B4872">
        <v>472.66</v>
      </c>
      <c r="C4872">
        <v>474.22</v>
      </c>
      <c r="D4872">
        <v>465.83</v>
      </c>
      <c r="E4872">
        <v>465.94</v>
      </c>
      <c r="F4872" s="2">
        <v>213640000</v>
      </c>
    </row>
    <row r="4873" spans="1:6">
      <c r="A4873" s="32">
        <v>36563</v>
      </c>
      <c r="B4873">
        <v>470.54</v>
      </c>
      <c r="C4873">
        <v>474.79</v>
      </c>
      <c r="D4873">
        <v>470.47</v>
      </c>
      <c r="E4873">
        <v>471.97</v>
      </c>
      <c r="F4873" s="2">
        <v>120650000</v>
      </c>
    </row>
    <row r="4874" spans="1:6">
      <c r="A4874" s="32">
        <v>36560</v>
      </c>
      <c r="B4874">
        <v>467.08</v>
      </c>
      <c r="C4874">
        <v>471.63</v>
      </c>
      <c r="D4874">
        <v>462.3</v>
      </c>
      <c r="E4874">
        <v>470.34</v>
      </c>
      <c r="F4874" s="2">
        <v>96490000</v>
      </c>
    </row>
    <row r="4875" spans="1:6">
      <c r="A4875" s="32">
        <v>36559</v>
      </c>
      <c r="B4875">
        <v>470.96</v>
      </c>
      <c r="C4875">
        <v>474.68</v>
      </c>
      <c r="D4875">
        <v>464.39</v>
      </c>
      <c r="E4875">
        <v>465.78</v>
      </c>
      <c r="F4875" s="2">
        <v>218520000</v>
      </c>
    </row>
    <row r="4876" spans="1:6">
      <c r="A4876" s="32">
        <v>36558</v>
      </c>
      <c r="B4876">
        <v>477.14</v>
      </c>
      <c r="C4876">
        <v>480.21</v>
      </c>
      <c r="D4876">
        <v>470.62</v>
      </c>
      <c r="E4876">
        <v>470.62</v>
      </c>
      <c r="F4876" s="2">
        <v>252010000</v>
      </c>
    </row>
    <row r="4877" spans="1:6">
      <c r="A4877" s="32">
        <v>36557</v>
      </c>
      <c r="B4877">
        <v>482.22</v>
      </c>
      <c r="C4877">
        <v>483.43</v>
      </c>
      <c r="D4877">
        <v>474.39</v>
      </c>
      <c r="E4877">
        <v>474.39</v>
      </c>
      <c r="F4877" s="2">
        <v>257930000</v>
      </c>
    </row>
    <row r="4878" spans="1:6">
      <c r="A4878" s="32">
        <v>36556</v>
      </c>
      <c r="B4878">
        <v>474.4</v>
      </c>
      <c r="C4878">
        <v>480.2</v>
      </c>
      <c r="D4878">
        <v>472.75</v>
      </c>
      <c r="E4878">
        <v>477.57</v>
      </c>
      <c r="F4878" s="2">
        <v>281500000</v>
      </c>
    </row>
    <row r="4879" spans="1:6">
      <c r="A4879" s="32">
        <v>36553</v>
      </c>
      <c r="B4879">
        <v>476.32</v>
      </c>
      <c r="C4879">
        <v>478.95</v>
      </c>
      <c r="D4879">
        <v>473.2</v>
      </c>
      <c r="E4879">
        <v>477.45</v>
      </c>
      <c r="F4879" s="2">
        <v>283640000</v>
      </c>
    </row>
    <row r="4880" spans="1:6">
      <c r="A4880" s="32">
        <v>36552</v>
      </c>
      <c r="B4880">
        <v>471.01</v>
      </c>
      <c r="C4880">
        <v>475.4</v>
      </c>
      <c r="D4880">
        <v>470.07</v>
      </c>
      <c r="E4880">
        <v>474.91</v>
      </c>
      <c r="F4880" s="2">
        <v>205130000</v>
      </c>
    </row>
    <row r="4881" spans="1:6">
      <c r="A4881" s="32">
        <v>36551</v>
      </c>
      <c r="B4881">
        <v>477.66</v>
      </c>
      <c r="C4881">
        <v>478.87</v>
      </c>
      <c r="D4881">
        <v>469.11</v>
      </c>
      <c r="E4881">
        <v>469.22</v>
      </c>
      <c r="F4881" s="2">
        <v>257610000</v>
      </c>
    </row>
    <row r="4882" spans="1:6">
      <c r="A4882" s="32">
        <v>36550</v>
      </c>
      <c r="B4882">
        <v>470.52</v>
      </c>
      <c r="C4882">
        <v>473.73</v>
      </c>
      <c r="D4882">
        <v>469.49</v>
      </c>
      <c r="E4882">
        <v>473.22</v>
      </c>
      <c r="F4882" s="2">
        <v>257010000</v>
      </c>
    </row>
    <row r="4883" spans="1:6">
      <c r="A4883" s="32">
        <v>36549</v>
      </c>
      <c r="B4883">
        <v>481.68</v>
      </c>
      <c r="C4883">
        <v>483.34</v>
      </c>
      <c r="D4883">
        <v>473.71</v>
      </c>
      <c r="E4883">
        <v>477.22</v>
      </c>
      <c r="F4883" s="2">
        <v>256390000</v>
      </c>
    </row>
    <row r="4884" spans="1:6">
      <c r="A4884" s="32">
        <v>36546</v>
      </c>
      <c r="B4884">
        <v>483.71</v>
      </c>
      <c r="C4884">
        <v>489.18</v>
      </c>
      <c r="D4884">
        <v>476.36</v>
      </c>
      <c r="E4884">
        <v>478.92</v>
      </c>
      <c r="F4884" s="2">
        <v>439060000</v>
      </c>
    </row>
    <row r="4885" spans="1:6">
      <c r="A4885" s="32">
        <v>36545</v>
      </c>
      <c r="B4885">
        <v>488.58</v>
      </c>
      <c r="C4885">
        <v>495.08</v>
      </c>
      <c r="D4885">
        <v>485.96</v>
      </c>
      <c r="E4885">
        <v>486.64</v>
      </c>
      <c r="F4885" s="2">
        <v>633560000</v>
      </c>
    </row>
    <row r="4886" spans="1:6">
      <c r="A4886" s="32">
        <v>36544</v>
      </c>
      <c r="B4886">
        <v>481.13</v>
      </c>
      <c r="C4886">
        <v>488.64</v>
      </c>
      <c r="D4886">
        <v>479.9</v>
      </c>
      <c r="E4886">
        <v>486.33</v>
      </c>
      <c r="F4886" s="2">
        <v>477940000</v>
      </c>
    </row>
    <row r="4887" spans="1:6">
      <c r="A4887" s="32">
        <v>36543</v>
      </c>
      <c r="B4887">
        <v>478.84</v>
      </c>
      <c r="C4887">
        <v>484.16</v>
      </c>
      <c r="D4887">
        <v>478.29</v>
      </c>
      <c r="E4887">
        <v>484.16</v>
      </c>
      <c r="F4887" s="2">
        <v>379400000</v>
      </c>
    </row>
    <row r="4888" spans="1:6">
      <c r="A4888" s="32">
        <v>36542</v>
      </c>
      <c r="B4888">
        <v>482.4</v>
      </c>
      <c r="C4888">
        <v>485.74</v>
      </c>
      <c r="D4888">
        <v>476.2</v>
      </c>
      <c r="E4888">
        <v>477.09</v>
      </c>
      <c r="F4888" s="2">
        <v>432440000</v>
      </c>
    </row>
    <row r="4889" spans="1:6">
      <c r="A4889" s="32">
        <v>36539</v>
      </c>
      <c r="B4889">
        <v>461.66</v>
      </c>
      <c r="C4889">
        <v>474.37</v>
      </c>
      <c r="D4889">
        <v>460.14</v>
      </c>
      <c r="E4889">
        <v>474.37</v>
      </c>
      <c r="F4889" s="2">
        <v>344780000</v>
      </c>
    </row>
    <row r="4890" spans="1:6">
      <c r="A4890" s="32">
        <v>36538</v>
      </c>
      <c r="B4890">
        <v>459.14</v>
      </c>
      <c r="C4890">
        <v>462.19</v>
      </c>
      <c r="D4890">
        <v>456.49</v>
      </c>
      <c r="E4890">
        <v>458.4</v>
      </c>
      <c r="F4890" s="2">
        <v>196600000</v>
      </c>
    </row>
    <row r="4891" spans="1:6">
      <c r="A4891" s="32">
        <v>36537</v>
      </c>
      <c r="B4891">
        <v>448.01</v>
      </c>
      <c r="C4891">
        <v>459.62</v>
      </c>
      <c r="D4891">
        <v>447.12</v>
      </c>
      <c r="E4891">
        <v>459.62</v>
      </c>
      <c r="F4891" s="2">
        <v>230720000</v>
      </c>
    </row>
    <row r="4892" spans="1:6">
      <c r="A4892" s="32">
        <v>36536</v>
      </c>
      <c r="B4892">
        <v>465.74</v>
      </c>
      <c r="C4892">
        <v>468.79</v>
      </c>
      <c r="D4892">
        <v>452.27</v>
      </c>
      <c r="E4892">
        <v>452.48</v>
      </c>
      <c r="F4892" s="2">
        <v>340240000</v>
      </c>
    </row>
    <row r="4893" spans="1:6">
      <c r="A4893" s="32">
        <v>36535</v>
      </c>
      <c r="B4893">
        <v>466.25</v>
      </c>
      <c r="C4893">
        <v>471.27</v>
      </c>
      <c r="D4893">
        <v>458.13</v>
      </c>
      <c r="E4893">
        <v>459.47</v>
      </c>
      <c r="F4893" s="2">
        <v>405890000</v>
      </c>
    </row>
    <row r="4894" spans="1:6">
      <c r="A4894" s="32">
        <v>36532</v>
      </c>
      <c r="B4894">
        <v>449.45</v>
      </c>
      <c r="C4894">
        <v>455.07</v>
      </c>
      <c r="D4894">
        <v>440.78</v>
      </c>
      <c r="E4894">
        <v>453.31</v>
      </c>
      <c r="F4894" s="2">
        <v>363070000</v>
      </c>
    </row>
    <row r="4895" spans="1:6">
      <c r="A4895" s="32">
        <v>36531</v>
      </c>
      <c r="B4895">
        <v>467.32</v>
      </c>
      <c r="C4895">
        <v>469.86</v>
      </c>
      <c r="D4895">
        <v>443.46</v>
      </c>
      <c r="E4895">
        <v>443.46</v>
      </c>
      <c r="F4895" s="2">
        <v>408520000</v>
      </c>
    </row>
    <row r="4896" spans="1:6">
      <c r="A4896" s="32">
        <v>36530</v>
      </c>
      <c r="B4896">
        <v>471.52</v>
      </c>
      <c r="C4896">
        <v>477.17</v>
      </c>
      <c r="D4896">
        <v>464.06</v>
      </c>
      <c r="E4896">
        <v>465.85</v>
      </c>
      <c r="F4896" s="2">
        <v>511610000</v>
      </c>
    </row>
    <row r="4897" spans="1:6">
      <c r="A4897" s="32">
        <v>36529</v>
      </c>
      <c r="B4897">
        <v>490.32</v>
      </c>
      <c r="C4897">
        <v>499.52</v>
      </c>
      <c r="D4897">
        <v>490.01</v>
      </c>
      <c r="E4897">
        <v>498.46</v>
      </c>
      <c r="F4897" s="2">
        <v>513940000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C45C-AE47-47B9-AF47-F713E9C78CC2}">
  <sheetPr codeName="Sheet5">
    <tabColor theme="1"/>
  </sheetPr>
  <dimension ref="A1:F4448"/>
  <sheetViews>
    <sheetView workbookViewId="0">
      <selection activeCell="A2" sqref="A2"/>
    </sheetView>
  </sheetViews>
  <sheetFormatPr defaultRowHeight="15"/>
  <cols>
    <col min="1" max="1" width="10.7109375" bestFit="1" customWidth="1"/>
    <col min="2" max="5" width="6" bestFit="1" customWidth="1"/>
    <col min="6" max="6" width="9" bestFit="1" customWidth="1"/>
  </cols>
  <sheetData>
    <row r="1" spans="1:6">
      <c r="A1" t="s">
        <v>113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</row>
    <row r="2" spans="1:6">
      <c r="A2" s="32">
        <v>43836</v>
      </c>
      <c r="B2">
        <v>138</v>
      </c>
      <c r="C2">
        <v>141</v>
      </c>
      <c r="D2">
        <v>137.5</v>
      </c>
      <c r="E2">
        <v>138.5</v>
      </c>
      <c r="F2">
        <v>1892000</v>
      </c>
    </row>
    <row r="3" spans="1:6">
      <c r="A3" s="32">
        <v>43833</v>
      </c>
      <c r="B3">
        <v>146</v>
      </c>
      <c r="C3">
        <v>146.5</v>
      </c>
      <c r="D3">
        <v>140</v>
      </c>
      <c r="E3">
        <v>141.5</v>
      </c>
      <c r="F3">
        <v>1941000</v>
      </c>
    </row>
    <row r="4" spans="1:6">
      <c r="A4" s="32">
        <v>43832</v>
      </c>
      <c r="B4">
        <v>147.5</v>
      </c>
      <c r="C4">
        <v>147.5</v>
      </c>
      <c r="D4">
        <v>145.5</v>
      </c>
      <c r="E4">
        <v>146.5</v>
      </c>
      <c r="F4">
        <v>829600</v>
      </c>
    </row>
    <row r="5" spans="1:6">
      <c r="A5" s="32">
        <v>43829</v>
      </c>
      <c r="B5">
        <v>146.5</v>
      </c>
      <c r="C5">
        <v>148</v>
      </c>
      <c r="D5">
        <v>144.5</v>
      </c>
      <c r="E5">
        <v>147</v>
      </c>
      <c r="F5">
        <v>811300</v>
      </c>
    </row>
    <row r="6" spans="1:6">
      <c r="A6" s="32">
        <v>43826</v>
      </c>
      <c r="B6">
        <v>145</v>
      </c>
      <c r="C6">
        <v>147.5</v>
      </c>
      <c r="D6">
        <v>144.5</v>
      </c>
      <c r="E6">
        <v>145</v>
      </c>
      <c r="F6">
        <v>1679200</v>
      </c>
    </row>
    <row r="7" spans="1:6">
      <c r="A7" s="32">
        <v>43825</v>
      </c>
      <c r="B7">
        <v>146</v>
      </c>
      <c r="C7">
        <v>146.5</v>
      </c>
      <c r="D7">
        <v>144</v>
      </c>
      <c r="E7">
        <v>146</v>
      </c>
      <c r="F7">
        <v>843300</v>
      </c>
    </row>
    <row r="8" spans="1:6">
      <c r="A8" s="32">
        <v>43824</v>
      </c>
      <c r="B8">
        <v>148.5</v>
      </c>
      <c r="C8">
        <v>148.5</v>
      </c>
      <c r="D8">
        <v>146</v>
      </c>
      <c r="E8">
        <v>147</v>
      </c>
      <c r="F8">
        <v>634000</v>
      </c>
    </row>
    <row r="9" spans="1:6">
      <c r="A9" s="32">
        <v>43823</v>
      </c>
      <c r="B9">
        <v>145.5</v>
      </c>
      <c r="C9">
        <v>148.5</v>
      </c>
      <c r="D9">
        <v>144</v>
      </c>
      <c r="E9">
        <v>148.5</v>
      </c>
      <c r="F9">
        <v>1631500</v>
      </c>
    </row>
    <row r="10" spans="1:6">
      <c r="A10" s="32">
        <v>43822</v>
      </c>
      <c r="B10">
        <v>142.5</v>
      </c>
      <c r="C10">
        <v>145.5</v>
      </c>
      <c r="D10">
        <v>142.5</v>
      </c>
      <c r="E10">
        <v>145.5</v>
      </c>
      <c r="F10">
        <v>1605900</v>
      </c>
    </row>
    <row r="11" spans="1:6">
      <c r="A11" s="32">
        <v>43819</v>
      </c>
      <c r="B11">
        <v>141</v>
      </c>
      <c r="C11">
        <v>144.5</v>
      </c>
      <c r="D11">
        <v>141</v>
      </c>
      <c r="E11">
        <v>142.5</v>
      </c>
      <c r="F11">
        <v>2526000</v>
      </c>
    </row>
    <row r="12" spans="1:6">
      <c r="A12" s="32">
        <v>43818</v>
      </c>
      <c r="B12">
        <v>140</v>
      </c>
      <c r="C12">
        <v>142.5</v>
      </c>
      <c r="D12">
        <v>138.5</v>
      </c>
      <c r="E12">
        <v>141</v>
      </c>
      <c r="F12">
        <v>1608400</v>
      </c>
    </row>
    <row r="13" spans="1:6">
      <c r="A13" s="32">
        <v>43817</v>
      </c>
      <c r="B13">
        <v>140</v>
      </c>
      <c r="C13">
        <v>141</v>
      </c>
      <c r="D13">
        <v>139</v>
      </c>
      <c r="E13">
        <v>140.5</v>
      </c>
      <c r="F13">
        <v>944500</v>
      </c>
    </row>
    <row r="14" spans="1:6">
      <c r="A14" s="32">
        <v>43816</v>
      </c>
      <c r="B14">
        <v>138.5</v>
      </c>
      <c r="C14">
        <v>142</v>
      </c>
      <c r="D14">
        <v>138.5</v>
      </c>
      <c r="E14">
        <v>139</v>
      </c>
      <c r="F14">
        <v>1835800</v>
      </c>
    </row>
    <row r="15" spans="1:6">
      <c r="A15" s="32">
        <v>43815</v>
      </c>
      <c r="B15">
        <v>142.5</v>
      </c>
      <c r="C15">
        <v>143</v>
      </c>
      <c r="D15">
        <v>137</v>
      </c>
      <c r="E15">
        <v>138</v>
      </c>
      <c r="F15">
        <v>1763500</v>
      </c>
    </row>
    <row r="16" spans="1:6">
      <c r="A16" s="32">
        <v>43812</v>
      </c>
      <c r="B16">
        <v>142.5</v>
      </c>
      <c r="C16">
        <v>142.5</v>
      </c>
      <c r="D16">
        <v>138.5</v>
      </c>
      <c r="E16">
        <v>142.5</v>
      </c>
      <c r="F16">
        <v>2475700</v>
      </c>
    </row>
    <row r="17" spans="1:6">
      <c r="A17" s="32">
        <v>43811</v>
      </c>
      <c r="B17">
        <v>141</v>
      </c>
      <c r="C17">
        <v>142.5</v>
      </c>
      <c r="D17">
        <v>139.5</v>
      </c>
      <c r="E17">
        <v>142.5</v>
      </c>
      <c r="F17">
        <v>2280100</v>
      </c>
    </row>
    <row r="18" spans="1:6">
      <c r="A18" s="32">
        <v>43810</v>
      </c>
      <c r="B18">
        <v>139</v>
      </c>
      <c r="C18">
        <v>139.5</v>
      </c>
      <c r="D18">
        <v>137.5</v>
      </c>
      <c r="E18">
        <v>139</v>
      </c>
      <c r="F18">
        <v>2507200</v>
      </c>
    </row>
    <row r="19" spans="1:6">
      <c r="A19" s="32">
        <v>43808</v>
      </c>
      <c r="B19">
        <v>132</v>
      </c>
      <c r="C19">
        <v>138.5</v>
      </c>
      <c r="D19">
        <v>132</v>
      </c>
      <c r="E19">
        <v>137.5</v>
      </c>
      <c r="F19">
        <v>2835500</v>
      </c>
    </row>
    <row r="20" spans="1:6">
      <c r="A20" s="32">
        <v>43805</v>
      </c>
      <c r="B20">
        <v>133</v>
      </c>
      <c r="C20">
        <v>134</v>
      </c>
      <c r="D20">
        <v>129</v>
      </c>
      <c r="E20">
        <v>131</v>
      </c>
      <c r="F20">
        <v>2679300</v>
      </c>
    </row>
    <row r="21" spans="1:6">
      <c r="A21" s="32">
        <v>43803</v>
      </c>
      <c r="B21">
        <v>136</v>
      </c>
      <c r="C21">
        <v>136.5</v>
      </c>
      <c r="D21">
        <v>131</v>
      </c>
      <c r="E21">
        <v>133</v>
      </c>
      <c r="F21">
        <v>1533200</v>
      </c>
    </row>
    <row r="22" spans="1:6">
      <c r="A22" s="32">
        <v>43802</v>
      </c>
      <c r="B22">
        <v>134.5</v>
      </c>
      <c r="C22">
        <v>137.5</v>
      </c>
      <c r="D22">
        <v>134.5</v>
      </c>
      <c r="E22">
        <v>136.5</v>
      </c>
      <c r="F22">
        <v>1564000</v>
      </c>
    </row>
    <row r="23" spans="1:6">
      <c r="A23" s="32">
        <v>43801</v>
      </c>
      <c r="B23">
        <v>136</v>
      </c>
      <c r="C23">
        <v>138.5</v>
      </c>
      <c r="D23">
        <v>134.5</v>
      </c>
      <c r="E23">
        <v>135</v>
      </c>
      <c r="F23">
        <v>2578900</v>
      </c>
    </row>
    <row r="24" spans="1:6">
      <c r="A24" s="32">
        <v>43798</v>
      </c>
      <c r="B24">
        <v>135</v>
      </c>
      <c r="C24">
        <v>136.5</v>
      </c>
      <c r="D24">
        <v>134.5</v>
      </c>
      <c r="E24">
        <v>135.5</v>
      </c>
      <c r="F24">
        <v>1439500</v>
      </c>
    </row>
    <row r="25" spans="1:6">
      <c r="A25" s="32">
        <v>43797</v>
      </c>
      <c r="B25">
        <v>134.5</v>
      </c>
      <c r="C25">
        <v>136.5</v>
      </c>
      <c r="D25">
        <v>133.5</v>
      </c>
      <c r="E25">
        <v>135.5</v>
      </c>
      <c r="F25">
        <v>2288000</v>
      </c>
    </row>
    <row r="26" spans="1:6">
      <c r="A26" s="32">
        <v>43796</v>
      </c>
      <c r="B26">
        <v>131</v>
      </c>
      <c r="C26">
        <v>135</v>
      </c>
      <c r="D26">
        <v>130</v>
      </c>
      <c r="E26">
        <v>134.5</v>
      </c>
      <c r="F26">
        <v>3217800</v>
      </c>
    </row>
    <row r="27" spans="1:6">
      <c r="A27" s="32">
        <v>43795</v>
      </c>
      <c r="B27">
        <v>131</v>
      </c>
      <c r="C27">
        <v>132</v>
      </c>
      <c r="D27">
        <v>130</v>
      </c>
      <c r="E27">
        <v>130</v>
      </c>
      <c r="F27">
        <v>4270700</v>
      </c>
    </row>
    <row r="28" spans="1:6">
      <c r="A28" s="32">
        <v>43794</v>
      </c>
      <c r="B28">
        <v>129.5</v>
      </c>
      <c r="C28">
        <v>131</v>
      </c>
      <c r="D28">
        <v>128.5</v>
      </c>
      <c r="E28">
        <v>130.5</v>
      </c>
      <c r="F28">
        <v>1150300</v>
      </c>
    </row>
    <row r="29" spans="1:6">
      <c r="A29" s="32">
        <v>43791</v>
      </c>
      <c r="B29">
        <v>131</v>
      </c>
      <c r="C29">
        <v>131.5</v>
      </c>
      <c r="D29">
        <v>129</v>
      </c>
      <c r="E29">
        <v>129.5</v>
      </c>
      <c r="F29">
        <v>1732100</v>
      </c>
    </row>
    <row r="30" spans="1:6">
      <c r="A30" s="32">
        <v>43790</v>
      </c>
      <c r="B30">
        <v>130</v>
      </c>
      <c r="C30">
        <v>131.5</v>
      </c>
      <c r="D30">
        <v>129</v>
      </c>
      <c r="E30">
        <v>131.5</v>
      </c>
      <c r="F30">
        <v>1346800</v>
      </c>
    </row>
    <row r="31" spans="1:6">
      <c r="A31" s="32">
        <v>43789</v>
      </c>
      <c r="B31">
        <v>131</v>
      </c>
      <c r="C31">
        <v>132</v>
      </c>
      <c r="D31">
        <v>129.5</v>
      </c>
      <c r="E31">
        <v>130.5</v>
      </c>
      <c r="F31">
        <v>1813500</v>
      </c>
    </row>
    <row r="32" spans="1:6">
      <c r="A32" s="32">
        <v>43788</v>
      </c>
      <c r="B32">
        <v>129</v>
      </c>
      <c r="C32">
        <v>132.5</v>
      </c>
      <c r="D32">
        <v>129</v>
      </c>
      <c r="E32">
        <v>132</v>
      </c>
      <c r="F32">
        <v>2446500</v>
      </c>
    </row>
    <row r="33" spans="1:6">
      <c r="A33" s="32">
        <v>43787</v>
      </c>
      <c r="B33">
        <v>128.5</v>
      </c>
      <c r="C33">
        <v>130</v>
      </c>
      <c r="D33">
        <v>127.5</v>
      </c>
      <c r="E33">
        <v>129.5</v>
      </c>
      <c r="F33">
        <v>954800</v>
      </c>
    </row>
    <row r="34" spans="1:6">
      <c r="A34" s="32">
        <v>43784</v>
      </c>
      <c r="B34">
        <v>128.5</v>
      </c>
      <c r="C34">
        <v>129.5</v>
      </c>
      <c r="D34">
        <v>127.5</v>
      </c>
      <c r="E34">
        <v>128.5</v>
      </c>
      <c r="F34">
        <v>1462800</v>
      </c>
    </row>
    <row r="35" spans="1:6">
      <c r="A35" s="32">
        <v>43783</v>
      </c>
      <c r="B35">
        <v>129</v>
      </c>
      <c r="C35">
        <v>130.5</v>
      </c>
      <c r="D35">
        <v>127.5</v>
      </c>
      <c r="E35">
        <v>128</v>
      </c>
      <c r="F35">
        <v>1626100</v>
      </c>
    </row>
    <row r="36" spans="1:6">
      <c r="A36" s="32">
        <v>43782</v>
      </c>
      <c r="B36">
        <v>127</v>
      </c>
      <c r="C36">
        <v>130.5</v>
      </c>
      <c r="D36">
        <v>126.5</v>
      </c>
      <c r="E36">
        <v>129</v>
      </c>
      <c r="F36">
        <v>2740400</v>
      </c>
    </row>
    <row r="37" spans="1:6">
      <c r="A37" s="32">
        <v>43781</v>
      </c>
      <c r="B37">
        <v>130.5</v>
      </c>
      <c r="C37">
        <v>131</v>
      </c>
      <c r="D37">
        <v>126.5</v>
      </c>
      <c r="E37">
        <v>128.5</v>
      </c>
      <c r="F37">
        <v>2333200</v>
      </c>
    </row>
    <row r="38" spans="1:6">
      <c r="A38" s="32">
        <v>43780</v>
      </c>
      <c r="B38">
        <v>131.5</v>
      </c>
      <c r="C38">
        <v>132.5</v>
      </c>
      <c r="D38">
        <v>129.5</v>
      </c>
      <c r="E38">
        <v>130.5</v>
      </c>
      <c r="F38">
        <v>1383700</v>
      </c>
    </row>
    <row r="39" spans="1:6">
      <c r="A39" s="32">
        <v>43777</v>
      </c>
      <c r="B39">
        <v>129</v>
      </c>
      <c r="C39">
        <v>132</v>
      </c>
      <c r="D39">
        <v>129</v>
      </c>
      <c r="E39">
        <v>131.5</v>
      </c>
      <c r="F39">
        <v>1464300</v>
      </c>
    </row>
    <row r="40" spans="1:6">
      <c r="A40" s="32">
        <v>43776</v>
      </c>
      <c r="B40">
        <v>130</v>
      </c>
      <c r="C40">
        <v>131</v>
      </c>
      <c r="D40">
        <v>128</v>
      </c>
      <c r="E40">
        <v>129.5</v>
      </c>
      <c r="F40">
        <v>2739200</v>
      </c>
    </row>
    <row r="41" spans="1:6">
      <c r="A41" s="32">
        <v>43775</v>
      </c>
      <c r="B41">
        <v>125.5</v>
      </c>
      <c r="C41">
        <v>129.5</v>
      </c>
      <c r="D41">
        <v>125.5</v>
      </c>
      <c r="E41">
        <v>128.5</v>
      </c>
      <c r="F41">
        <v>2006900</v>
      </c>
    </row>
    <row r="42" spans="1:6">
      <c r="A42" s="32">
        <v>43774</v>
      </c>
      <c r="B42">
        <v>125</v>
      </c>
      <c r="C42">
        <v>127</v>
      </c>
      <c r="D42">
        <v>124</v>
      </c>
      <c r="E42">
        <v>125.5</v>
      </c>
      <c r="F42">
        <v>1802200</v>
      </c>
    </row>
    <row r="43" spans="1:6">
      <c r="A43" s="32">
        <v>43773</v>
      </c>
      <c r="B43">
        <v>120</v>
      </c>
      <c r="C43">
        <v>126</v>
      </c>
      <c r="D43">
        <v>120</v>
      </c>
      <c r="E43">
        <v>126</v>
      </c>
      <c r="F43">
        <v>2641900</v>
      </c>
    </row>
    <row r="44" spans="1:6">
      <c r="A44" s="32">
        <v>43770</v>
      </c>
      <c r="B44">
        <v>119.5</v>
      </c>
      <c r="C44">
        <v>121</v>
      </c>
      <c r="D44">
        <v>118.5</v>
      </c>
      <c r="E44">
        <v>119.5</v>
      </c>
      <c r="F44">
        <v>876300</v>
      </c>
    </row>
    <row r="45" spans="1:6">
      <c r="A45" s="32">
        <v>43769</v>
      </c>
      <c r="B45">
        <v>119</v>
      </c>
      <c r="C45">
        <v>123</v>
      </c>
      <c r="D45">
        <v>118.5</v>
      </c>
      <c r="E45">
        <v>120.5</v>
      </c>
      <c r="F45">
        <v>1274500</v>
      </c>
    </row>
    <row r="46" spans="1:6">
      <c r="A46" s="32">
        <v>43768</v>
      </c>
      <c r="B46">
        <v>121</v>
      </c>
      <c r="C46">
        <v>121</v>
      </c>
      <c r="D46">
        <v>116.5</v>
      </c>
      <c r="E46">
        <v>119.5</v>
      </c>
      <c r="F46">
        <v>1496600</v>
      </c>
    </row>
    <row r="47" spans="1:6">
      <c r="A47" s="32">
        <v>43767</v>
      </c>
      <c r="B47">
        <v>121.5</v>
      </c>
      <c r="C47">
        <v>125</v>
      </c>
      <c r="D47">
        <v>118</v>
      </c>
      <c r="E47">
        <v>119</v>
      </c>
      <c r="F47">
        <v>2208400</v>
      </c>
    </row>
    <row r="48" spans="1:6">
      <c r="A48" s="32">
        <v>43766</v>
      </c>
      <c r="B48">
        <v>112.5</v>
      </c>
      <c r="C48">
        <v>123</v>
      </c>
      <c r="D48">
        <v>112.5</v>
      </c>
      <c r="E48">
        <v>122</v>
      </c>
      <c r="F48">
        <v>2958800</v>
      </c>
    </row>
    <row r="49" spans="1:6">
      <c r="A49" s="32">
        <v>43763</v>
      </c>
      <c r="B49">
        <v>119</v>
      </c>
      <c r="C49">
        <v>120</v>
      </c>
      <c r="D49">
        <v>111.5</v>
      </c>
      <c r="E49">
        <v>112</v>
      </c>
      <c r="F49">
        <v>2918700</v>
      </c>
    </row>
    <row r="50" spans="1:6">
      <c r="A50" s="32">
        <v>43762</v>
      </c>
      <c r="B50">
        <v>119</v>
      </c>
      <c r="C50">
        <v>121.5</v>
      </c>
      <c r="D50">
        <v>119</v>
      </c>
      <c r="E50">
        <v>120.5</v>
      </c>
      <c r="F50">
        <v>984600</v>
      </c>
    </row>
    <row r="51" spans="1:6">
      <c r="A51" s="32">
        <v>43760</v>
      </c>
      <c r="B51">
        <v>116.5</v>
      </c>
      <c r="C51">
        <v>120</v>
      </c>
      <c r="D51">
        <v>116</v>
      </c>
      <c r="E51">
        <v>120</v>
      </c>
      <c r="F51">
        <v>1382600</v>
      </c>
    </row>
    <row r="52" spans="1:6">
      <c r="A52" s="32">
        <v>43759</v>
      </c>
      <c r="B52">
        <v>123</v>
      </c>
      <c r="C52">
        <v>123</v>
      </c>
      <c r="D52">
        <v>116</v>
      </c>
      <c r="E52">
        <v>116.5</v>
      </c>
      <c r="F52">
        <v>1865300</v>
      </c>
    </row>
    <row r="53" spans="1:6">
      <c r="A53" s="32">
        <v>43756</v>
      </c>
      <c r="B53">
        <v>124.5</v>
      </c>
      <c r="C53">
        <v>126</v>
      </c>
      <c r="D53">
        <v>122.5</v>
      </c>
      <c r="E53">
        <v>123</v>
      </c>
      <c r="F53">
        <v>713100</v>
      </c>
    </row>
    <row r="54" spans="1:6">
      <c r="A54" s="32">
        <v>43755</v>
      </c>
      <c r="B54">
        <v>124</v>
      </c>
      <c r="C54">
        <v>125</v>
      </c>
      <c r="D54">
        <v>124</v>
      </c>
      <c r="E54">
        <v>125</v>
      </c>
      <c r="F54">
        <v>879400</v>
      </c>
    </row>
    <row r="55" spans="1:6">
      <c r="A55" s="32">
        <v>43754</v>
      </c>
      <c r="B55">
        <v>122</v>
      </c>
      <c r="C55">
        <v>124</v>
      </c>
      <c r="D55">
        <v>122</v>
      </c>
      <c r="E55">
        <v>123.5</v>
      </c>
      <c r="F55">
        <v>644200</v>
      </c>
    </row>
    <row r="56" spans="1:6">
      <c r="A56" s="32">
        <v>43753</v>
      </c>
      <c r="B56">
        <v>125</v>
      </c>
      <c r="C56">
        <v>125.5</v>
      </c>
      <c r="D56">
        <v>121.5</v>
      </c>
      <c r="E56">
        <v>122</v>
      </c>
      <c r="F56">
        <v>1529100</v>
      </c>
    </row>
    <row r="57" spans="1:6">
      <c r="A57" s="32">
        <v>43749</v>
      </c>
      <c r="B57">
        <v>123.5</v>
      </c>
      <c r="C57">
        <v>125</v>
      </c>
      <c r="D57">
        <v>122.5</v>
      </c>
      <c r="E57">
        <v>124</v>
      </c>
      <c r="F57">
        <v>894000</v>
      </c>
    </row>
    <row r="58" spans="1:6">
      <c r="A58" s="32">
        <v>43748</v>
      </c>
      <c r="B58">
        <v>125</v>
      </c>
      <c r="C58">
        <v>126</v>
      </c>
      <c r="D58">
        <v>123</v>
      </c>
      <c r="E58">
        <v>123.5</v>
      </c>
      <c r="F58">
        <v>1266600</v>
      </c>
    </row>
    <row r="59" spans="1:6">
      <c r="A59" s="32">
        <v>43747</v>
      </c>
      <c r="B59">
        <v>124</v>
      </c>
      <c r="C59">
        <v>124.5</v>
      </c>
      <c r="D59">
        <v>122</v>
      </c>
      <c r="E59">
        <v>124.5</v>
      </c>
      <c r="F59">
        <v>656300</v>
      </c>
    </row>
    <row r="60" spans="1:6">
      <c r="A60" s="32">
        <v>43746</v>
      </c>
      <c r="B60">
        <v>124</v>
      </c>
      <c r="C60">
        <v>127</v>
      </c>
      <c r="D60">
        <v>124</v>
      </c>
      <c r="E60">
        <v>124.5</v>
      </c>
      <c r="F60">
        <v>1050600</v>
      </c>
    </row>
    <row r="61" spans="1:6">
      <c r="A61" s="32">
        <v>43745</v>
      </c>
      <c r="B61">
        <v>123</v>
      </c>
      <c r="C61">
        <v>123.5</v>
      </c>
      <c r="D61">
        <v>121</v>
      </c>
      <c r="E61">
        <v>122.5</v>
      </c>
      <c r="F61">
        <v>1021300</v>
      </c>
    </row>
    <row r="62" spans="1:6">
      <c r="A62" s="32">
        <v>43742</v>
      </c>
      <c r="B62">
        <v>126.5</v>
      </c>
      <c r="C62">
        <v>126.5</v>
      </c>
      <c r="D62">
        <v>122</v>
      </c>
      <c r="E62">
        <v>122.5</v>
      </c>
      <c r="F62">
        <v>1459800</v>
      </c>
    </row>
    <row r="63" spans="1:6">
      <c r="A63" s="32">
        <v>43741</v>
      </c>
      <c r="B63">
        <v>126</v>
      </c>
      <c r="C63">
        <v>127</v>
      </c>
      <c r="D63">
        <v>125</v>
      </c>
      <c r="E63">
        <v>126.5</v>
      </c>
      <c r="F63">
        <v>861700</v>
      </c>
    </row>
    <row r="64" spans="1:6">
      <c r="A64" s="32">
        <v>43740</v>
      </c>
      <c r="B64">
        <v>126</v>
      </c>
      <c r="C64">
        <v>128</v>
      </c>
      <c r="D64">
        <v>126</v>
      </c>
      <c r="E64">
        <v>127</v>
      </c>
      <c r="F64">
        <v>783400</v>
      </c>
    </row>
    <row r="65" spans="1:6">
      <c r="A65" s="32">
        <v>43739</v>
      </c>
      <c r="B65">
        <v>129</v>
      </c>
      <c r="C65">
        <v>129.5</v>
      </c>
      <c r="D65">
        <v>126.5</v>
      </c>
      <c r="E65">
        <v>127</v>
      </c>
      <c r="F65">
        <v>1253700</v>
      </c>
    </row>
    <row r="66" spans="1:6">
      <c r="A66" s="32">
        <v>43738</v>
      </c>
      <c r="B66">
        <v>128</v>
      </c>
      <c r="C66">
        <v>130</v>
      </c>
      <c r="D66">
        <v>128</v>
      </c>
      <c r="E66">
        <v>128</v>
      </c>
      <c r="F66">
        <v>1929500</v>
      </c>
    </row>
    <row r="67" spans="1:6">
      <c r="A67" s="32">
        <v>43735</v>
      </c>
      <c r="B67">
        <v>127.5</v>
      </c>
      <c r="C67">
        <v>130.5</v>
      </c>
      <c r="D67">
        <v>127</v>
      </c>
      <c r="E67">
        <v>128</v>
      </c>
      <c r="F67">
        <v>2581400</v>
      </c>
    </row>
    <row r="68" spans="1:6">
      <c r="A68" s="32">
        <v>43734</v>
      </c>
      <c r="B68">
        <v>127</v>
      </c>
      <c r="C68">
        <v>128</v>
      </c>
      <c r="D68">
        <v>126.5</v>
      </c>
      <c r="E68">
        <v>128</v>
      </c>
      <c r="F68">
        <v>604800</v>
      </c>
    </row>
    <row r="69" spans="1:6">
      <c r="A69" s="32">
        <v>43733</v>
      </c>
      <c r="B69">
        <v>126.5</v>
      </c>
      <c r="C69">
        <v>127</v>
      </c>
      <c r="D69">
        <v>125.5</v>
      </c>
      <c r="E69">
        <v>126</v>
      </c>
      <c r="F69">
        <v>911700</v>
      </c>
    </row>
    <row r="70" spans="1:6">
      <c r="A70" s="32">
        <v>43732</v>
      </c>
      <c r="B70">
        <v>125.5</v>
      </c>
      <c r="C70">
        <v>128</v>
      </c>
      <c r="D70">
        <v>125.5</v>
      </c>
      <c r="E70">
        <v>126</v>
      </c>
      <c r="F70">
        <v>1680400</v>
      </c>
    </row>
    <row r="71" spans="1:6">
      <c r="A71" s="32">
        <v>43731</v>
      </c>
      <c r="B71">
        <v>126.5</v>
      </c>
      <c r="C71">
        <v>128.5</v>
      </c>
      <c r="D71">
        <v>125</v>
      </c>
      <c r="E71">
        <v>125.5</v>
      </c>
      <c r="F71">
        <v>1328900</v>
      </c>
    </row>
    <row r="72" spans="1:6">
      <c r="A72" s="32">
        <v>43728</v>
      </c>
      <c r="B72">
        <v>133</v>
      </c>
      <c r="C72">
        <v>133.5</v>
      </c>
      <c r="D72">
        <v>126.5</v>
      </c>
      <c r="E72">
        <v>127</v>
      </c>
      <c r="F72">
        <v>4448400</v>
      </c>
    </row>
    <row r="73" spans="1:6">
      <c r="A73" s="32">
        <v>43727</v>
      </c>
      <c r="B73">
        <v>133</v>
      </c>
      <c r="C73">
        <v>134.5</v>
      </c>
      <c r="D73">
        <v>132</v>
      </c>
      <c r="E73">
        <v>132.5</v>
      </c>
      <c r="F73">
        <v>1668900</v>
      </c>
    </row>
    <row r="74" spans="1:6">
      <c r="A74" s="32">
        <v>43726</v>
      </c>
      <c r="B74">
        <v>134</v>
      </c>
      <c r="C74">
        <v>135</v>
      </c>
      <c r="D74">
        <v>131.5</v>
      </c>
      <c r="E74">
        <v>132.5</v>
      </c>
      <c r="F74">
        <v>1457900</v>
      </c>
    </row>
    <row r="75" spans="1:6">
      <c r="A75" s="32">
        <v>43725</v>
      </c>
      <c r="B75">
        <v>137</v>
      </c>
      <c r="C75">
        <v>137.5</v>
      </c>
      <c r="D75">
        <v>133.5</v>
      </c>
      <c r="E75">
        <v>134</v>
      </c>
      <c r="F75">
        <v>1906300</v>
      </c>
    </row>
    <row r="76" spans="1:6">
      <c r="A76" s="32">
        <v>43724</v>
      </c>
      <c r="B76">
        <v>138</v>
      </c>
      <c r="C76">
        <v>139</v>
      </c>
      <c r="D76">
        <v>136</v>
      </c>
      <c r="E76">
        <v>136.5</v>
      </c>
      <c r="F76">
        <v>1247600</v>
      </c>
    </row>
    <row r="77" spans="1:6">
      <c r="A77" s="32">
        <v>43721</v>
      </c>
      <c r="B77">
        <v>139</v>
      </c>
      <c r="C77">
        <v>141</v>
      </c>
      <c r="D77">
        <v>138</v>
      </c>
      <c r="E77">
        <v>138.5</v>
      </c>
      <c r="F77">
        <v>947300</v>
      </c>
    </row>
    <row r="78" spans="1:6">
      <c r="A78" s="32">
        <v>43720</v>
      </c>
      <c r="B78">
        <v>143</v>
      </c>
      <c r="C78">
        <v>143</v>
      </c>
      <c r="D78">
        <v>138.5</v>
      </c>
      <c r="E78">
        <v>139</v>
      </c>
      <c r="F78">
        <v>1407700</v>
      </c>
    </row>
    <row r="79" spans="1:6">
      <c r="A79" s="32">
        <v>43719</v>
      </c>
      <c r="B79">
        <v>139</v>
      </c>
      <c r="C79">
        <v>142</v>
      </c>
      <c r="D79">
        <v>139</v>
      </c>
      <c r="E79">
        <v>142</v>
      </c>
      <c r="F79">
        <v>1829400</v>
      </c>
    </row>
    <row r="80" spans="1:6">
      <c r="A80" s="32">
        <v>43718</v>
      </c>
      <c r="B80">
        <v>140</v>
      </c>
      <c r="C80">
        <v>140</v>
      </c>
      <c r="D80">
        <v>137.5</v>
      </c>
      <c r="E80">
        <v>139</v>
      </c>
      <c r="F80">
        <v>2230100</v>
      </c>
    </row>
    <row r="81" spans="1:6">
      <c r="A81" s="32">
        <v>43717</v>
      </c>
      <c r="B81">
        <v>136.5</v>
      </c>
      <c r="C81">
        <v>142</v>
      </c>
      <c r="D81">
        <v>136.5</v>
      </c>
      <c r="E81">
        <v>140</v>
      </c>
      <c r="F81">
        <v>2592900</v>
      </c>
    </row>
    <row r="82" spans="1:6">
      <c r="A82" s="32">
        <v>43714</v>
      </c>
      <c r="B82">
        <v>136.5</v>
      </c>
      <c r="C82">
        <v>137.5</v>
      </c>
      <c r="D82">
        <v>135</v>
      </c>
      <c r="E82">
        <v>136.5</v>
      </c>
      <c r="F82">
        <v>1082800</v>
      </c>
    </row>
    <row r="83" spans="1:6">
      <c r="A83" s="32">
        <v>43713</v>
      </c>
      <c r="B83">
        <v>135</v>
      </c>
      <c r="C83">
        <v>139.5</v>
      </c>
      <c r="D83">
        <v>134</v>
      </c>
      <c r="E83">
        <v>136.5</v>
      </c>
      <c r="F83">
        <v>2226800</v>
      </c>
    </row>
    <row r="84" spans="1:6">
      <c r="A84" s="32">
        <v>43712</v>
      </c>
      <c r="B84">
        <v>135.5</v>
      </c>
      <c r="C84">
        <v>135.5</v>
      </c>
      <c r="D84">
        <v>132</v>
      </c>
      <c r="E84">
        <v>134</v>
      </c>
      <c r="F84">
        <v>2128300</v>
      </c>
    </row>
    <row r="85" spans="1:6">
      <c r="A85" s="32">
        <v>43711</v>
      </c>
      <c r="B85">
        <v>137</v>
      </c>
      <c r="C85">
        <v>138</v>
      </c>
      <c r="D85">
        <v>134</v>
      </c>
      <c r="E85">
        <v>134.5</v>
      </c>
      <c r="F85">
        <v>1760300</v>
      </c>
    </row>
    <row r="86" spans="1:6">
      <c r="A86" s="32">
        <v>43710</v>
      </c>
      <c r="B86">
        <v>138</v>
      </c>
      <c r="C86">
        <v>139.5</v>
      </c>
      <c r="D86">
        <v>136</v>
      </c>
      <c r="E86">
        <v>137</v>
      </c>
      <c r="F86">
        <v>1497000</v>
      </c>
    </row>
    <row r="87" spans="1:6">
      <c r="A87" s="32">
        <v>43707</v>
      </c>
      <c r="B87">
        <v>140.5</v>
      </c>
      <c r="C87">
        <v>141.5</v>
      </c>
      <c r="D87">
        <v>138</v>
      </c>
      <c r="E87">
        <v>138.5</v>
      </c>
      <c r="F87">
        <v>1970700</v>
      </c>
    </row>
    <row r="88" spans="1:6">
      <c r="A88" s="32">
        <v>43706</v>
      </c>
      <c r="B88">
        <v>137.5</v>
      </c>
      <c r="C88">
        <v>140</v>
      </c>
      <c r="D88">
        <v>137</v>
      </c>
      <c r="E88">
        <v>140</v>
      </c>
      <c r="F88">
        <v>763000</v>
      </c>
    </row>
    <row r="89" spans="1:6">
      <c r="A89" s="32">
        <v>43705</v>
      </c>
      <c r="B89">
        <v>136</v>
      </c>
      <c r="C89">
        <v>137.5</v>
      </c>
      <c r="D89">
        <v>135.5</v>
      </c>
      <c r="E89">
        <v>137.5</v>
      </c>
      <c r="F89">
        <v>888900</v>
      </c>
    </row>
    <row r="90" spans="1:6">
      <c r="A90" s="32">
        <v>43704</v>
      </c>
      <c r="B90">
        <v>136.5</v>
      </c>
      <c r="C90">
        <v>138.5</v>
      </c>
      <c r="D90">
        <v>135.5</v>
      </c>
      <c r="E90">
        <v>135.5</v>
      </c>
      <c r="F90">
        <v>2423200</v>
      </c>
    </row>
    <row r="91" spans="1:6">
      <c r="A91" s="32">
        <v>43703</v>
      </c>
      <c r="B91">
        <v>138</v>
      </c>
      <c r="C91">
        <v>139</v>
      </c>
      <c r="D91">
        <v>136.5</v>
      </c>
      <c r="E91">
        <v>137.5</v>
      </c>
      <c r="F91">
        <v>1657600</v>
      </c>
    </row>
    <row r="92" spans="1:6">
      <c r="A92" s="32">
        <v>43700</v>
      </c>
      <c r="B92">
        <v>141</v>
      </c>
      <c r="C92">
        <v>142</v>
      </c>
      <c r="D92">
        <v>140.5</v>
      </c>
      <c r="E92">
        <v>141</v>
      </c>
      <c r="F92">
        <v>1227600</v>
      </c>
    </row>
    <row r="93" spans="1:6">
      <c r="A93" s="32">
        <v>43699</v>
      </c>
      <c r="B93">
        <v>140</v>
      </c>
      <c r="C93">
        <v>142.5</v>
      </c>
      <c r="D93">
        <v>139.5</v>
      </c>
      <c r="E93">
        <v>140.5</v>
      </c>
      <c r="F93">
        <v>2017900</v>
      </c>
    </row>
    <row r="94" spans="1:6">
      <c r="A94" s="32">
        <v>43698</v>
      </c>
      <c r="B94">
        <v>141.5</v>
      </c>
      <c r="C94">
        <v>144</v>
      </c>
      <c r="D94">
        <v>141</v>
      </c>
      <c r="E94">
        <v>143</v>
      </c>
      <c r="F94">
        <v>1716600</v>
      </c>
    </row>
    <row r="95" spans="1:6">
      <c r="A95" s="32">
        <v>43697</v>
      </c>
      <c r="B95">
        <v>141.5</v>
      </c>
      <c r="C95">
        <v>142.5</v>
      </c>
      <c r="D95">
        <v>140</v>
      </c>
      <c r="E95">
        <v>141</v>
      </c>
      <c r="F95">
        <v>2003300</v>
      </c>
    </row>
    <row r="96" spans="1:6">
      <c r="A96" s="32">
        <v>43696</v>
      </c>
      <c r="B96">
        <v>140</v>
      </c>
      <c r="C96">
        <v>143</v>
      </c>
      <c r="D96">
        <v>140</v>
      </c>
      <c r="E96">
        <v>141.5</v>
      </c>
      <c r="F96">
        <v>1766400</v>
      </c>
    </row>
    <row r="97" spans="1:6">
      <c r="A97" s="32">
        <v>43693</v>
      </c>
      <c r="B97">
        <v>142.5</v>
      </c>
      <c r="C97">
        <v>142.5</v>
      </c>
      <c r="D97">
        <v>138.5</v>
      </c>
      <c r="E97">
        <v>140.5</v>
      </c>
      <c r="F97">
        <v>3387400</v>
      </c>
    </row>
    <row r="98" spans="1:6">
      <c r="A98" s="32">
        <v>43692</v>
      </c>
      <c r="B98">
        <v>140.5</v>
      </c>
      <c r="C98">
        <v>144.5</v>
      </c>
      <c r="D98">
        <v>139</v>
      </c>
      <c r="E98">
        <v>142.5</v>
      </c>
      <c r="F98">
        <v>2703500</v>
      </c>
    </row>
    <row r="99" spans="1:6">
      <c r="A99" s="32">
        <v>43691</v>
      </c>
      <c r="B99">
        <v>145</v>
      </c>
      <c r="C99">
        <v>146.5</v>
      </c>
      <c r="D99">
        <v>140.5</v>
      </c>
      <c r="E99">
        <v>141.5</v>
      </c>
      <c r="F99">
        <v>3086900</v>
      </c>
    </row>
    <row r="100" spans="1:6">
      <c r="A100" s="32">
        <v>43690</v>
      </c>
      <c r="B100">
        <v>149</v>
      </c>
      <c r="C100">
        <v>149</v>
      </c>
      <c r="D100">
        <v>142.5</v>
      </c>
      <c r="E100">
        <v>142.5</v>
      </c>
      <c r="F100">
        <v>2425900</v>
      </c>
    </row>
    <row r="101" spans="1:6">
      <c r="A101" s="32">
        <v>43686</v>
      </c>
      <c r="B101">
        <v>156</v>
      </c>
      <c r="C101">
        <v>156.5</v>
      </c>
      <c r="D101">
        <v>148.5</v>
      </c>
      <c r="E101">
        <v>148.5</v>
      </c>
      <c r="F101">
        <v>3666600</v>
      </c>
    </row>
    <row r="102" spans="1:6">
      <c r="A102" s="32">
        <v>43685</v>
      </c>
      <c r="B102">
        <v>165.5</v>
      </c>
      <c r="C102">
        <v>165.5</v>
      </c>
      <c r="D102">
        <v>156</v>
      </c>
      <c r="E102">
        <v>156.5</v>
      </c>
      <c r="F102">
        <v>3520400</v>
      </c>
    </row>
    <row r="103" spans="1:6">
      <c r="A103" s="32">
        <v>43684</v>
      </c>
      <c r="B103">
        <v>165.5</v>
      </c>
      <c r="C103">
        <v>167.5</v>
      </c>
      <c r="D103">
        <v>165</v>
      </c>
      <c r="E103">
        <v>165.5</v>
      </c>
      <c r="F103">
        <v>858100</v>
      </c>
    </row>
    <row r="104" spans="1:6">
      <c r="A104" s="32">
        <v>43683</v>
      </c>
      <c r="B104">
        <v>166</v>
      </c>
      <c r="C104">
        <v>168</v>
      </c>
      <c r="D104">
        <v>165</v>
      </c>
      <c r="E104">
        <v>166.5</v>
      </c>
      <c r="F104">
        <v>887900</v>
      </c>
    </row>
    <row r="105" spans="1:6">
      <c r="A105" s="32">
        <v>43682</v>
      </c>
      <c r="B105">
        <v>167.5</v>
      </c>
      <c r="C105">
        <v>169.5</v>
      </c>
      <c r="D105">
        <v>167</v>
      </c>
      <c r="E105">
        <v>167</v>
      </c>
      <c r="F105">
        <v>780300</v>
      </c>
    </row>
    <row r="106" spans="1:6">
      <c r="A106" s="32">
        <v>43679</v>
      </c>
      <c r="B106">
        <v>168</v>
      </c>
      <c r="C106">
        <v>169.5</v>
      </c>
      <c r="D106">
        <v>167</v>
      </c>
      <c r="E106">
        <v>167.5</v>
      </c>
      <c r="F106">
        <v>841800</v>
      </c>
    </row>
    <row r="107" spans="1:6">
      <c r="A107" s="32">
        <v>43678</v>
      </c>
      <c r="B107">
        <v>169</v>
      </c>
      <c r="C107">
        <v>170</v>
      </c>
      <c r="D107">
        <v>167.5</v>
      </c>
      <c r="E107">
        <v>168.5</v>
      </c>
      <c r="F107">
        <v>687700</v>
      </c>
    </row>
    <row r="108" spans="1:6">
      <c r="A108" s="32">
        <v>43677</v>
      </c>
      <c r="B108">
        <v>170</v>
      </c>
      <c r="C108">
        <v>171.5</v>
      </c>
      <c r="D108">
        <v>169</v>
      </c>
      <c r="E108">
        <v>170.5</v>
      </c>
      <c r="F108">
        <v>713700</v>
      </c>
    </row>
    <row r="109" spans="1:6">
      <c r="A109" s="32">
        <v>43676</v>
      </c>
      <c r="B109">
        <v>170.5</v>
      </c>
      <c r="C109">
        <v>171</v>
      </c>
      <c r="D109">
        <v>169</v>
      </c>
      <c r="E109">
        <v>170.5</v>
      </c>
      <c r="F109">
        <v>634500</v>
      </c>
    </row>
    <row r="110" spans="1:6">
      <c r="A110" s="32">
        <v>43672</v>
      </c>
      <c r="B110">
        <v>171</v>
      </c>
      <c r="C110">
        <v>171.5</v>
      </c>
      <c r="D110">
        <v>169.5</v>
      </c>
      <c r="E110">
        <v>169.5</v>
      </c>
      <c r="F110">
        <v>678600</v>
      </c>
    </row>
    <row r="111" spans="1:6">
      <c r="A111" s="32">
        <v>43671</v>
      </c>
      <c r="B111">
        <v>172.5</v>
      </c>
      <c r="C111">
        <v>172.5</v>
      </c>
      <c r="D111">
        <v>170.5</v>
      </c>
      <c r="E111">
        <v>171.5</v>
      </c>
      <c r="F111">
        <v>606000</v>
      </c>
    </row>
    <row r="112" spans="1:6">
      <c r="A112" s="32">
        <v>43670</v>
      </c>
      <c r="B112">
        <v>171.5</v>
      </c>
      <c r="C112">
        <v>172</v>
      </c>
      <c r="D112">
        <v>171</v>
      </c>
      <c r="E112">
        <v>171.5</v>
      </c>
      <c r="F112">
        <v>452700</v>
      </c>
    </row>
    <row r="113" spans="1:6">
      <c r="A113" s="32">
        <v>43669</v>
      </c>
      <c r="B113">
        <v>172.5</v>
      </c>
      <c r="C113">
        <v>173</v>
      </c>
      <c r="D113">
        <v>170</v>
      </c>
      <c r="E113">
        <v>171.5</v>
      </c>
      <c r="F113">
        <v>645100</v>
      </c>
    </row>
    <row r="114" spans="1:6">
      <c r="A114" s="32">
        <v>43668</v>
      </c>
      <c r="B114">
        <v>171.5</v>
      </c>
      <c r="C114">
        <v>172.5</v>
      </c>
      <c r="D114">
        <v>170.5</v>
      </c>
      <c r="E114">
        <v>172</v>
      </c>
      <c r="F114">
        <v>633500</v>
      </c>
    </row>
    <row r="115" spans="1:6">
      <c r="A115" s="32">
        <v>43665</v>
      </c>
      <c r="B115">
        <v>174</v>
      </c>
      <c r="C115">
        <v>174</v>
      </c>
      <c r="D115">
        <v>171.5</v>
      </c>
      <c r="E115">
        <v>172.5</v>
      </c>
      <c r="F115">
        <v>655400</v>
      </c>
    </row>
    <row r="116" spans="1:6">
      <c r="A116" s="32">
        <v>43664</v>
      </c>
      <c r="B116">
        <v>173</v>
      </c>
      <c r="C116">
        <v>174</v>
      </c>
      <c r="D116">
        <v>172.5</v>
      </c>
      <c r="E116">
        <v>172.5</v>
      </c>
      <c r="F116">
        <v>732200</v>
      </c>
    </row>
    <row r="117" spans="1:6">
      <c r="A117" s="32">
        <v>43663</v>
      </c>
      <c r="B117">
        <v>171.5</v>
      </c>
      <c r="C117">
        <v>173.5</v>
      </c>
      <c r="D117">
        <v>171</v>
      </c>
      <c r="E117">
        <v>173</v>
      </c>
      <c r="F117">
        <v>1142300</v>
      </c>
    </row>
    <row r="118" spans="1:6">
      <c r="A118" s="32">
        <v>43661</v>
      </c>
      <c r="B118">
        <v>172.5</v>
      </c>
      <c r="C118">
        <v>174.5</v>
      </c>
      <c r="D118">
        <v>171</v>
      </c>
      <c r="E118">
        <v>171</v>
      </c>
      <c r="F118">
        <v>702100</v>
      </c>
    </row>
    <row r="119" spans="1:6">
      <c r="A119" s="32">
        <v>43658</v>
      </c>
      <c r="B119">
        <v>174</v>
      </c>
      <c r="C119">
        <v>175</v>
      </c>
      <c r="D119">
        <v>170.5</v>
      </c>
      <c r="E119">
        <v>172</v>
      </c>
      <c r="F119">
        <v>1674100</v>
      </c>
    </row>
    <row r="120" spans="1:6">
      <c r="A120" s="32">
        <v>43657</v>
      </c>
      <c r="B120">
        <v>175.5</v>
      </c>
      <c r="C120">
        <v>176</v>
      </c>
      <c r="D120">
        <v>173</v>
      </c>
      <c r="E120">
        <v>173</v>
      </c>
      <c r="F120">
        <v>1120000</v>
      </c>
    </row>
    <row r="121" spans="1:6">
      <c r="A121" s="32">
        <v>43656</v>
      </c>
      <c r="B121">
        <v>175</v>
      </c>
      <c r="C121">
        <v>175</v>
      </c>
      <c r="D121">
        <v>173</v>
      </c>
      <c r="E121">
        <v>175</v>
      </c>
      <c r="F121">
        <v>1162400</v>
      </c>
    </row>
    <row r="122" spans="1:6">
      <c r="A122" s="32">
        <v>43655</v>
      </c>
      <c r="B122">
        <v>174</v>
      </c>
      <c r="C122">
        <v>175</v>
      </c>
      <c r="D122">
        <v>172.5</v>
      </c>
      <c r="E122">
        <v>174.5</v>
      </c>
      <c r="F122">
        <v>2174900</v>
      </c>
    </row>
    <row r="123" spans="1:6">
      <c r="A123" s="32">
        <v>43654</v>
      </c>
      <c r="B123">
        <v>172</v>
      </c>
      <c r="C123">
        <v>173.5</v>
      </c>
      <c r="D123">
        <v>170</v>
      </c>
      <c r="E123">
        <v>172.5</v>
      </c>
      <c r="F123">
        <v>1269000</v>
      </c>
    </row>
    <row r="124" spans="1:6">
      <c r="A124" s="32">
        <v>43651</v>
      </c>
      <c r="B124">
        <v>170.5</v>
      </c>
      <c r="C124">
        <v>171.5</v>
      </c>
      <c r="D124">
        <v>169.5</v>
      </c>
      <c r="E124">
        <v>171.5</v>
      </c>
      <c r="F124">
        <v>1270800</v>
      </c>
    </row>
    <row r="125" spans="1:6">
      <c r="A125" s="32">
        <v>43650</v>
      </c>
      <c r="B125">
        <v>170</v>
      </c>
      <c r="C125">
        <v>173</v>
      </c>
      <c r="D125">
        <v>169.5</v>
      </c>
      <c r="E125">
        <v>170.5</v>
      </c>
      <c r="F125">
        <v>2863900</v>
      </c>
    </row>
    <row r="126" spans="1:6">
      <c r="A126" s="32">
        <v>43649</v>
      </c>
      <c r="B126">
        <v>170</v>
      </c>
      <c r="C126">
        <v>171.5</v>
      </c>
      <c r="D126">
        <v>169.5</v>
      </c>
      <c r="E126">
        <v>169.5</v>
      </c>
      <c r="F126">
        <v>1074000</v>
      </c>
    </row>
    <row r="127" spans="1:6">
      <c r="A127" s="32">
        <v>43648</v>
      </c>
      <c r="B127">
        <v>167.5</v>
      </c>
      <c r="C127">
        <v>170</v>
      </c>
      <c r="D127">
        <v>167</v>
      </c>
      <c r="E127">
        <v>169.5</v>
      </c>
      <c r="F127">
        <v>1085200</v>
      </c>
    </row>
    <row r="128" spans="1:6">
      <c r="A128" s="32">
        <v>43647</v>
      </c>
      <c r="B128">
        <v>167</v>
      </c>
      <c r="C128">
        <v>169</v>
      </c>
      <c r="D128">
        <v>167</v>
      </c>
      <c r="E128">
        <v>167</v>
      </c>
      <c r="F128">
        <v>1198400</v>
      </c>
    </row>
    <row r="129" spans="1:6">
      <c r="A129" s="32">
        <v>43644</v>
      </c>
      <c r="B129">
        <v>170</v>
      </c>
      <c r="C129">
        <v>170</v>
      </c>
      <c r="D129">
        <v>168.5</v>
      </c>
      <c r="E129">
        <v>169</v>
      </c>
      <c r="F129">
        <v>876100</v>
      </c>
    </row>
    <row r="130" spans="1:6">
      <c r="A130" s="32">
        <v>43643</v>
      </c>
      <c r="B130">
        <v>170</v>
      </c>
      <c r="C130">
        <v>171</v>
      </c>
      <c r="D130">
        <v>169</v>
      </c>
      <c r="E130">
        <v>170</v>
      </c>
      <c r="F130">
        <v>949200</v>
      </c>
    </row>
    <row r="131" spans="1:6">
      <c r="A131" s="32">
        <v>43642</v>
      </c>
      <c r="B131">
        <v>170.5</v>
      </c>
      <c r="C131">
        <v>171</v>
      </c>
      <c r="D131">
        <v>168.5</v>
      </c>
      <c r="E131">
        <v>170</v>
      </c>
      <c r="F131">
        <v>1332600</v>
      </c>
    </row>
    <row r="132" spans="1:6">
      <c r="A132" s="32">
        <v>43641</v>
      </c>
      <c r="B132">
        <v>170.5</v>
      </c>
      <c r="C132">
        <v>172</v>
      </c>
      <c r="D132">
        <v>170</v>
      </c>
      <c r="E132">
        <v>171</v>
      </c>
      <c r="F132">
        <v>761400</v>
      </c>
    </row>
    <row r="133" spans="1:6">
      <c r="A133" s="32">
        <v>43640</v>
      </c>
      <c r="B133">
        <v>171</v>
      </c>
      <c r="C133">
        <v>172</v>
      </c>
      <c r="D133">
        <v>170.5</v>
      </c>
      <c r="E133">
        <v>170.5</v>
      </c>
      <c r="F133">
        <v>590500</v>
      </c>
    </row>
    <row r="134" spans="1:6">
      <c r="A134" s="32">
        <v>43637</v>
      </c>
      <c r="B134">
        <v>171</v>
      </c>
      <c r="C134">
        <v>172</v>
      </c>
      <c r="D134">
        <v>170</v>
      </c>
      <c r="E134">
        <v>170</v>
      </c>
      <c r="F134">
        <v>1631700</v>
      </c>
    </row>
    <row r="135" spans="1:6">
      <c r="A135" s="32">
        <v>43636</v>
      </c>
      <c r="B135">
        <v>169.5</v>
      </c>
      <c r="C135">
        <v>171</v>
      </c>
      <c r="D135">
        <v>169</v>
      </c>
      <c r="E135">
        <v>170.5</v>
      </c>
      <c r="F135">
        <v>1432000</v>
      </c>
    </row>
    <row r="136" spans="1:6">
      <c r="A136" s="32">
        <v>43635</v>
      </c>
      <c r="B136">
        <v>172</v>
      </c>
      <c r="C136">
        <v>172</v>
      </c>
      <c r="D136">
        <v>169</v>
      </c>
      <c r="E136">
        <v>170</v>
      </c>
      <c r="F136">
        <v>1328100</v>
      </c>
    </row>
    <row r="137" spans="1:6">
      <c r="A137" s="32">
        <v>43634</v>
      </c>
      <c r="B137">
        <v>170.5</v>
      </c>
      <c r="C137">
        <v>171.5</v>
      </c>
      <c r="D137">
        <v>168.5</v>
      </c>
      <c r="E137">
        <v>170.5</v>
      </c>
      <c r="F137">
        <v>1231400</v>
      </c>
    </row>
    <row r="138" spans="1:6">
      <c r="A138" s="32">
        <v>43633</v>
      </c>
      <c r="B138">
        <v>173</v>
      </c>
      <c r="C138">
        <v>173.5</v>
      </c>
      <c r="D138">
        <v>171</v>
      </c>
      <c r="E138">
        <v>171</v>
      </c>
      <c r="F138">
        <v>671700</v>
      </c>
    </row>
    <row r="139" spans="1:6">
      <c r="A139" s="32">
        <v>43630</v>
      </c>
      <c r="B139">
        <v>173</v>
      </c>
      <c r="C139">
        <v>173.5</v>
      </c>
      <c r="D139">
        <v>171</v>
      </c>
      <c r="E139">
        <v>173</v>
      </c>
      <c r="F139">
        <v>632100</v>
      </c>
    </row>
    <row r="140" spans="1:6">
      <c r="A140" s="32">
        <v>43629</v>
      </c>
      <c r="B140">
        <v>172</v>
      </c>
      <c r="C140">
        <v>173.5</v>
      </c>
      <c r="D140">
        <v>171.5</v>
      </c>
      <c r="E140">
        <v>173.5</v>
      </c>
      <c r="F140">
        <v>741800</v>
      </c>
    </row>
    <row r="141" spans="1:6">
      <c r="A141" s="32">
        <v>43628</v>
      </c>
      <c r="B141">
        <v>171.5</v>
      </c>
      <c r="C141">
        <v>173</v>
      </c>
      <c r="D141">
        <v>171.5</v>
      </c>
      <c r="E141">
        <v>173</v>
      </c>
      <c r="F141">
        <v>798700</v>
      </c>
    </row>
    <row r="142" spans="1:6">
      <c r="A142" s="32">
        <v>43627</v>
      </c>
      <c r="B142">
        <v>171</v>
      </c>
      <c r="C142">
        <v>172.5</v>
      </c>
      <c r="D142">
        <v>170.5</v>
      </c>
      <c r="E142">
        <v>171.5</v>
      </c>
      <c r="F142">
        <v>1231600</v>
      </c>
    </row>
    <row r="143" spans="1:6">
      <c r="A143" s="32">
        <v>43626</v>
      </c>
      <c r="B143">
        <v>173</v>
      </c>
      <c r="C143">
        <v>173</v>
      </c>
      <c r="D143">
        <v>170</v>
      </c>
      <c r="E143">
        <v>171</v>
      </c>
      <c r="F143">
        <v>707600</v>
      </c>
    </row>
    <row r="144" spans="1:6">
      <c r="A144" s="32">
        <v>43623</v>
      </c>
      <c r="B144">
        <v>173</v>
      </c>
      <c r="C144">
        <v>173</v>
      </c>
      <c r="D144">
        <v>171.5</v>
      </c>
      <c r="E144">
        <v>172</v>
      </c>
      <c r="F144">
        <v>392300</v>
      </c>
    </row>
    <row r="145" spans="1:6">
      <c r="A145" s="32">
        <v>43622</v>
      </c>
      <c r="B145">
        <v>171.5</v>
      </c>
      <c r="C145">
        <v>173.5</v>
      </c>
      <c r="D145">
        <v>171</v>
      </c>
      <c r="E145">
        <v>173</v>
      </c>
      <c r="F145">
        <v>1363500</v>
      </c>
    </row>
    <row r="146" spans="1:6">
      <c r="A146" s="32">
        <v>43621</v>
      </c>
      <c r="B146">
        <v>173</v>
      </c>
      <c r="C146">
        <v>173.5</v>
      </c>
      <c r="D146">
        <v>170</v>
      </c>
      <c r="E146">
        <v>171</v>
      </c>
      <c r="F146">
        <v>1256800</v>
      </c>
    </row>
    <row r="147" spans="1:6">
      <c r="A147" s="32">
        <v>43620</v>
      </c>
      <c r="B147">
        <v>169</v>
      </c>
      <c r="C147">
        <v>172.5</v>
      </c>
      <c r="D147">
        <v>168.5</v>
      </c>
      <c r="E147">
        <v>172</v>
      </c>
      <c r="F147">
        <v>1932800</v>
      </c>
    </row>
    <row r="148" spans="1:6">
      <c r="A148" s="32">
        <v>43616</v>
      </c>
      <c r="B148">
        <v>169</v>
      </c>
      <c r="C148">
        <v>169.5</v>
      </c>
      <c r="D148">
        <v>166</v>
      </c>
      <c r="E148">
        <v>167.5</v>
      </c>
      <c r="F148">
        <v>1283900</v>
      </c>
    </row>
    <row r="149" spans="1:6">
      <c r="A149" s="32">
        <v>43615</v>
      </c>
      <c r="B149">
        <v>167</v>
      </c>
      <c r="C149">
        <v>169</v>
      </c>
      <c r="D149">
        <v>167</v>
      </c>
      <c r="E149">
        <v>168.5</v>
      </c>
      <c r="F149">
        <v>911900</v>
      </c>
    </row>
    <row r="150" spans="1:6">
      <c r="A150" s="32">
        <v>43614</v>
      </c>
      <c r="B150">
        <v>167.5</v>
      </c>
      <c r="C150">
        <v>168</v>
      </c>
      <c r="D150">
        <v>166.5</v>
      </c>
      <c r="E150">
        <v>167</v>
      </c>
      <c r="F150">
        <v>618300</v>
      </c>
    </row>
    <row r="151" spans="1:6">
      <c r="A151" s="32">
        <v>43613</v>
      </c>
      <c r="B151">
        <v>167</v>
      </c>
      <c r="C151">
        <v>167.5</v>
      </c>
      <c r="D151">
        <v>165</v>
      </c>
      <c r="E151">
        <v>167.5</v>
      </c>
      <c r="F151">
        <v>7115900</v>
      </c>
    </row>
    <row r="152" spans="1:6">
      <c r="A152" s="32">
        <v>43612</v>
      </c>
      <c r="B152">
        <v>165</v>
      </c>
      <c r="C152">
        <v>167</v>
      </c>
      <c r="D152">
        <v>165</v>
      </c>
      <c r="E152">
        <v>166.5</v>
      </c>
      <c r="F152">
        <v>858300</v>
      </c>
    </row>
    <row r="153" spans="1:6">
      <c r="A153" s="32">
        <v>43609</v>
      </c>
      <c r="B153">
        <v>163</v>
      </c>
      <c r="C153">
        <v>165.5</v>
      </c>
      <c r="D153">
        <v>163</v>
      </c>
      <c r="E153">
        <v>165</v>
      </c>
      <c r="F153">
        <v>753800</v>
      </c>
    </row>
    <row r="154" spans="1:6">
      <c r="A154" s="32">
        <v>43608</v>
      </c>
      <c r="B154">
        <v>166</v>
      </c>
      <c r="C154">
        <v>167.5</v>
      </c>
      <c r="D154">
        <v>163.5</v>
      </c>
      <c r="E154">
        <v>163.5</v>
      </c>
      <c r="F154">
        <v>716800</v>
      </c>
    </row>
    <row r="155" spans="1:6">
      <c r="A155" s="32">
        <v>43607</v>
      </c>
      <c r="B155">
        <v>167.5</v>
      </c>
      <c r="C155">
        <v>168.5</v>
      </c>
      <c r="D155">
        <v>166</v>
      </c>
      <c r="E155">
        <v>166</v>
      </c>
      <c r="F155">
        <v>1252600</v>
      </c>
    </row>
    <row r="156" spans="1:6">
      <c r="A156" s="32">
        <v>43606</v>
      </c>
      <c r="B156">
        <v>164</v>
      </c>
      <c r="C156">
        <v>167</v>
      </c>
      <c r="D156">
        <v>163.5</v>
      </c>
      <c r="E156">
        <v>167</v>
      </c>
      <c r="F156">
        <v>1340400</v>
      </c>
    </row>
    <row r="157" spans="1:6">
      <c r="A157" s="32">
        <v>43602</v>
      </c>
      <c r="B157">
        <v>165.5</v>
      </c>
      <c r="C157">
        <v>165.5</v>
      </c>
      <c r="D157">
        <v>163</v>
      </c>
      <c r="E157">
        <v>163.5</v>
      </c>
      <c r="F157">
        <v>982600</v>
      </c>
    </row>
    <row r="158" spans="1:6">
      <c r="A158" s="32">
        <v>43601</v>
      </c>
      <c r="B158">
        <v>163</v>
      </c>
      <c r="C158">
        <v>165.5</v>
      </c>
      <c r="D158">
        <v>162.5</v>
      </c>
      <c r="E158">
        <v>165</v>
      </c>
      <c r="F158">
        <v>1214800</v>
      </c>
    </row>
    <row r="159" spans="1:6">
      <c r="A159" s="32">
        <v>43600</v>
      </c>
      <c r="B159">
        <v>164.5</v>
      </c>
      <c r="C159">
        <v>166.5</v>
      </c>
      <c r="D159">
        <v>163</v>
      </c>
      <c r="E159">
        <v>163</v>
      </c>
      <c r="F159">
        <v>1132900</v>
      </c>
    </row>
    <row r="160" spans="1:6">
      <c r="A160" s="32">
        <v>43599</v>
      </c>
      <c r="B160">
        <v>164.5</v>
      </c>
      <c r="C160">
        <v>166.5</v>
      </c>
      <c r="D160">
        <v>164</v>
      </c>
      <c r="E160">
        <v>164.5</v>
      </c>
      <c r="F160">
        <v>1596200</v>
      </c>
    </row>
    <row r="161" spans="1:6">
      <c r="A161" s="32">
        <v>43598</v>
      </c>
      <c r="B161">
        <v>168</v>
      </c>
      <c r="C161">
        <v>169</v>
      </c>
      <c r="D161">
        <v>164.5</v>
      </c>
      <c r="E161">
        <v>166.5</v>
      </c>
      <c r="F161">
        <v>1669300</v>
      </c>
    </row>
    <row r="162" spans="1:6">
      <c r="A162" s="32">
        <v>43595</v>
      </c>
      <c r="B162">
        <v>170</v>
      </c>
      <c r="C162">
        <v>170.5</v>
      </c>
      <c r="D162">
        <v>167</v>
      </c>
      <c r="E162">
        <v>168</v>
      </c>
      <c r="F162">
        <v>1534000</v>
      </c>
    </row>
    <row r="163" spans="1:6">
      <c r="A163" s="32">
        <v>43594</v>
      </c>
      <c r="B163">
        <v>169.5</v>
      </c>
      <c r="C163">
        <v>170.5</v>
      </c>
      <c r="D163">
        <v>169</v>
      </c>
      <c r="E163">
        <v>169</v>
      </c>
      <c r="F163">
        <v>776100</v>
      </c>
    </row>
    <row r="164" spans="1:6">
      <c r="A164" s="32">
        <v>43593</v>
      </c>
      <c r="B164">
        <v>169</v>
      </c>
      <c r="C164">
        <v>171</v>
      </c>
      <c r="D164">
        <v>169</v>
      </c>
      <c r="E164">
        <v>169.5</v>
      </c>
      <c r="F164">
        <v>1175900</v>
      </c>
    </row>
    <row r="165" spans="1:6">
      <c r="A165" s="32">
        <v>43592</v>
      </c>
      <c r="B165">
        <v>170.5</v>
      </c>
      <c r="C165">
        <v>171</v>
      </c>
      <c r="D165">
        <v>169</v>
      </c>
      <c r="E165">
        <v>169.5</v>
      </c>
      <c r="F165">
        <v>1899200</v>
      </c>
    </row>
    <row r="166" spans="1:6">
      <c r="A166" s="32">
        <v>43588</v>
      </c>
      <c r="B166">
        <v>171.5</v>
      </c>
      <c r="C166">
        <v>172.5</v>
      </c>
      <c r="D166">
        <v>171</v>
      </c>
      <c r="E166">
        <v>172</v>
      </c>
      <c r="F166">
        <v>1699600</v>
      </c>
    </row>
    <row r="167" spans="1:6">
      <c r="A167" s="32">
        <v>43587</v>
      </c>
      <c r="B167">
        <v>176</v>
      </c>
      <c r="C167">
        <v>176.5</v>
      </c>
      <c r="D167">
        <v>171</v>
      </c>
      <c r="E167">
        <v>172</v>
      </c>
      <c r="F167">
        <v>5231300</v>
      </c>
    </row>
    <row r="168" spans="1:6">
      <c r="A168" s="32">
        <v>43585</v>
      </c>
      <c r="B168">
        <v>177</v>
      </c>
      <c r="C168">
        <v>178</v>
      </c>
      <c r="D168">
        <v>176.5</v>
      </c>
      <c r="E168">
        <v>177</v>
      </c>
      <c r="F168">
        <v>1037200</v>
      </c>
    </row>
    <row r="169" spans="1:6">
      <c r="A169" s="32">
        <v>43584</v>
      </c>
      <c r="B169">
        <v>176</v>
      </c>
      <c r="C169">
        <v>178</v>
      </c>
      <c r="D169">
        <v>176</v>
      </c>
      <c r="E169">
        <v>177.5</v>
      </c>
      <c r="F169">
        <v>1096200</v>
      </c>
    </row>
    <row r="170" spans="1:6">
      <c r="A170" s="32">
        <v>43581</v>
      </c>
      <c r="B170">
        <v>176</v>
      </c>
      <c r="C170">
        <v>177</v>
      </c>
      <c r="D170">
        <v>175.5</v>
      </c>
      <c r="E170">
        <v>177</v>
      </c>
      <c r="F170">
        <v>644300</v>
      </c>
    </row>
    <row r="171" spans="1:6">
      <c r="A171" s="32">
        <v>43580</v>
      </c>
      <c r="B171">
        <v>177</v>
      </c>
      <c r="C171">
        <v>178</v>
      </c>
      <c r="D171">
        <v>175</v>
      </c>
      <c r="E171">
        <v>176.5</v>
      </c>
      <c r="F171">
        <v>1100200</v>
      </c>
    </row>
    <row r="172" spans="1:6">
      <c r="A172" s="32">
        <v>43579</v>
      </c>
      <c r="B172">
        <v>177.5</v>
      </c>
      <c r="C172">
        <v>178</v>
      </c>
      <c r="D172">
        <v>177</v>
      </c>
      <c r="E172">
        <v>177.5</v>
      </c>
      <c r="F172">
        <v>1118300</v>
      </c>
    </row>
    <row r="173" spans="1:6">
      <c r="A173" s="32">
        <v>43578</v>
      </c>
      <c r="B173">
        <v>177.5</v>
      </c>
      <c r="C173">
        <v>178.5</v>
      </c>
      <c r="D173">
        <v>177</v>
      </c>
      <c r="E173">
        <v>178</v>
      </c>
      <c r="F173">
        <v>716700</v>
      </c>
    </row>
    <row r="174" spans="1:6">
      <c r="A174" s="32">
        <v>43577</v>
      </c>
      <c r="B174">
        <v>178</v>
      </c>
      <c r="C174">
        <v>179</v>
      </c>
      <c r="D174">
        <v>177</v>
      </c>
      <c r="E174">
        <v>178.5</v>
      </c>
      <c r="F174">
        <v>711900</v>
      </c>
    </row>
    <row r="175" spans="1:6">
      <c r="A175" s="32">
        <v>43574</v>
      </c>
      <c r="B175">
        <v>178</v>
      </c>
      <c r="C175">
        <v>179</v>
      </c>
      <c r="D175">
        <v>177.5</v>
      </c>
      <c r="E175">
        <v>178</v>
      </c>
      <c r="F175">
        <v>1109700</v>
      </c>
    </row>
    <row r="176" spans="1:6">
      <c r="A176" s="32">
        <v>43573</v>
      </c>
      <c r="B176">
        <v>177.5</v>
      </c>
      <c r="C176">
        <v>179</v>
      </c>
      <c r="D176">
        <v>177</v>
      </c>
      <c r="E176">
        <v>179</v>
      </c>
      <c r="F176">
        <v>1276200</v>
      </c>
    </row>
    <row r="177" spans="1:6">
      <c r="A177" s="32">
        <v>43572</v>
      </c>
      <c r="B177">
        <v>179</v>
      </c>
      <c r="C177">
        <v>179.5</v>
      </c>
      <c r="D177">
        <v>177.5</v>
      </c>
      <c r="E177">
        <v>178.5</v>
      </c>
      <c r="F177">
        <v>1387900</v>
      </c>
    </row>
    <row r="178" spans="1:6">
      <c r="A178" s="32">
        <v>43567</v>
      </c>
      <c r="B178">
        <v>178</v>
      </c>
      <c r="C178">
        <v>180</v>
      </c>
      <c r="D178">
        <v>177</v>
      </c>
      <c r="E178">
        <v>179</v>
      </c>
      <c r="F178">
        <v>1362700</v>
      </c>
    </row>
    <row r="179" spans="1:6">
      <c r="A179" s="32">
        <v>43566</v>
      </c>
      <c r="B179">
        <v>179.5</v>
      </c>
      <c r="C179">
        <v>180</v>
      </c>
      <c r="D179">
        <v>177.5</v>
      </c>
      <c r="E179">
        <v>178.5</v>
      </c>
      <c r="F179">
        <v>1106900</v>
      </c>
    </row>
    <row r="180" spans="1:6">
      <c r="A180" s="32">
        <v>43565</v>
      </c>
      <c r="B180">
        <v>180.5</v>
      </c>
      <c r="C180">
        <v>181</v>
      </c>
      <c r="D180">
        <v>178</v>
      </c>
      <c r="E180">
        <v>179.5</v>
      </c>
      <c r="F180">
        <v>1161500</v>
      </c>
    </row>
    <row r="181" spans="1:6">
      <c r="A181" s="32">
        <v>43564</v>
      </c>
      <c r="B181">
        <v>178</v>
      </c>
      <c r="C181">
        <v>180</v>
      </c>
      <c r="D181">
        <v>177.5</v>
      </c>
      <c r="E181">
        <v>179.5</v>
      </c>
      <c r="F181">
        <v>1040100</v>
      </c>
    </row>
    <row r="182" spans="1:6">
      <c r="A182" s="32">
        <v>43560</v>
      </c>
      <c r="B182">
        <v>179</v>
      </c>
      <c r="C182">
        <v>179.5</v>
      </c>
      <c r="D182">
        <v>177.5</v>
      </c>
      <c r="E182">
        <v>178</v>
      </c>
      <c r="F182">
        <v>479000</v>
      </c>
    </row>
    <row r="183" spans="1:6">
      <c r="A183" s="32">
        <v>43559</v>
      </c>
      <c r="B183">
        <v>180</v>
      </c>
      <c r="C183">
        <v>180</v>
      </c>
      <c r="D183">
        <v>178</v>
      </c>
      <c r="E183">
        <v>178.5</v>
      </c>
      <c r="F183">
        <v>424500</v>
      </c>
    </row>
    <row r="184" spans="1:6">
      <c r="A184" s="32">
        <v>43558</v>
      </c>
      <c r="B184">
        <v>180.5</v>
      </c>
      <c r="C184">
        <v>180.5</v>
      </c>
      <c r="D184">
        <v>178.5</v>
      </c>
      <c r="E184">
        <v>180</v>
      </c>
      <c r="F184">
        <v>794300</v>
      </c>
    </row>
    <row r="185" spans="1:6">
      <c r="A185" s="32">
        <v>43557</v>
      </c>
      <c r="B185">
        <v>180.5</v>
      </c>
      <c r="C185">
        <v>181</v>
      </c>
      <c r="D185">
        <v>178.5</v>
      </c>
      <c r="E185">
        <v>179.5</v>
      </c>
      <c r="F185">
        <v>1209900</v>
      </c>
    </row>
    <row r="186" spans="1:6">
      <c r="A186" s="32">
        <v>43556</v>
      </c>
      <c r="B186">
        <v>180.5</v>
      </c>
      <c r="C186">
        <v>181</v>
      </c>
      <c r="D186">
        <v>179</v>
      </c>
      <c r="E186">
        <v>180.5</v>
      </c>
      <c r="F186">
        <v>1794300</v>
      </c>
    </row>
    <row r="187" spans="1:6">
      <c r="A187" s="32">
        <v>43553</v>
      </c>
      <c r="B187">
        <v>178.5</v>
      </c>
      <c r="C187">
        <v>180</v>
      </c>
      <c r="D187">
        <v>178</v>
      </c>
      <c r="E187">
        <v>179.5</v>
      </c>
      <c r="F187">
        <v>1515500</v>
      </c>
    </row>
    <row r="188" spans="1:6">
      <c r="A188" s="32">
        <v>43552</v>
      </c>
      <c r="B188">
        <v>176.5</v>
      </c>
      <c r="C188">
        <v>178</v>
      </c>
      <c r="D188">
        <v>176</v>
      </c>
      <c r="E188">
        <v>178</v>
      </c>
      <c r="F188">
        <v>951700</v>
      </c>
    </row>
    <row r="189" spans="1:6">
      <c r="A189" s="32">
        <v>43551</v>
      </c>
      <c r="B189">
        <v>177</v>
      </c>
      <c r="C189">
        <v>178</v>
      </c>
      <c r="D189">
        <v>176</v>
      </c>
      <c r="E189">
        <v>177.5</v>
      </c>
      <c r="F189">
        <v>629000</v>
      </c>
    </row>
    <row r="190" spans="1:6">
      <c r="A190" s="32">
        <v>43550</v>
      </c>
      <c r="B190">
        <v>175.5</v>
      </c>
      <c r="C190">
        <v>177.5</v>
      </c>
      <c r="D190">
        <v>175.5</v>
      </c>
      <c r="E190">
        <v>177.5</v>
      </c>
      <c r="F190">
        <v>930600</v>
      </c>
    </row>
    <row r="191" spans="1:6">
      <c r="A191" s="32">
        <v>43549</v>
      </c>
      <c r="B191">
        <v>177</v>
      </c>
      <c r="C191">
        <v>178</v>
      </c>
      <c r="D191">
        <v>174.5</v>
      </c>
      <c r="E191">
        <v>175.5</v>
      </c>
      <c r="F191">
        <v>1129100</v>
      </c>
    </row>
    <row r="192" spans="1:6">
      <c r="A192" s="32">
        <v>43546</v>
      </c>
      <c r="B192">
        <v>177.5</v>
      </c>
      <c r="C192">
        <v>178.5</v>
      </c>
      <c r="D192">
        <v>176</v>
      </c>
      <c r="E192">
        <v>178.5</v>
      </c>
      <c r="F192">
        <v>1347700</v>
      </c>
    </row>
    <row r="193" spans="1:6">
      <c r="A193" s="32">
        <v>43545</v>
      </c>
      <c r="B193">
        <v>178</v>
      </c>
      <c r="C193">
        <v>179</v>
      </c>
      <c r="D193">
        <v>177</v>
      </c>
      <c r="E193">
        <v>177.5</v>
      </c>
      <c r="F193">
        <v>1037000</v>
      </c>
    </row>
    <row r="194" spans="1:6">
      <c r="A194" s="32">
        <v>43544</v>
      </c>
      <c r="B194">
        <v>177.5</v>
      </c>
      <c r="C194">
        <v>178</v>
      </c>
      <c r="D194">
        <v>177</v>
      </c>
      <c r="E194">
        <v>177</v>
      </c>
      <c r="F194">
        <v>675200</v>
      </c>
    </row>
    <row r="195" spans="1:6">
      <c r="A195" s="32">
        <v>43543</v>
      </c>
      <c r="B195">
        <v>178</v>
      </c>
      <c r="C195">
        <v>179</v>
      </c>
      <c r="D195">
        <v>177</v>
      </c>
      <c r="E195">
        <v>177.5</v>
      </c>
      <c r="F195">
        <v>962100</v>
      </c>
    </row>
    <row r="196" spans="1:6">
      <c r="A196" s="32">
        <v>43542</v>
      </c>
      <c r="B196">
        <v>178.5</v>
      </c>
      <c r="C196">
        <v>179.5</v>
      </c>
      <c r="D196">
        <v>176.5</v>
      </c>
      <c r="E196">
        <v>177.5</v>
      </c>
      <c r="F196">
        <v>781600</v>
      </c>
    </row>
    <row r="197" spans="1:6">
      <c r="A197" s="32">
        <v>43539</v>
      </c>
      <c r="B197">
        <v>179</v>
      </c>
      <c r="C197">
        <v>180</v>
      </c>
      <c r="D197">
        <v>178</v>
      </c>
      <c r="E197">
        <v>178.5</v>
      </c>
      <c r="F197">
        <v>1197200</v>
      </c>
    </row>
    <row r="198" spans="1:6">
      <c r="A198" s="32">
        <v>43538</v>
      </c>
      <c r="B198">
        <v>180</v>
      </c>
      <c r="C198">
        <v>180</v>
      </c>
      <c r="D198">
        <v>178.5</v>
      </c>
      <c r="E198">
        <v>179</v>
      </c>
      <c r="F198">
        <v>1056000</v>
      </c>
    </row>
    <row r="199" spans="1:6">
      <c r="A199" s="32">
        <v>43537</v>
      </c>
      <c r="B199">
        <v>180</v>
      </c>
      <c r="C199">
        <v>181</v>
      </c>
      <c r="D199">
        <v>179</v>
      </c>
      <c r="E199">
        <v>180</v>
      </c>
      <c r="F199">
        <v>782300</v>
      </c>
    </row>
    <row r="200" spans="1:6">
      <c r="A200" s="32">
        <v>43536</v>
      </c>
      <c r="B200">
        <v>178.5</v>
      </c>
      <c r="C200">
        <v>181.5</v>
      </c>
      <c r="D200">
        <v>178.5</v>
      </c>
      <c r="E200">
        <v>180.5</v>
      </c>
      <c r="F200">
        <v>1258300</v>
      </c>
    </row>
    <row r="201" spans="1:6">
      <c r="A201" s="32">
        <v>43535</v>
      </c>
      <c r="B201">
        <v>181</v>
      </c>
      <c r="C201">
        <v>181</v>
      </c>
      <c r="D201">
        <v>178.5</v>
      </c>
      <c r="E201">
        <v>178.5</v>
      </c>
      <c r="F201">
        <v>555100</v>
      </c>
    </row>
    <row r="202" spans="1:6">
      <c r="A202" s="32">
        <v>43532</v>
      </c>
      <c r="B202">
        <v>180.5</v>
      </c>
      <c r="C202">
        <v>181.5</v>
      </c>
      <c r="D202">
        <v>179</v>
      </c>
      <c r="E202">
        <v>179.5</v>
      </c>
      <c r="F202">
        <v>550500</v>
      </c>
    </row>
    <row r="203" spans="1:6">
      <c r="A203" s="32">
        <v>43531</v>
      </c>
      <c r="B203">
        <v>179.5</v>
      </c>
      <c r="C203">
        <v>182</v>
      </c>
      <c r="D203">
        <v>179.5</v>
      </c>
      <c r="E203">
        <v>181.5</v>
      </c>
      <c r="F203">
        <v>695600</v>
      </c>
    </row>
    <row r="204" spans="1:6">
      <c r="A204" s="32">
        <v>43530</v>
      </c>
      <c r="B204">
        <v>181.5</v>
      </c>
      <c r="C204">
        <v>182</v>
      </c>
      <c r="D204">
        <v>178.5</v>
      </c>
      <c r="E204">
        <v>180</v>
      </c>
      <c r="F204">
        <v>1252300</v>
      </c>
    </row>
    <row r="205" spans="1:6">
      <c r="A205" s="32">
        <v>43529</v>
      </c>
      <c r="B205">
        <v>183</v>
      </c>
      <c r="C205">
        <v>183.5</v>
      </c>
      <c r="D205">
        <v>181</v>
      </c>
      <c r="E205">
        <v>183</v>
      </c>
      <c r="F205">
        <v>1144100</v>
      </c>
    </row>
    <row r="206" spans="1:6">
      <c r="A206" s="32">
        <v>43528</v>
      </c>
      <c r="B206">
        <v>186</v>
      </c>
      <c r="C206">
        <v>187</v>
      </c>
      <c r="D206">
        <v>182.5</v>
      </c>
      <c r="E206">
        <v>183</v>
      </c>
      <c r="F206">
        <v>1417000</v>
      </c>
    </row>
    <row r="207" spans="1:6">
      <c r="A207" s="32">
        <v>43525</v>
      </c>
      <c r="B207">
        <v>186</v>
      </c>
      <c r="C207">
        <v>188.5</v>
      </c>
      <c r="D207">
        <v>185.5</v>
      </c>
      <c r="E207">
        <v>186.5</v>
      </c>
      <c r="F207">
        <v>656200</v>
      </c>
    </row>
    <row r="208" spans="1:6">
      <c r="A208" s="32">
        <v>43524</v>
      </c>
      <c r="B208">
        <v>188.5</v>
      </c>
      <c r="C208">
        <v>189.5</v>
      </c>
      <c r="D208">
        <v>186.5</v>
      </c>
      <c r="E208">
        <v>186.5</v>
      </c>
      <c r="F208">
        <v>1216100</v>
      </c>
    </row>
    <row r="209" spans="1:6">
      <c r="A209" s="32">
        <v>43523</v>
      </c>
      <c r="B209">
        <v>189</v>
      </c>
      <c r="C209">
        <v>190</v>
      </c>
      <c r="D209">
        <v>187</v>
      </c>
      <c r="E209">
        <v>188</v>
      </c>
      <c r="F209">
        <v>1013500</v>
      </c>
    </row>
    <row r="210" spans="1:6">
      <c r="A210" s="32">
        <v>43522</v>
      </c>
      <c r="B210">
        <v>185</v>
      </c>
      <c r="C210">
        <v>190.5</v>
      </c>
      <c r="D210">
        <v>185</v>
      </c>
      <c r="E210">
        <v>189</v>
      </c>
      <c r="F210">
        <v>2691500</v>
      </c>
    </row>
    <row r="211" spans="1:6">
      <c r="A211" s="32">
        <v>43521</v>
      </c>
      <c r="B211">
        <v>185</v>
      </c>
      <c r="C211">
        <v>186</v>
      </c>
      <c r="D211">
        <v>184</v>
      </c>
      <c r="E211">
        <v>185.5</v>
      </c>
      <c r="F211">
        <v>578300</v>
      </c>
    </row>
    <row r="212" spans="1:6">
      <c r="A212" s="32">
        <v>43518</v>
      </c>
      <c r="B212">
        <v>183</v>
      </c>
      <c r="C212">
        <v>184.5</v>
      </c>
      <c r="D212">
        <v>181.5</v>
      </c>
      <c r="E212">
        <v>184</v>
      </c>
      <c r="F212">
        <v>760000</v>
      </c>
    </row>
    <row r="213" spans="1:6">
      <c r="A213" s="32">
        <v>43517</v>
      </c>
      <c r="B213">
        <v>184</v>
      </c>
      <c r="C213">
        <v>184.5</v>
      </c>
      <c r="D213">
        <v>181.5</v>
      </c>
      <c r="E213">
        <v>182.5</v>
      </c>
      <c r="F213">
        <v>1247700</v>
      </c>
    </row>
    <row r="214" spans="1:6">
      <c r="A214" s="32">
        <v>43516</v>
      </c>
      <c r="B214">
        <v>182.5</v>
      </c>
      <c r="C214">
        <v>185.5</v>
      </c>
      <c r="D214">
        <v>182</v>
      </c>
      <c r="E214">
        <v>185.5</v>
      </c>
      <c r="F214">
        <v>1252300</v>
      </c>
    </row>
    <row r="215" spans="1:6">
      <c r="A215" s="32">
        <v>43514</v>
      </c>
      <c r="B215">
        <v>184</v>
      </c>
      <c r="C215">
        <v>184</v>
      </c>
      <c r="D215">
        <v>181.5</v>
      </c>
      <c r="E215">
        <v>181.5</v>
      </c>
      <c r="F215">
        <v>350300</v>
      </c>
    </row>
    <row r="216" spans="1:6">
      <c r="A216" s="32">
        <v>43511</v>
      </c>
      <c r="B216">
        <v>182</v>
      </c>
      <c r="C216">
        <v>184</v>
      </c>
      <c r="D216">
        <v>181.5</v>
      </c>
      <c r="E216">
        <v>183.5</v>
      </c>
      <c r="F216">
        <v>1026000</v>
      </c>
    </row>
    <row r="217" spans="1:6">
      <c r="A217" s="32">
        <v>43510</v>
      </c>
      <c r="B217">
        <v>181</v>
      </c>
      <c r="C217">
        <v>182.5</v>
      </c>
      <c r="D217">
        <v>180.5</v>
      </c>
      <c r="E217">
        <v>182.5</v>
      </c>
      <c r="F217">
        <v>816800</v>
      </c>
    </row>
    <row r="218" spans="1:6">
      <c r="A218" s="32">
        <v>43509</v>
      </c>
      <c r="B218">
        <v>182.5</v>
      </c>
      <c r="C218">
        <v>183</v>
      </c>
      <c r="D218">
        <v>180</v>
      </c>
      <c r="E218">
        <v>180.5</v>
      </c>
      <c r="F218">
        <v>1949200</v>
      </c>
    </row>
    <row r="219" spans="1:6">
      <c r="A219" s="32">
        <v>43508</v>
      </c>
      <c r="B219">
        <v>183</v>
      </c>
      <c r="C219">
        <v>185</v>
      </c>
      <c r="D219">
        <v>181</v>
      </c>
      <c r="E219">
        <v>182</v>
      </c>
      <c r="F219">
        <v>1313800</v>
      </c>
    </row>
    <row r="220" spans="1:6">
      <c r="A220" s="32">
        <v>43507</v>
      </c>
      <c r="B220">
        <v>183</v>
      </c>
      <c r="C220">
        <v>184.5</v>
      </c>
      <c r="D220">
        <v>182</v>
      </c>
      <c r="E220">
        <v>183</v>
      </c>
      <c r="F220">
        <v>568200</v>
      </c>
    </row>
    <row r="221" spans="1:6">
      <c r="A221" s="32">
        <v>43504</v>
      </c>
      <c r="B221">
        <v>181.5</v>
      </c>
      <c r="C221">
        <v>185</v>
      </c>
      <c r="D221">
        <v>181</v>
      </c>
      <c r="E221">
        <v>184</v>
      </c>
      <c r="F221">
        <v>724300</v>
      </c>
    </row>
    <row r="222" spans="1:6">
      <c r="A222" s="32">
        <v>43503</v>
      </c>
      <c r="B222">
        <v>186.5</v>
      </c>
      <c r="C222">
        <v>186.5</v>
      </c>
      <c r="D222">
        <v>181.5</v>
      </c>
      <c r="E222">
        <v>181.5</v>
      </c>
      <c r="F222">
        <v>1757600</v>
      </c>
    </row>
    <row r="223" spans="1:6">
      <c r="A223" s="32">
        <v>43502</v>
      </c>
      <c r="B223">
        <v>186</v>
      </c>
      <c r="C223">
        <v>187</v>
      </c>
      <c r="D223">
        <v>184.5</v>
      </c>
      <c r="E223">
        <v>186.5</v>
      </c>
      <c r="F223">
        <v>565600</v>
      </c>
    </row>
    <row r="224" spans="1:6">
      <c r="A224" s="32">
        <v>43501</v>
      </c>
      <c r="B224">
        <v>186.5</v>
      </c>
      <c r="C224">
        <v>187.5</v>
      </c>
      <c r="D224">
        <v>186</v>
      </c>
      <c r="E224">
        <v>186</v>
      </c>
      <c r="F224">
        <v>263700</v>
      </c>
    </row>
    <row r="225" spans="1:6">
      <c r="A225" s="32">
        <v>43500</v>
      </c>
      <c r="B225">
        <v>187</v>
      </c>
      <c r="C225">
        <v>187.5</v>
      </c>
      <c r="D225">
        <v>186.5</v>
      </c>
      <c r="E225">
        <v>187.5</v>
      </c>
      <c r="F225">
        <v>457300</v>
      </c>
    </row>
    <row r="226" spans="1:6">
      <c r="A226" s="32">
        <v>43497</v>
      </c>
      <c r="B226">
        <v>185.5</v>
      </c>
      <c r="C226">
        <v>188</v>
      </c>
      <c r="D226">
        <v>185.5</v>
      </c>
      <c r="E226">
        <v>187</v>
      </c>
      <c r="F226">
        <v>1002400</v>
      </c>
    </row>
    <row r="227" spans="1:6">
      <c r="A227" s="32">
        <v>43496</v>
      </c>
      <c r="B227">
        <v>186.5</v>
      </c>
      <c r="C227">
        <v>189.5</v>
      </c>
      <c r="D227">
        <v>185.5</v>
      </c>
      <c r="E227">
        <v>186</v>
      </c>
      <c r="F227">
        <v>1570500</v>
      </c>
    </row>
    <row r="228" spans="1:6">
      <c r="A228" s="32">
        <v>43495</v>
      </c>
      <c r="B228">
        <v>185.5</v>
      </c>
      <c r="C228">
        <v>187</v>
      </c>
      <c r="D228">
        <v>184</v>
      </c>
      <c r="E228">
        <v>185.5</v>
      </c>
      <c r="F228">
        <v>889100</v>
      </c>
    </row>
    <row r="229" spans="1:6">
      <c r="A229" s="32">
        <v>43494</v>
      </c>
      <c r="B229">
        <v>187</v>
      </c>
      <c r="C229">
        <v>187</v>
      </c>
      <c r="D229">
        <v>184.5</v>
      </c>
      <c r="E229">
        <v>186</v>
      </c>
      <c r="F229">
        <v>858200</v>
      </c>
    </row>
    <row r="230" spans="1:6">
      <c r="A230" s="32">
        <v>43493</v>
      </c>
      <c r="B230">
        <v>183.5</v>
      </c>
      <c r="C230">
        <v>188</v>
      </c>
      <c r="D230">
        <v>183.5</v>
      </c>
      <c r="E230">
        <v>188</v>
      </c>
      <c r="F230">
        <v>1356100</v>
      </c>
    </row>
    <row r="231" spans="1:6">
      <c r="A231" s="32">
        <v>43490</v>
      </c>
      <c r="B231">
        <v>186</v>
      </c>
      <c r="C231">
        <v>186</v>
      </c>
      <c r="D231">
        <v>183.5</v>
      </c>
      <c r="E231">
        <v>184</v>
      </c>
      <c r="F231">
        <v>696800</v>
      </c>
    </row>
    <row r="232" spans="1:6">
      <c r="A232" s="32">
        <v>43489</v>
      </c>
      <c r="B232">
        <v>185</v>
      </c>
      <c r="C232">
        <v>185</v>
      </c>
      <c r="D232">
        <v>183</v>
      </c>
      <c r="E232">
        <v>185</v>
      </c>
      <c r="F232">
        <v>1468900</v>
      </c>
    </row>
    <row r="233" spans="1:6">
      <c r="A233" s="32">
        <v>43488</v>
      </c>
      <c r="B233">
        <v>184</v>
      </c>
      <c r="C233">
        <v>185</v>
      </c>
      <c r="D233">
        <v>183</v>
      </c>
      <c r="E233">
        <v>183.5</v>
      </c>
      <c r="F233">
        <v>1420800</v>
      </c>
    </row>
    <row r="234" spans="1:6">
      <c r="A234" s="32">
        <v>43487</v>
      </c>
      <c r="B234">
        <v>178</v>
      </c>
      <c r="C234">
        <v>184.5</v>
      </c>
      <c r="D234">
        <v>177</v>
      </c>
      <c r="E234">
        <v>184</v>
      </c>
      <c r="F234">
        <v>2740300</v>
      </c>
    </row>
    <row r="235" spans="1:6">
      <c r="A235" s="32">
        <v>43486</v>
      </c>
      <c r="B235">
        <v>178.5</v>
      </c>
      <c r="C235">
        <v>179</v>
      </c>
      <c r="D235">
        <v>176</v>
      </c>
      <c r="E235">
        <v>177</v>
      </c>
      <c r="F235">
        <v>1348200</v>
      </c>
    </row>
    <row r="236" spans="1:6">
      <c r="A236" s="32">
        <v>43483</v>
      </c>
      <c r="B236">
        <v>181.5</v>
      </c>
      <c r="C236">
        <v>182</v>
      </c>
      <c r="D236">
        <v>180</v>
      </c>
      <c r="E236">
        <v>181</v>
      </c>
      <c r="F236">
        <v>1032900</v>
      </c>
    </row>
    <row r="237" spans="1:6">
      <c r="A237" s="32">
        <v>43482</v>
      </c>
      <c r="B237">
        <v>181.5</v>
      </c>
      <c r="C237">
        <v>181.5</v>
      </c>
      <c r="D237">
        <v>179</v>
      </c>
      <c r="E237">
        <v>181</v>
      </c>
      <c r="F237">
        <v>900600</v>
      </c>
    </row>
    <row r="238" spans="1:6">
      <c r="A238" s="32">
        <v>43481</v>
      </c>
      <c r="B238">
        <v>180</v>
      </c>
      <c r="C238">
        <v>181.5</v>
      </c>
      <c r="D238">
        <v>179</v>
      </c>
      <c r="E238">
        <v>181</v>
      </c>
      <c r="F238">
        <v>931900</v>
      </c>
    </row>
    <row r="239" spans="1:6">
      <c r="A239" s="32">
        <v>43480</v>
      </c>
      <c r="B239">
        <v>182</v>
      </c>
      <c r="C239">
        <v>182.5</v>
      </c>
      <c r="D239">
        <v>178.5</v>
      </c>
      <c r="E239">
        <v>180</v>
      </c>
      <c r="F239">
        <v>1345600</v>
      </c>
    </row>
    <row r="240" spans="1:6">
      <c r="A240" s="32">
        <v>43479</v>
      </c>
      <c r="B240">
        <v>180</v>
      </c>
      <c r="C240">
        <v>182</v>
      </c>
      <c r="D240">
        <v>178.5</v>
      </c>
      <c r="E240">
        <v>182</v>
      </c>
      <c r="F240">
        <v>2285500</v>
      </c>
    </row>
    <row r="241" spans="1:6">
      <c r="A241" s="32">
        <v>43476</v>
      </c>
      <c r="B241">
        <v>173</v>
      </c>
      <c r="C241">
        <v>178</v>
      </c>
      <c r="D241">
        <v>172</v>
      </c>
      <c r="E241">
        <v>178</v>
      </c>
      <c r="F241">
        <v>4691400</v>
      </c>
    </row>
    <row r="242" spans="1:6">
      <c r="A242" s="32">
        <v>43475</v>
      </c>
      <c r="B242">
        <v>172</v>
      </c>
      <c r="C242">
        <v>173</v>
      </c>
      <c r="D242">
        <v>168.5</v>
      </c>
      <c r="E242">
        <v>172</v>
      </c>
      <c r="F242">
        <v>11793700</v>
      </c>
    </row>
    <row r="243" spans="1:6">
      <c r="A243" s="32">
        <v>43474</v>
      </c>
      <c r="B243">
        <v>193</v>
      </c>
      <c r="C243">
        <v>194</v>
      </c>
      <c r="D243">
        <v>174</v>
      </c>
      <c r="E243">
        <v>176</v>
      </c>
      <c r="F243">
        <v>6002600</v>
      </c>
    </row>
    <row r="244" spans="1:6">
      <c r="A244" s="32">
        <v>43473</v>
      </c>
      <c r="B244">
        <v>191.5</v>
      </c>
      <c r="C244">
        <v>193.5</v>
      </c>
      <c r="D244">
        <v>190.5</v>
      </c>
      <c r="E244">
        <v>192.5</v>
      </c>
      <c r="F244">
        <v>1390100</v>
      </c>
    </row>
    <row r="245" spans="1:6">
      <c r="A245" s="32">
        <v>43472</v>
      </c>
      <c r="B245">
        <v>188</v>
      </c>
      <c r="C245">
        <v>190.5</v>
      </c>
      <c r="D245">
        <v>188</v>
      </c>
      <c r="E245">
        <v>190.5</v>
      </c>
      <c r="F245">
        <v>937100</v>
      </c>
    </row>
    <row r="246" spans="1:6">
      <c r="A246" s="32">
        <v>43469</v>
      </c>
      <c r="B246">
        <v>190.5</v>
      </c>
      <c r="C246">
        <v>190.5</v>
      </c>
      <c r="D246">
        <v>186</v>
      </c>
      <c r="E246">
        <v>187</v>
      </c>
      <c r="F246">
        <v>1467500</v>
      </c>
    </row>
    <row r="247" spans="1:6">
      <c r="A247" s="32">
        <v>43468</v>
      </c>
      <c r="B247">
        <v>188.5</v>
      </c>
      <c r="C247">
        <v>192.5</v>
      </c>
      <c r="D247">
        <v>187.5</v>
      </c>
      <c r="E247">
        <v>190</v>
      </c>
      <c r="F247">
        <v>1087500</v>
      </c>
    </row>
    <row r="248" spans="1:6">
      <c r="A248" s="32">
        <v>43467</v>
      </c>
      <c r="B248">
        <v>187</v>
      </c>
      <c r="C248">
        <v>190.5</v>
      </c>
      <c r="D248">
        <v>187</v>
      </c>
      <c r="E248">
        <v>187</v>
      </c>
      <c r="F248">
        <v>978300</v>
      </c>
    </row>
    <row r="249" spans="1:6">
      <c r="A249" s="32">
        <v>43462</v>
      </c>
      <c r="B249">
        <v>184</v>
      </c>
      <c r="C249">
        <v>189</v>
      </c>
      <c r="D249">
        <v>183</v>
      </c>
      <c r="E249">
        <v>187.5</v>
      </c>
      <c r="F249">
        <v>1006100</v>
      </c>
    </row>
    <row r="250" spans="1:6">
      <c r="A250" s="32">
        <v>43461</v>
      </c>
      <c r="B250">
        <v>194</v>
      </c>
      <c r="C250">
        <v>194</v>
      </c>
      <c r="D250">
        <v>183.5</v>
      </c>
      <c r="E250">
        <v>184.5</v>
      </c>
      <c r="F250">
        <v>1792500</v>
      </c>
    </row>
    <row r="251" spans="1:6">
      <c r="A251" s="32">
        <v>43460</v>
      </c>
      <c r="B251">
        <v>190.5</v>
      </c>
      <c r="C251">
        <v>191.5</v>
      </c>
      <c r="D251">
        <v>188</v>
      </c>
      <c r="E251">
        <v>191.5</v>
      </c>
      <c r="F251">
        <v>822500</v>
      </c>
    </row>
    <row r="252" spans="1:6">
      <c r="A252" s="32">
        <v>43459</v>
      </c>
      <c r="B252">
        <v>195</v>
      </c>
      <c r="C252">
        <v>195</v>
      </c>
      <c r="D252">
        <v>189.5</v>
      </c>
      <c r="E252">
        <v>191</v>
      </c>
      <c r="F252">
        <v>412400</v>
      </c>
    </row>
    <row r="253" spans="1:6">
      <c r="A253" s="32">
        <v>43458</v>
      </c>
      <c r="B253">
        <v>195</v>
      </c>
      <c r="C253">
        <v>196.5</v>
      </c>
      <c r="D253">
        <v>195</v>
      </c>
      <c r="E253">
        <v>195.5</v>
      </c>
      <c r="F253">
        <v>438700</v>
      </c>
    </row>
    <row r="254" spans="1:6">
      <c r="A254" s="32">
        <v>43455</v>
      </c>
      <c r="B254">
        <v>197</v>
      </c>
      <c r="C254">
        <v>197</v>
      </c>
      <c r="D254">
        <v>194.5</v>
      </c>
      <c r="E254">
        <v>196.5</v>
      </c>
      <c r="F254">
        <v>965700</v>
      </c>
    </row>
    <row r="255" spans="1:6">
      <c r="A255" s="32">
        <v>43454</v>
      </c>
      <c r="B255">
        <v>196</v>
      </c>
      <c r="C255">
        <v>197.5</v>
      </c>
      <c r="D255">
        <v>194.5</v>
      </c>
      <c r="E255">
        <v>197</v>
      </c>
      <c r="F255">
        <v>798600</v>
      </c>
    </row>
    <row r="256" spans="1:6">
      <c r="A256" s="32">
        <v>43453</v>
      </c>
      <c r="B256">
        <v>192.5</v>
      </c>
      <c r="C256">
        <v>197</v>
      </c>
      <c r="D256">
        <v>191.5</v>
      </c>
      <c r="E256">
        <v>197</v>
      </c>
      <c r="F256">
        <v>771800</v>
      </c>
    </row>
    <row r="257" spans="1:6">
      <c r="A257" s="32">
        <v>43452</v>
      </c>
      <c r="B257">
        <v>195</v>
      </c>
      <c r="C257">
        <v>197</v>
      </c>
      <c r="D257">
        <v>192</v>
      </c>
      <c r="E257">
        <v>192</v>
      </c>
      <c r="F257">
        <v>1103600</v>
      </c>
    </row>
    <row r="258" spans="1:6">
      <c r="A258" s="32">
        <v>43451</v>
      </c>
      <c r="B258">
        <v>196.5</v>
      </c>
      <c r="C258">
        <v>198.5</v>
      </c>
      <c r="D258">
        <v>195</v>
      </c>
      <c r="E258">
        <v>197</v>
      </c>
      <c r="F258">
        <v>1357100</v>
      </c>
    </row>
    <row r="259" spans="1:6">
      <c r="A259" s="32">
        <v>43448</v>
      </c>
      <c r="B259">
        <v>195.5</v>
      </c>
      <c r="C259">
        <v>196.5</v>
      </c>
      <c r="D259">
        <v>194</v>
      </c>
      <c r="E259">
        <v>195</v>
      </c>
      <c r="F259">
        <v>1184800</v>
      </c>
    </row>
    <row r="260" spans="1:6">
      <c r="A260" s="32">
        <v>43447</v>
      </c>
      <c r="B260">
        <v>194.5</v>
      </c>
      <c r="C260">
        <v>195.5</v>
      </c>
      <c r="D260">
        <v>194</v>
      </c>
      <c r="E260">
        <v>194.5</v>
      </c>
      <c r="F260">
        <v>886100</v>
      </c>
    </row>
    <row r="261" spans="1:6">
      <c r="A261" s="32">
        <v>43446</v>
      </c>
      <c r="B261">
        <v>197</v>
      </c>
      <c r="C261">
        <v>197</v>
      </c>
      <c r="D261">
        <v>194.5</v>
      </c>
      <c r="E261">
        <v>195</v>
      </c>
      <c r="F261">
        <v>716100</v>
      </c>
    </row>
    <row r="262" spans="1:6">
      <c r="A262" s="32">
        <v>43445</v>
      </c>
      <c r="B262">
        <v>195.5</v>
      </c>
      <c r="C262">
        <v>196.5</v>
      </c>
      <c r="D262">
        <v>194.5</v>
      </c>
      <c r="E262">
        <v>196</v>
      </c>
      <c r="F262">
        <v>517500</v>
      </c>
    </row>
    <row r="263" spans="1:6">
      <c r="A263" s="32">
        <v>43441</v>
      </c>
      <c r="B263">
        <v>196.5</v>
      </c>
      <c r="C263">
        <v>198</v>
      </c>
      <c r="D263">
        <v>195.5</v>
      </c>
      <c r="E263">
        <v>196.5</v>
      </c>
      <c r="F263">
        <v>755200</v>
      </c>
    </row>
    <row r="264" spans="1:6">
      <c r="A264" s="32">
        <v>43440</v>
      </c>
      <c r="B264">
        <v>194</v>
      </c>
      <c r="C264">
        <v>195.5</v>
      </c>
      <c r="D264">
        <v>193.5</v>
      </c>
      <c r="E264">
        <v>195</v>
      </c>
      <c r="F264">
        <v>1028000</v>
      </c>
    </row>
    <row r="265" spans="1:6">
      <c r="A265" s="32">
        <v>43438</v>
      </c>
      <c r="B265">
        <v>198</v>
      </c>
      <c r="C265">
        <v>198</v>
      </c>
      <c r="D265">
        <v>194</v>
      </c>
      <c r="E265">
        <v>195.5</v>
      </c>
      <c r="F265">
        <v>1317800</v>
      </c>
    </row>
    <row r="266" spans="1:6">
      <c r="A266" s="32">
        <v>43437</v>
      </c>
      <c r="B266">
        <v>192.5</v>
      </c>
      <c r="C266">
        <v>197.5</v>
      </c>
      <c r="D266">
        <v>192.5</v>
      </c>
      <c r="E266">
        <v>197.5</v>
      </c>
      <c r="F266">
        <v>1460100</v>
      </c>
    </row>
    <row r="267" spans="1:6">
      <c r="A267" s="32">
        <v>43434</v>
      </c>
      <c r="B267">
        <v>193</v>
      </c>
      <c r="C267">
        <v>193</v>
      </c>
      <c r="D267">
        <v>189.5</v>
      </c>
      <c r="E267">
        <v>190</v>
      </c>
      <c r="F267">
        <v>1368900</v>
      </c>
    </row>
    <row r="268" spans="1:6">
      <c r="A268" s="32">
        <v>43433</v>
      </c>
      <c r="B268">
        <v>192.5</v>
      </c>
      <c r="C268">
        <v>193</v>
      </c>
      <c r="D268">
        <v>191.5</v>
      </c>
      <c r="E268">
        <v>193</v>
      </c>
      <c r="F268">
        <v>1060100</v>
      </c>
    </row>
    <row r="269" spans="1:6">
      <c r="A269" s="32">
        <v>43432</v>
      </c>
      <c r="B269">
        <v>193.5</v>
      </c>
      <c r="C269">
        <v>194</v>
      </c>
      <c r="D269">
        <v>191</v>
      </c>
      <c r="E269">
        <v>191</v>
      </c>
      <c r="F269">
        <v>731400</v>
      </c>
    </row>
    <row r="270" spans="1:6">
      <c r="A270" s="32">
        <v>43431</v>
      </c>
      <c r="B270">
        <v>189.5</v>
      </c>
      <c r="C270">
        <v>194</v>
      </c>
      <c r="D270">
        <v>189.5</v>
      </c>
      <c r="E270">
        <v>192</v>
      </c>
      <c r="F270">
        <v>952900</v>
      </c>
    </row>
    <row r="271" spans="1:6">
      <c r="A271" s="32">
        <v>43430</v>
      </c>
      <c r="B271">
        <v>189.5</v>
      </c>
      <c r="C271">
        <v>191</v>
      </c>
      <c r="D271">
        <v>188</v>
      </c>
      <c r="E271">
        <v>189</v>
      </c>
      <c r="F271">
        <v>722500</v>
      </c>
    </row>
    <row r="272" spans="1:6">
      <c r="A272" s="32">
        <v>43427</v>
      </c>
      <c r="B272">
        <v>188</v>
      </c>
      <c r="C272">
        <v>190</v>
      </c>
      <c r="D272">
        <v>187</v>
      </c>
      <c r="E272">
        <v>189.5</v>
      </c>
      <c r="F272">
        <v>653500</v>
      </c>
    </row>
    <row r="273" spans="1:6">
      <c r="A273" s="32">
        <v>43426</v>
      </c>
      <c r="B273">
        <v>190</v>
      </c>
      <c r="C273">
        <v>190</v>
      </c>
      <c r="D273">
        <v>186.5</v>
      </c>
      <c r="E273">
        <v>187</v>
      </c>
      <c r="F273">
        <v>605900</v>
      </c>
    </row>
    <row r="274" spans="1:6">
      <c r="A274" s="32">
        <v>43425</v>
      </c>
      <c r="B274">
        <v>185.5</v>
      </c>
      <c r="C274">
        <v>190</v>
      </c>
      <c r="D274">
        <v>185.5</v>
      </c>
      <c r="E274">
        <v>189.5</v>
      </c>
      <c r="F274">
        <v>925900</v>
      </c>
    </row>
    <row r="275" spans="1:6">
      <c r="A275" s="32">
        <v>43424</v>
      </c>
      <c r="B275">
        <v>189</v>
      </c>
      <c r="C275">
        <v>189</v>
      </c>
      <c r="D275">
        <v>185</v>
      </c>
      <c r="E275">
        <v>185.5</v>
      </c>
      <c r="F275">
        <v>871900</v>
      </c>
    </row>
    <row r="276" spans="1:6">
      <c r="A276" s="32">
        <v>43423</v>
      </c>
      <c r="B276">
        <v>188</v>
      </c>
      <c r="C276">
        <v>189</v>
      </c>
      <c r="D276">
        <v>188</v>
      </c>
      <c r="E276">
        <v>188.5</v>
      </c>
      <c r="F276">
        <v>567300</v>
      </c>
    </row>
    <row r="277" spans="1:6">
      <c r="A277" s="32">
        <v>43420</v>
      </c>
      <c r="B277">
        <v>187</v>
      </c>
      <c r="C277">
        <v>188.5</v>
      </c>
      <c r="D277">
        <v>186.5</v>
      </c>
      <c r="E277">
        <v>187.5</v>
      </c>
      <c r="F277">
        <v>610100</v>
      </c>
    </row>
    <row r="278" spans="1:6">
      <c r="A278" s="32">
        <v>43419</v>
      </c>
      <c r="B278">
        <v>188</v>
      </c>
      <c r="C278">
        <v>188</v>
      </c>
      <c r="D278">
        <v>185.5</v>
      </c>
      <c r="E278">
        <v>186.5</v>
      </c>
      <c r="F278">
        <v>936600</v>
      </c>
    </row>
    <row r="279" spans="1:6">
      <c r="A279" s="32">
        <v>43418</v>
      </c>
      <c r="B279">
        <v>183.5</v>
      </c>
      <c r="C279">
        <v>187.5</v>
      </c>
      <c r="D279">
        <v>183</v>
      </c>
      <c r="E279">
        <v>187</v>
      </c>
      <c r="F279">
        <v>1281800</v>
      </c>
    </row>
    <row r="280" spans="1:6">
      <c r="A280" s="32">
        <v>43417</v>
      </c>
      <c r="B280">
        <v>185.5</v>
      </c>
      <c r="C280">
        <v>186.5</v>
      </c>
      <c r="D280">
        <v>183.5</v>
      </c>
      <c r="E280">
        <v>185</v>
      </c>
      <c r="F280">
        <v>1393000</v>
      </c>
    </row>
    <row r="281" spans="1:6">
      <c r="A281" s="32">
        <v>43416</v>
      </c>
      <c r="B281">
        <v>187.5</v>
      </c>
      <c r="C281">
        <v>190</v>
      </c>
      <c r="D281">
        <v>186</v>
      </c>
      <c r="E281">
        <v>187</v>
      </c>
      <c r="F281">
        <v>518400</v>
      </c>
    </row>
    <row r="282" spans="1:6">
      <c r="A282" s="32">
        <v>43413</v>
      </c>
      <c r="B282">
        <v>187.5</v>
      </c>
      <c r="C282">
        <v>189</v>
      </c>
      <c r="D282">
        <v>186.5</v>
      </c>
      <c r="E282">
        <v>187.5</v>
      </c>
      <c r="F282">
        <v>834800</v>
      </c>
    </row>
    <row r="283" spans="1:6">
      <c r="A283" s="32">
        <v>43412</v>
      </c>
      <c r="B283">
        <v>192</v>
      </c>
      <c r="C283">
        <v>192.5</v>
      </c>
      <c r="D283">
        <v>189</v>
      </c>
      <c r="E283">
        <v>189.5</v>
      </c>
      <c r="F283">
        <v>658300</v>
      </c>
    </row>
    <row r="284" spans="1:6">
      <c r="A284" s="32">
        <v>43411</v>
      </c>
      <c r="B284">
        <v>191.5</v>
      </c>
      <c r="C284">
        <v>192.5</v>
      </c>
      <c r="D284">
        <v>187.5</v>
      </c>
      <c r="E284">
        <v>190</v>
      </c>
      <c r="F284">
        <v>1444500</v>
      </c>
    </row>
    <row r="285" spans="1:6">
      <c r="A285" s="32">
        <v>43410</v>
      </c>
      <c r="B285">
        <v>195</v>
      </c>
      <c r="C285">
        <v>195</v>
      </c>
      <c r="D285">
        <v>191</v>
      </c>
      <c r="E285">
        <v>191</v>
      </c>
      <c r="F285">
        <v>1611100</v>
      </c>
    </row>
    <row r="286" spans="1:6">
      <c r="A286" s="32">
        <v>43409</v>
      </c>
      <c r="B286">
        <v>193</v>
      </c>
      <c r="C286">
        <v>196.5</v>
      </c>
      <c r="D286">
        <v>192</v>
      </c>
      <c r="E286">
        <v>193</v>
      </c>
      <c r="F286">
        <v>1593700</v>
      </c>
    </row>
    <row r="287" spans="1:6">
      <c r="A287" s="32">
        <v>43406</v>
      </c>
      <c r="B287">
        <v>196</v>
      </c>
      <c r="C287">
        <v>199</v>
      </c>
      <c r="D287">
        <v>193.5</v>
      </c>
      <c r="E287">
        <v>193.5</v>
      </c>
      <c r="F287">
        <v>2192500</v>
      </c>
    </row>
    <row r="288" spans="1:6">
      <c r="A288" s="32">
        <v>43405</v>
      </c>
      <c r="B288">
        <v>194</v>
      </c>
      <c r="C288">
        <v>196</v>
      </c>
      <c r="D288">
        <v>193</v>
      </c>
      <c r="E288">
        <v>194</v>
      </c>
      <c r="F288">
        <v>2409900</v>
      </c>
    </row>
    <row r="289" spans="1:6">
      <c r="A289" s="32">
        <v>43404</v>
      </c>
      <c r="B289">
        <v>190.5</v>
      </c>
      <c r="C289">
        <v>193.5</v>
      </c>
      <c r="D289">
        <v>189.5</v>
      </c>
      <c r="E289">
        <v>193</v>
      </c>
      <c r="F289">
        <v>2667900</v>
      </c>
    </row>
    <row r="290" spans="1:6">
      <c r="A290" s="32">
        <v>43403</v>
      </c>
      <c r="B290">
        <v>190.5</v>
      </c>
      <c r="C290">
        <v>190.5</v>
      </c>
      <c r="D290">
        <v>188</v>
      </c>
      <c r="E290">
        <v>189.5</v>
      </c>
      <c r="F290">
        <v>1109800</v>
      </c>
    </row>
    <row r="291" spans="1:6">
      <c r="A291" s="32">
        <v>43402</v>
      </c>
      <c r="B291">
        <v>188</v>
      </c>
      <c r="C291">
        <v>190.5</v>
      </c>
      <c r="D291">
        <v>188</v>
      </c>
      <c r="E291">
        <v>190.5</v>
      </c>
      <c r="F291">
        <v>1031800</v>
      </c>
    </row>
    <row r="292" spans="1:6">
      <c r="A292" s="32">
        <v>43399</v>
      </c>
      <c r="B292">
        <v>188</v>
      </c>
      <c r="C292">
        <v>190.5</v>
      </c>
      <c r="D292">
        <v>187</v>
      </c>
      <c r="E292">
        <v>187</v>
      </c>
      <c r="F292">
        <v>1295000</v>
      </c>
    </row>
    <row r="293" spans="1:6">
      <c r="A293" s="32">
        <v>43398</v>
      </c>
      <c r="B293">
        <v>187</v>
      </c>
      <c r="C293">
        <v>189</v>
      </c>
      <c r="D293">
        <v>185.5</v>
      </c>
      <c r="E293">
        <v>189</v>
      </c>
      <c r="F293">
        <v>1685200</v>
      </c>
    </row>
    <row r="294" spans="1:6">
      <c r="A294" s="32">
        <v>43397</v>
      </c>
      <c r="B294">
        <v>188.5</v>
      </c>
      <c r="C294">
        <v>190.5</v>
      </c>
      <c r="D294">
        <v>188</v>
      </c>
      <c r="E294">
        <v>188.5</v>
      </c>
      <c r="F294">
        <v>1832100</v>
      </c>
    </row>
    <row r="295" spans="1:6">
      <c r="A295" s="32">
        <v>43395</v>
      </c>
      <c r="B295">
        <v>190</v>
      </c>
      <c r="C295">
        <v>192.5</v>
      </c>
      <c r="D295">
        <v>189</v>
      </c>
      <c r="E295">
        <v>190</v>
      </c>
      <c r="F295">
        <v>1431200</v>
      </c>
    </row>
    <row r="296" spans="1:6">
      <c r="A296" s="32">
        <v>43392</v>
      </c>
      <c r="B296">
        <v>188.5</v>
      </c>
      <c r="C296">
        <v>190</v>
      </c>
      <c r="D296">
        <v>186</v>
      </c>
      <c r="E296">
        <v>189.5</v>
      </c>
      <c r="F296">
        <v>1228100</v>
      </c>
    </row>
    <row r="297" spans="1:6">
      <c r="A297" s="32">
        <v>43391</v>
      </c>
      <c r="B297">
        <v>188</v>
      </c>
      <c r="C297">
        <v>190</v>
      </c>
      <c r="D297">
        <v>187</v>
      </c>
      <c r="E297">
        <v>188</v>
      </c>
      <c r="F297">
        <v>1252100</v>
      </c>
    </row>
    <row r="298" spans="1:6">
      <c r="A298" s="32">
        <v>43390</v>
      </c>
      <c r="B298">
        <v>191</v>
      </c>
      <c r="C298">
        <v>191</v>
      </c>
      <c r="D298">
        <v>188.5</v>
      </c>
      <c r="E298">
        <v>188.5</v>
      </c>
      <c r="F298">
        <v>906400</v>
      </c>
    </row>
    <row r="299" spans="1:6">
      <c r="A299" s="32">
        <v>43389</v>
      </c>
      <c r="B299">
        <v>188</v>
      </c>
      <c r="C299">
        <v>191.5</v>
      </c>
      <c r="D299">
        <v>187.5</v>
      </c>
      <c r="E299">
        <v>190</v>
      </c>
      <c r="F299">
        <v>2932200</v>
      </c>
    </row>
    <row r="300" spans="1:6">
      <c r="A300" s="32">
        <v>43385</v>
      </c>
      <c r="B300">
        <v>187.5</v>
      </c>
      <c r="C300">
        <v>189</v>
      </c>
      <c r="D300">
        <v>186</v>
      </c>
      <c r="E300">
        <v>188.5</v>
      </c>
      <c r="F300">
        <v>887200</v>
      </c>
    </row>
    <row r="301" spans="1:6">
      <c r="A301" s="32">
        <v>43384</v>
      </c>
      <c r="B301">
        <v>184.5</v>
      </c>
      <c r="C301">
        <v>186.5</v>
      </c>
      <c r="D301">
        <v>184</v>
      </c>
      <c r="E301">
        <v>186</v>
      </c>
      <c r="F301">
        <v>1884500</v>
      </c>
    </row>
    <row r="302" spans="1:6">
      <c r="A302" s="32">
        <v>43383</v>
      </c>
      <c r="B302">
        <v>188.5</v>
      </c>
      <c r="C302">
        <v>189</v>
      </c>
      <c r="D302">
        <v>187</v>
      </c>
      <c r="E302">
        <v>189</v>
      </c>
      <c r="F302">
        <v>725700</v>
      </c>
    </row>
    <row r="303" spans="1:6">
      <c r="A303" s="32">
        <v>43382</v>
      </c>
      <c r="B303">
        <v>187.5</v>
      </c>
      <c r="C303">
        <v>188</v>
      </c>
      <c r="D303">
        <v>185.5</v>
      </c>
      <c r="E303">
        <v>187.5</v>
      </c>
      <c r="F303">
        <v>1156800</v>
      </c>
    </row>
    <row r="304" spans="1:6">
      <c r="A304" s="32">
        <v>43381</v>
      </c>
      <c r="B304">
        <v>187</v>
      </c>
      <c r="C304">
        <v>190</v>
      </c>
      <c r="D304">
        <v>187</v>
      </c>
      <c r="E304">
        <v>188</v>
      </c>
      <c r="F304">
        <v>1741300</v>
      </c>
    </row>
    <row r="305" spans="1:6">
      <c r="A305" s="32">
        <v>43378</v>
      </c>
      <c r="B305">
        <v>188.5</v>
      </c>
      <c r="C305">
        <v>188.5</v>
      </c>
      <c r="D305">
        <v>186.5</v>
      </c>
      <c r="E305">
        <v>186.5</v>
      </c>
      <c r="F305">
        <v>1033300</v>
      </c>
    </row>
    <row r="306" spans="1:6">
      <c r="A306" s="32">
        <v>43377</v>
      </c>
      <c r="B306">
        <v>186.5</v>
      </c>
      <c r="C306">
        <v>189.5</v>
      </c>
      <c r="D306">
        <v>186</v>
      </c>
      <c r="E306">
        <v>189</v>
      </c>
      <c r="F306">
        <v>1938100</v>
      </c>
    </row>
    <row r="307" spans="1:6">
      <c r="A307" s="32">
        <v>43376</v>
      </c>
      <c r="B307">
        <v>187</v>
      </c>
      <c r="C307">
        <v>188.5</v>
      </c>
      <c r="D307">
        <v>186.5</v>
      </c>
      <c r="E307">
        <v>187</v>
      </c>
      <c r="F307">
        <v>1015300</v>
      </c>
    </row>
    <row r="308" spans="1:6">
      <c r="A308" s="32">
        <v>43375</v>
      </c>
      <c r="B308">
        <v>190</v>
      </c>
      <c r="C308">
        <v>190</v>
      </c>
      <c r="D308">
        <v>185.5</v>
      </c>
      <c r="E308">
        <v>186.5</v>
      </c>
      <c r="F308">
        <v>3151900</v>
      </c>
    </row>
    <row r="309" spans="1:6">
      <c r="A309" s="32">
        <v>43374</v>
      </c>
      <c r="B309">
        <v>187</v>
      </c>
      <c r="C309">
        <v>191.5</v>
      </c>
      <c r="D309">
        <v>187</v>
      </c>
      <c r="E309">
        <v>190.5</v>
      </c>
      <c r="F309">
        <v>1957900</v>
      </c>
    </row>
    <row r="310" spans="1:6">
      <c r="A310" s="32">
        <v>43371</v>
      </c>
      <c r="B310">
        <v>184.5</v>
      </c>
      <c r="C310">
        <v>187</v>
      </c>
      <c r="D310">
        <v>184.5</v>
      </c>
      <c r="E310">
        <v>186</v>
      </c>
      <c r="F310">
        <v>2045500</v>
      </c>
    </row>
    <row r="311" spans="1:6">
      <c r="A311" s="32">
        <v>43370</v>
      </c>
      <c r="B311">
        <v>185</v>
      </c>
      <c r="C311">
        <v>185</v>
      </c>
      <c r="D311">
        <v>183</v>
      </c>
      <c r="E311">
        <v>184.5</v>
      </c>
      <c r="F311">
        <v>1564700</v>
      </c>
    </row>
    <row r="312" spans="1:6">
      <c r="A312" s="32">
        <v>43369</v>
      </c>
      <c r="B312">
        <v>184.5</v>
      </c>
      <c r="C312">
        <v>185</v>
      </c>
      <c r="D312">
        <v>183.5</v>
      </c>
      <c r="E312">
        <v>184</v>
      </c>
      <c r="F312">
        <v>857100</v>
      </c>
    </row>
    <row r="313" spans="1:6">
      <c r="A313" s="32">
        <v>43368</v>
      </c>
      <c r="B313">
        <v>185</v>
      </c>
      <c r="C313">
        <v>185.5</v>
      </c>
      <c r="D313">
        <v>183.5</v>
      </c>
      <c r="E313">
        <v>184.5</v>
      </c>
      <c r="F313">
        <v>1435600</v>
      </c>
    </row>
    <row r="314" spans="1:6">
      <c r="A314" s="32">
        <v>43367</v>
      </c>
      <c r="B314">
        <v>181.5</v>
      </c>
      <c r="C314">
        <v>184.5</v>
      </c>
      <c r="D314">
        <v>181.5</v>
      </c>
      <c r="E314">
        <v>183.5</v>
      </c>
      <c r="F314">
        <v>2572200</v>
      </c>
    </row>
    <row r="315" spans="1:6">
      <c r="A315" s="32">
        <v>43364</v>
      </c>
      <c r="B315">
        <v>179.5</v>
      </c>
      <c r="C315">
        <v>182.5</v>
      </c>
      <c r="D315">
        <v>179.5</v>
      </c>
      <c r="E315">
        <v>182</v>
      </c>
      <c r="F315">
        <v>2841400</v>
      </c>
    </row>
    <row r="316" spans="1:6">
      <c r="A316" s="32">
        <v>43363</v>
      </c>
      <c r="B316">
        <v>179.5</v>
      </c>
      <c r="C316">
        <v>181</v>
      </c>
      <c r="D316">
        <v>179</v>
      </c>
      <c r="E316">
        <v>180</v>
      </c>
      <c r="F316">
        <v>840200</v>
      </c>
    </row>
    <row r="317" spans="1:6">
      <c r="A317" s="32">
        <v>43362</v>
      </c>
      <c r="B317">
        <v>181</v>
      </c>
      <c r="C317">
        <v>181.5</v>
      </c>
      <c r="D317">
        <v>179.5</v>
      </c>
      <c r="E317">
        <v>180</v>
      </c>
      <c r="F317">
        <v>1169800</v>
      </c>
    </row>
    <row r="318" spans="1:6">
      <c r="A318" s="32">
        <v>43361</v>
      </c>
      <c r="B318">
        <v>179</v>
      </c>
      <c r="C318">
        <v>181.5</v>
      </c>
      <c r="D318">
        <v>179</v>
      </c>
      <c r="E318">
        <v>181</v>
      </c>
      <c r="F318">
        <v>1453300</v>
      </c>
    </row>
    <row r="319" spans="1:6">
      <c r="A319" s="32">
        <v>43360</v>
      </c>
      <c r="B319">
        <v>179.5</v>
      </c>
      <c r="C319">
        <v>180</v>
      </c>
      <c r="D319">
        <v>178.5</v>
      </c>
      <c r="E319">
        <v>179</v>
      </c>
      <c r="F319">
        <v>713900</v>
      </c>
    </row>
    <row r="320" spans="1:6">
      <c r="A320" s="32">
        <v>43357</v>
      </c>
      <c r="B320">
        <v>181.5</v>
      </c>
      <c r="C320">
        <v>181.5</v>
      </c>
      <c r="D320">
        <v>179</v>
      </c>
      <c r="E320">
        <v>180</v>
      </c>
      <c r="F320">
        <v>1269400</v>
      </c>
    </row>
    <row r="321" spans="1:6">
      <c r="A321" s="32">
        <v>43356</v>
      </c>
      <c r="B321">
        <v>178</v>
      </c>
      <c r="C321">
        <v>182.5</v>
      </c>
      <c r="D321">
        <v>178</v>
      </c>
      <c r="E321">
        <v>181</v>
      </c>
      <c r="F321">
        <v>2035400</v>
      </c>
    </row>
    <row r="322" spans="1:6">
      <c r="A322" s="32">
        <v>43355</v>
      </c>
      <c r="B322">
        <v>178</v>
      </c>
      <c r="C322">
        <v>178.5</v>
      </c>
      <c r="D322">
        <v>176.5</v>
      </c>
      <c r="E322">
        <v>178.5</v>
      </c>
      <c r="F322">
        <v>1993400</v>
      </c>
    </row>
    <row r="323" spans="1:6">
      <c r="A323" s="32">
        <v>43354</v>
      </c>
      <c r="B323">
        <v>179.5</v>
      </c>
      <c r="C323">
        <v>180</v>
      </c>
      <c r="D323">
        <v>178</v>
      </c>
      <c r="E323">
        <v>178.5</v>
      </c>
      <c r="F323">
        <v>1017900</v>
      </c>
    </row>
    <row r="324" spans="1:6">
      <c r="A324" s="32">
        <v>43353</v>
      </c>
      <c r="B324">
        <v>179</v>
      </c>
      <c r="C324">
        <v>180</v>
      </c>
      <c r="D324">
        <v>178</v>
      </c>
      <c r="E324">
        <v>179.5</v>
      </c>
      <c r="F324">
        <v>603200</v>
      </c>
    </row>
    <row r="325" spans="1:6">
      <c r="A325" s="32">
        <v>43350</v>
      </c>
      <c r="B325">
        <v>178</v>
      </c>
      <c r="C325">
        <v>180</v>
      </c>
      <c r="D325">
        <v>178</v>
      </c>
      <c r="E325">
        <v>179.5</v>
      </c>
      <c r="F325">
        <v>774900</v>
      </c>
    </row>
    <row r="326" spans="1:6">
      <c r="A326" s="32">
        <v>43349</v>
      </c>
      <c r="B326">
        <v>179</v>
      </c>
      <c r="C326">
        <v>180</v>
      </c>
      <c r="D326">
        <v>178.5</v>
      </c>
      <c r="E326">
        <v>179.5</v>
      </c>
      <c r="F326">
        <v>1048600</v>
      </c>
    </row>
    <row r="327" spans="1:6">
      <c r="A327" s="32">
        <v>43348</v>
      </c>
      <c r="B327">
        <v>178.5</v>
      </c>
      <c r="C327">
        <v>181</v>
      </c>
      <c r="D327">
        <v>178.5</v>
      </c>
      <c r="E327">
        <v>178.5</v>
      </c>
      <c r="F327">
        <v>1188900</v>
      </c>
    </row>
    <row r="328" spans="1:6">
      <c r="A328" s="32">
        <v>43347</v>
      </c>
      <c r="B328">
        <v>179.5</v>
      </c>
      <c r="C328">
        <v>180</v>
      </c>
      <c r="D328">
        <v>178.5</v>
      </c>
      <c r="E328">
        <v>179.5</v>
      </c>
      <c r="F328">
        <v>1001200</v>
      </c>
    </row>
    <row r="329" spans="1:6">
      <c r="A329" s="32">
        <v>43346</v>
      </c>
      <c r="B329">
        <v>182</v>
      </c>
      <c r="C329">
        <v>182.5</v>
      </c>
      <c r="D329">
        <v>180</v>
      </c>
      <c r="E329">
        <v>180</v>
      </c>
      <c r="F329">
        <v>1489900</v>
      </c>
    </row>
    <row r="330" spans="1:6">
      <c r="A330" s="32">
        <v>43343</v>
      </c>
      <c r="B330">
        <v>178.5</v>
      </c>
      <c r="C330">
        <v>182</v>
      </c>
      <c r="D330">
        <v>178</v>
      </c>
      <c r="E330">
        <v>181.5</v>
      </c>
      <c r="F330">
        <v>2178500</v>
      </c>
    </row>
    <row r="331" spans="1:6">
      <c r="A331" s="32">
        <v>43342</v>
      </c>
      <c r="B331">
        <v>179.5</v>
      </c>
      <c r="C331">
        <v>180</v>
      </c>
      <c r="D331">
        <v>178.5</v>
      </c>
      <c r="E331">
        <v>178.5</v>
      </c>
      <c r="F331">
        <v>436000</v>
      </c>
    </row>
    <row r="332" spans="1:6">
      <c r="A332" s="32">
        <v>43341</v>
      </c>
      <c r="B332">
        <v>179.5</v>
      </c>
      <c r="C332">
        <v>180</v>
      </c>
      <c r="D332">
        <v>178.5</v>
      </c>
      <c r="E332">
        <v>179.5</v>
      </c>
      <c r="F332">
        <v>552300</v>
      </c>
    </row>
    <row r="333" spans="1:6">
      <c r="A333" s="32">
        <v>43340</v>
      </c>
      <c r="B333">
        <v>179.5</v>
      </c>
      <c r="C333">
        <v>180</v>
      </c>
      <c r="D333">
        <v>178.5</v>
      </c>
      <c r="E333">
        <v>179</v>
      </c>
      <c r="F333">
        <v>1068500</v>
      </c>
    </row>
    <row r="334" spans="1:6">
      <c r="A334" s="32">
        <v>43339</v>
      </c>
      <c r="B334">
        <v>176.5</v>
      </c>
      <c r="C334">
        <v>179.5</v>
      </c>
      <c r="D334">
        <v>176.5</v>
      </c>
      <c r="E334">
        <v>179</v>
      </c>
      <c r="F334">
        <v>1060400</v>
      </c>
    </row>
    <row r="335" spans="1:6">
      <c r="A335" s="32">
        <v>43336</v>
      </c>
      <c r="B335">
        <v>178</v>
      </c>
      <c r="C335">
        <v>179</v>
      </c>
      <c r="D335">
        <v>177.5</v>
      </c>
      <c r="E335">
        <v>179</v>
      </c>
      <c r="F335">
        <v>830200</v>
      </c>
    </row>
    <row r="336" spans="1:6">
      <c r="A336" s="32">
        <v>43335</v>
      </c>
      <c r="B336">
        <v>179.5</v>
      </c>
      <c r="C336">
        <v>180</v>
      </c>
      <c r="D336">
        <v>178.5</v>
      </c>
      <c r="E336">
        <v>179</v>
      </c>
      <c r="F336">
        <v>817400</v>
      </c>
    </row>
    <row r="337" spans="1:6">
      <c r="A337" s="32">
        <v>43334</v>
      </c>
      <c r="B337">
        <v>176</v>
      </c>
      <c r="C337">
        <v>179.5</v>
      </c>
      <c r="D337">
        <v>176</v>
      </c>
      <c r="E337">
        <v>178</v>
      </c>
      <c r="F337">
        <v>1331500</v>
      </c>
    </row>
    <row r="338" spans="1:6">
      <c r="A338" s="32">
        <v>43333</v>
      </c>
      <c r="B338">
        <v>178</v>
      </c>
      <c r="C338">
        <v>178.5</v>
      </c>
      <c r="D338">
        <v>176</v>
      </c>
      <c r="E338">
        <v>177</v>
      </c>
      <c r="F338">
        <v>1795100</v>
      </c>
    </row>
    <row r="339" spans="1:6">
      <c r="A339" s="32">
        <v>43332</v>
      </c>
      <c r="B339">
        <v>175</v>
      </c>
      <c r="C339">
        <v>179</v>
      </c>
      <c r="D339">
        <v>175</v>
      </c>
      <c r="E339">
        <v>177</v>
      </c>
      <c r="F339">
        <v>2226200</v>
      </c>
    </row>
    <row r="340" spans="1:6">
      <c r="A340" s="32">
        <v>43329</v>
      </c>
      <c r="B340">
        <v>174</v>
      </c>
      <c r="C340">
        <v>175.5</v>
      </c>
      <c r="D340">
        <v>173</v>
      </c>
      <c r="E340">
        <v>174.5</v>
      </c>
      <c r="F340">
        <v>5723900</v>
      </c>
    </row>
    <row r="341" spans="1:6">
      <c r="A341" s="32">
        <v>43328</v>
      </c>
      <c r="B341">
        <v>178</v>
      </c>
      <c r="C341">
        <v>178</v>
      </c>
      <c r="D341">
        <v>175.5</v>
      </c>
      <c r="E341">
        <v>176</v>
      </c>
      <c r="F341">
        <v>3572900</v>
      </c>
    </row>
    <row r="342" spans="1:6">
      <c r="A342" s="32">
        <v>43327</v>
      </c>
      <c r="B342">
        <v>179.5</v>
      </c>
      <c r="C342">
        <v>179.5</v>
      </c>
      <c r="D342">
        <v>177.5</v>
      </c>
      <c r="E342">
        <v>178.5</v>
      </c>
      <c r="F342">
        <v>1575300</v>
      </c>
    </row>
    <row r="343" spans="1:6">
      <c r="A343" s="32">
        <v>43326</v>
      </c>
      <c r="B343">
        <v>175.5</v>
      </c>
      <c r="C343">
        <v>180.5</v>
      </c>
      <c r="D343">
        <v>175</v>
      </c>
      <c r="E343">
        <v>180</v>
      </c>
      <c r="F343">
        <v>2677200</v>
      </c>
    </row>
    <row r="344" spans="1:6">
      <c r="A344" s="32">
        <v>43322</v>
      </c>
      <c r="B344">
        <v>179.5</v>
      </c>
      <c r="C344">
        <v>179.5</v>
      </c>
      <c r="D344">
        <v>177</v>
      </c>
      <c r="E344">
        <v>178</v>
      </c>
      <c r="F344">
        <v>2407700</v>
      </c>
    </row>
    <row r="345" spans="1:6">
      <c r="A345" s="32">
        <v>43321</v>
      </c>
      <c r="B345">
        <v>181</v>
      </c>
      <c r="C345">
        <v>181.5</v>
      </c>
      <c r="D345">
        <v>178.5</v>
      </c>
      <c r="E345">
        <v>179</v>
      </c>
      <c r="F345">
        <v>6912500</v>
      </c>
    </row>
    <row r="346" spans="1:6">
      <c r="A346" s="32">
        <v>43320</v>
      </c>
      <c r="B346">
        <v>184</v>
      </c>
      <c r="C346">
        <v>186</v>
      </c>
      <c r="D346">
        <v>183.5</v>
      </c>
      <c r="E346">
        <v>186</v>
      </c>
      <c r="F346">
        <v>1349400</v>
      </c>
    </row>
    <row r="347" spans="1:6">
      <c r="A347" s="32">
        <v>43319</v>
      </c>
      <c r="B347">
        <v>183</v>
      </c>
      <c r="C347">
        <v>185</v>
      </c>
      <c r="D347">
        <v>181</v>
      </c>
      <c r="E347">
        <v>184</v>
      </c>
      <c r="F347">
        <v>1208400</v>
      </c>
    </row>
    <row r="348" spans="1:6">
      <c r="A348" s="32">
        <v>43318</v>
      </c>
      <c r="B348">
        <v>185</v>
      </c>
      <c r="C348">
        <v>186</v>
      </c>
      <c r="D348">
        <v>181.5</v>
      </c>
      <c r="E348">
        <v>182.5</v>
      </c>
      <c r="F348">
        <v>888500</v>
      </c>
    </row>
    <row r="349" spans="1:6">
      <c r="A349" s="32">
        <v>43315</v>
      </c>
      <c r="B349">
        <v>182.5</v>
      </c>
      <c r="C349">
        <v>186</v>
      </c>
      <c r="D349">
        <v>181.5</v>
      </c>
      <c r="E349">
        <v>184</v>
      </c>
      <c r="F349">
        <v>1342700</v>
      </c>
    </row>
    <row r="350" spans="1:6">
      <c r="A350" s="32">
        <v>43314</v>
      </c>
      <c r="B350">
        <v>182.5</v>
      </c>
      <c r="C350">
        <v>183.5</v>
      </c>
      <c r="D350">
        <v>180</v>
      </c>
      <c r="E350">
        <v>182</v>
      </c>
      <c r="F350">
        <v>1194000</v>
      </c>
    </row>
    <row r="351" spans="1:6">
      <c r="A351" s="32">
        <v>43313</v>
      </c>
      <c r="B351">
        <v>182.5</v>
      </c>
      <c r="C351">
        <v>184</v>
      </c>
      <c r="D351">
        <v>181.5</v>
      </c>
      <c r="E351">
        <v>183.5</v>
      </c>
      <c r="F351">
        <v>1483200</v>
      </c>
    </row>
    <row r="352" spans="1:6">
      <c r="A352" s="32">
        <v>43312</v>
      </c>
      <c r="B352">
        <v>181.5</v>
      </c>
      <c r="C352">
        <v>181.5</v>
      </c>
      <c r="D352">
        <v>179</v>
      </c>
      <c r="E352">
        <v>181.5</v>
      </c>
      <c r="F352">
        <v>1836400</v>
      </c>
    </row>
    <row r="353" spans="1:6">
      <c r="A353" s="32">
        <v>43307</v>
      </c>
      <c r="B353">
        <v>184.5</v>
      </c>
      <c r="C353">
        <v>185</v>
      </c>
      <c r="D353">
        <v>179</v>
      </c>
      <c r="E353">
        <v>181.5</v>
      </c>
      <c r="F353">
        <v>2343200</v>
      </c>
    </row>
    <row r="354" spans="1:6">
      <c r="A354" s="32">
        <v>43306</v>
      </c>
      <c r="B354">
        <v>177</v>
      </c>
      <c r="C354">
        <v>183.5</v>
      </c>
      <c r="D354">
        <v>177</v>
      </c>
      <c r="E354">
        <v>183</v>
      </c>
      <c r="F354">
        <v>2255800</v>
      </c>
    </row>
    <row r="355" spans="1:6">
      <c r="A355" s="32">
        <v>43305</v>
      </c>
      <c r="B355">
        <v>177.5</v>
      </c>
      <c r="C355">
        <v>179</v>
      </c>
      <c r="D355">
        <v>176.5</v>
      </c>
      <c r="E355">
        <v>177</v>
      </c>
      <c r="F355">
        <v>692800</v>
      </c>
    </row>
    <row r="356" spans="1:6">
      <c r="A356" s="32">
        <v>43304</v>
      </c>
      <c r="B356">
        <v>178.5</v>
      </c>
      <c r="C356">
        <v>178.5</v>
      </c>
      <c r="D356">
        <v>175</v>
      </c>
      <c r="E356">
        <v>176.5</v>
      </c>
      <c r="F356">
        <v>1439700</v>
      </c>
    </row>
    <row r="357" spans="1:6">
      <c r="A357" s="32">
        <v>43301</v>
      </c>
      <c r="B357">
        <v>175</v>
      </c>
      <c r="C357">
        <v>179</v>
      </c>
      <c r="D357">
        <v>174</v>
      </c>
      <c r="E357">
        <v>178.5</v>
      </c>
      <c r="F357">
        <v>1914700</v>
      </c>
    </row>
    <row r="358" spans="1:6">
      <c r="A358" s="32">
        <v>43300</v>
      </c>
      <c r="B358">
        <v>173</v>
      </c>
      <c r="C358">
        <v>175</v>
      </c>
      <c r="D358">
        <v>172.5</v>
      </c>
      <c r="E358">
        <v>174.5</v>
      </c>
      <c r="F358">
        <v>767800</v>
      </c>
    </row>
    <row r="359" spans="1:6">
      <c r="A359" s="32">
        <v>43299</v>
      </c>
      <c r="B359">
        <v>173</v>
      </c>
      <c r="C359">
        <v>173.5</v>
      </c>
      <c r="D359">
        <v>171.5</v>
      </c>
      <c r="E359">
        <v>173</v>
      </c>
      <c r="F359">
        <v>1291800</v>
      </c>
    </row>
    <row r="360" spans="1:6">
      <c r="A360" s="32">
        <v>43298</v>
      </c>
      <c r="B360">
        <v>171</v>
      </c>
      <c r="C360">
        <v>173</v>
      </c>
      <c r="D360">
        <v>171</v>
      </c>
      <c r="E360">
        <v>172.5</v>
      </c>
      <c r="F360">
        <v>1519900</v>
      </c>
    </row>
    <row r="361" spans="1:6">
      <c r="A361" s="32">
        <v>43297</v>
      </c>
      <c r="B361">
        <v>172.5</v>
      </c>
      <c r="C361">
        <v>173</v>
      </c>
      <c r="D361">
        <v>170.5</v>
      </c>
      <c r="E361">
        <v>171</v>
      </c>
      <c r="F361">
        <v>621800</v>
      </c>
    </row>
    <row r="362" spans="1:6">
      <c r="A362" s="32">
        <v>43294</v>
      </c>
      <c r="B362">
        <v>172</v>
      </c>
      <c r="C362">
        <v>173.5</v>
      </c>
      <c r="D362">
        <v>171.5</v>
      </c>
      <c r="E362">
        <v>173</v>
      </c>
      <c r="F362">
        <v>2380900</v>
      </c>
    </row>
    <row r="363" spans="1:6">
      <c r="A363" s="32">
        <v>43293</v>
      </c>
      <c r="B363">
        <v>171</v>
      </c>
      <c r="C363">
        <v>172</v>
      </c>
      <c r="D363">
        <v>170</v>
      </c>
      <c r="E363">
        <v>171.5</v>
      </c>
      <c r="F363">
        <v>1240400</v>
      </c>
    </row>
    <row r="364" spans="1:6">
      <c r="A364" s="32">
        <v>43292</v>
      </c>
      <c r="B364">
        <v>173</v>
      </c>
      <c r="C364">
        <v>174</v>
      </c>
      <c r="D364">
        <v>171.5</v>
      </c>
      <c r="E364">
        <v>171.5</v>
      </c>
      <c r="F364">
        <v>1507600</v>
      </c>
    </row>
    <row r="365" spans="1:6">
      <c r="A365" s="32">
        <v>43291</v>
      </c>
      <c r="B365">
        <v>174</v>
      </c>
      <c r="C365">
        <v>175.5</v>
      </c>
      <c r="D365">
        <v>172.5</v>
      </c>
      <c r="E365">
        <v>174</v>
      </c>
      <c r="F365">
        <v>1881800</v>
      </c>
    </row>
    <row r="366" spans="1:6">
      <c r="A366" s="32">
        <v>43290</v>
      </c>
      <c r="B366">
        <v>171.5</v>
      </c>
      <c r="C366">
        <v>174</v>
      </c>
      <c r="D366">
        <v>171.5</v>
      </c>
      <c r="E366">
        <v>173</v>
      </c>
      <c r="F366">
        <v>996100</v>
      </c>
    </row>
    <row r="367" spans="1:6">
      <c r="A367" s="32">
        <v>43287</v>
      </c>
      <c r="B367">
        <v>169</v>
      </c>
      <c r="C367">
        <v>172</v>
      </c>
      <c r="D367">
        <v>169</v>
      </c>
      <c r="E367">
        <v>170</v>
      </c>
      <c r="F367">
        <v>1657800</v>
      </c>
    </row>
    <row r="368" spans="1:6">
      <c r="A368" s="32">
        <v>43286</v>
      </c>
      <c r="B368">
        <v>173</v>
      </c>
      <c r="C368">
        <v>173</v>
      </c>
      <c r="D368">
        <v>168</v>
      </c>
      <c r="E368">
        <v>169</v>
      </c>
      <c r="F368">
        <v>1418700</v>
      </c>
    </row>
    <row r="369" spans="1:6">
      <c r="A369" s="32">
        <v>43285</v>
      </c>
      <c r="B369">
        <v>170</v>
      </c>
      <c r="C369">
        <v>173</v>
      </c>
      <c r="D369">
        <v>169.5</v>
      </c>
      <c r="E369">
        <v>172</v>
      </c>
      <c r="F369">
        <v>2121200</v>
      </c>
    </row>
    <row r="370" spans="1:6">
      <c r="A370" s="32">
        <v>43284</v>
      </c>
      <c r="B370">
        <v>167.5</v>
      </c>
      <c r="C370">
        <v>172</v>
      </c>
      <c r="D370">
        <v>167</v>
      </c>
      <c r="E370">
        <v>171</v>
      </c>
      <c r="F370">
        <v>3511900</v>
      </c>
    </row>
    <row r="371" spans="1:6">
      <c r="A371" s="32">
        <v>43283</v>
      </c>
      <c r="B371">
        <v>167.5</v>
      </c>
      <c r="C371">
        <v>168.5</v>
      </c>
      <c r="D371">
        <v>166</v>
      </c>
      <c r="E371">
        <v>168</v>
      </c>
      <c r="F371">
        <v>1511100</v>
      </c>
    </row>
    <row r="372" spans="1:6">
      <c r="A372" s="32">
        <v>43280</v>
      </c>
      <c r="B372">
        <v>171.5</v>
      </c>
      <c r="C372">
        <v>171.5</v>
      </c>
      <c r="D372">
        <v>166</v>
      </c>
      <c r="E372">
        <v>166.5</v>
      </c>
      <c r="F372">
        <v>3685300</v>
      </c>
    </row>
    <row r="373" spans="1:6">
      <c r="A373" s="32">
        <v>43279</v>
      </c>
      <c r="B373">
        <v>168.5</v>
      </c>
      <c r="C373">
        <v>173</v>
      </c>
      <c r="D373">
        <v>168</v>
      </c>
      <c r="E373">
        <v>171</v>
      </c>
      <c r="F373">
        <v>3334800</v>
      </c>
    </row>
    <row r="374" spans="1:6">
      <c r="A374" s="32">
        <v>43278</v>
      </c>
      <c r="B374">
        <v>171</v>
      </c>
      <c r="C374">
        <v>171</v>
      </c>
      <c r="D374">
        <v>166</v>
      </c>
      <c r="E374">
        <v>168</v>
      </c>
      <c r="F374">
        <v>4078600</v>
      </c>
    </row>
    <row r="375" spans="1:6">
      <c r="A375" s="32">
        <v>43277</v>
      </c>
      <c r="B375">
        <v>174</v>
      </c>
      <c r="C375">
        <v>176.5</v>
      </c>
      <c r="D375">
        <v>171</v>
      </c>
      <c r="E375">
        <v>171</v>
      </c>
      <c r="F375">
        <v>3997700</v>
      </c>
    </row>
    <row r="376" spans="1:6">
      <c r="A376" s="32">
        <v>43276</v>
      </c>
      <c r="B376">
        <v>176</v>
      </c>
      <c r="C376">
        <v>179</v>
      </c>
      <c r="D376">
        <v>175</v>
      </c>
      <c r="E376">
        <v>175</v>
      </c>
      <c r="F376">
        <v>2147200</v>
      </c>
    </row>
    <row r="377" spans="1:6">
      <c r="A377" s="32">
        <v>43273</v>
      </c>
      <c r="B377">
        <v>181</v>
      </c>
      <c r="C377">
        <v>182</v>
      </c>
      <c r="D377">
        <v>175</v>
      </c>
      <c r="E377">
        <v>176</v>
      </c>
      <c r="F377">
        <v>2041300</v>
      </c>
    </row>
    <row r="378" spans="1:6">
      <c r="A378" s="32">
        <v>43272</v>
      </c>
      <c r="B378">
        <v>182.5</v>
      </c>
      <c r="C378">
        <v>182.5</v>
      </c>
      <c r="D378">
        <v>178.5</v>
      </c>
      <c r="E378">
        <v>181</v>
      </c>
      <c r="F378">
        <v>1610400</v>
      </c>
    </row>
    <row r="379" spans="1:6">
      <c r="A379" s="32">
        <v>43271</v>
      </c>
      <c r="B379">
        <v>180.5</v>
      </c>
      <c r="C379">
        <v>184</v>
      </c>
      <c r="D379">
        <v>179.5</v>
      </c>
      <c r="E379">
        <v>183.5</v>
      </c>
      <c r="F379">
        <v>1462400</v>
      </c>
    </row>
    <row r="380" spans="1:6">
      <c r="A380" s="32">
        <v>43270</v>
      </c>
      <c r="B380">
        <v>184</v>
      </c>
      <c r="C380">
        <v>185</v>
      </c>
      <c r="D380">
        <v>177.5</v>
      </c>
      <c r="E380">
        <v>181</v>
      </c>
      <c r="F380">
        <v>2608200</v>
      </c>
    </row>
    <row r="381" spans="1:6">
      <c r="A381" s="32">
        <v>43269</v>
      </c>
      <c r="B381">
        <v>190</v>
      </c>
      <c r="C381">
        <v>191</v>
      </c>
      <c r="D381">
        <v>186.5</v>
      </c>
      <c r="E381">
        <v>186.5</v>
      </c>
      <c r="F381">
        <v>1008500</v>
      </c>
    </row>
    <row r="382" spans="1:6">
      <c r="A382" s="32">
        <v>43266</v>
      </c>
      <c r="B382">
        <v>191.5</v>
      </c>
      <c r="C382">
        <v>192.5</v>
      </c>
      <c r="D382">
        <v>189.5</v>
      </c>
      <c r="E382">
        <v>191</v>
      </c>
      <c r="F382">
        <v>1756000</v>
      </c>
    </row>
    <row r="383" spans="1:6">
      <c r="A383" s="32">
        <v>43265</v>
      </c>
      <c r="B383">
        <v>192</v>
      </c>
      <c r="C383">
        <v>193</v>
      </c>
      <c r="D383">
        <v>191</v>
      </c>
      <c r="E383">
        <v>193</v>
      </c>
      <c r="F383">
        <v>1077000</v>
      </c>
    </row>
    <row r="384" spans="1:6">
      <c r="A384" s="32">
        <v>43264</v>
      </c>
      <c r="B384">
        <v>191</v>
      </c>
      <c r="C384">
        <v>193.5</v>
      </c>
      <c r="D384">
        <v>190</v>
      </c>
      <c r="E384">
        <v>192.5</v>
      </c>
      <c r="F384">
        <v>827600</v>
      </c>
    </row>
    <row r="385" spans="1:6">
      <c r="A385" s="32">
        <v>43263</v>
      </c>
      <c r="B385">
        <v>191</v>
      </c>
      <c r="C385">
        <v>192.5</v>
      </c>
      <c r="D385">
        <v>190.5</v>
      </c>
      <c r="E385">
        <v>191.5</v>
      </c>
      <c r="F385">
        <v>1091200</v>
      </c>
    </row>
    <row r="386" spans="1:6">
      <c r="A386" s="32">
        <v>43262</v>
      </c>
      <c r="B386">
        <v>191</v>
      </c>
      <c r="C386">
        <v>192.5</v>
      </c>
      <c r="D386">
        <v>190.5</v>
      </c>
      <c r="E386">
        <v>192.5</v>
      </c>
      <c r="F386">
        <v>535800</v>
      </c>
    </row>
    <row r="387" spans="1:6">
      <c r="A387" s="32">
        <v>43259</v>
      </c>
      <c r="B387">
        <v>190</v>
      </c>
      <c r="C387">
        <v>191.5</v>
      </c>
      <c r="D387">
        <v>189.5</v>
      </c>
      <c r="E387">
        <v>191</v>
      </c>
      <c r="F387">
        <v>683800</v>
      </c>
    </row>
    <row r="388" spans="1:6">
      <c r="A388" s="32">
        <v>43258</v>
      </c>
      <c r="B388">
        <v>192</v>
      </c>
      <c r="C388">
        <v>192.5</v>
      </c>
      <c r="D388">
        <v>190.5</v>
      </c>
      <c r="E388">
        <v>190.5</v>
      </c>
      <c r="F388">
        <v>1219200</v>
      </c>
    </row>
    <row r="389" spans="1:6">
      <c r="A389" s="32">
        <v>43257</v>
      </c>
      <c r="B389">
        <v>194.5</v>
      </c>
      <c r="C389">
        <v>196.5</v>
      </c>
      <c r="D389">
        <v>191.5</v>
      </c>
      <c r="E389">
        <v>192</v>
      </c>
      <c r="F389">
        <v>1040700</v>
      </c>
    </row>
    <row r="390" spans="1:6">
      <c r="A390" s="32">
        <v>43256</v>
      </c>
      <c r="B390">
        <v>195</v>
      </c>
      <c r="C390">
        <v>195.5</v>
      </c>
      <c r="D390">
        <v>193</v>
      </c>
      <c r="E390">
        <v>193.5</v>
      </c>
      <c r="F390">
        <v>1002000</v>
      </c>
    </row>
    <row r="391" spans="1:6">
      <c r="A391" s="32">
        <v>43255</v>
      </c>
      <c r="B391">
        <v>195</v>
      </c>
      <c r="C391">
        <v>197</v>
      </c>
      <c r="D391">
        <v>193.5</v>
      </c>
      <c r="E391">
        <v>194.5</v>
      </c>
      <c r="F391">
        <v>1622100</v>
      </c>
    </row>
    <row r="392" spans="1:6">
      <c r="A392" s="32">
        <v>43252</v>
      </c>
      <c r="B392">
        <v>193</v>
      </c>
      <c r="C392">
        <v>195</v>
      </c>
      <c r="D392">
        <v>192</v>
      </c>
      <c r="E392">
        <v>194</v>
      </c>
      <c r="F392">
        <v>961800</v>
      </c>
    </row>
    <row r="393" spans="1:6">
      <c r="A393" s="32">
        <v>43251</v>
      </c>
      <c r="B393">
        <v>192</v>
      </c>
      <c r="C393">
        <v>193.5</v>
      </c>
      <c r="D393">
        <v>191</v>
      </c>
      <c r="E393">
        <v>192.5</v>
      </c>
      <c r="F393">
        <v>1739900</v>
      </c>
    </row>
    <row r="394" spans="1:6">
      <c r="A394" s="32">
        <v>43250</v>
      </c>
      <c r="B394">
        <v>192</v>
      </c>
      <c r="C394">
        <v>193.5</v>
      </c>
      <c r="D394">
        <v>191.5</v>
      </c>
      <c r="E394">
        <v>191.5</v>
      </c>
      <c r="F394">
        <v>1223600</v>
      </c>
    </row>
    <row r="395" spans="1:6">
      <c r="A395" s="32">
        <v>43248</v>
      </c>
      <c r="B395">
        <v>195</v>
      </c>
      <c r="C395">
        <v>195</v>
      </c>
      <c r="D395">
        <v>192</v>
      </c>
      <c r="E395">
        <v>193.5</v>
      </c>
      <c r="F395">
        <v>978900</v>
      </c>
    </row>
    <row r="396" spans="1:6">
      <c r="A396" s="32">
        <v>43245</v>
      </c>
      <c r="B396">
        <v>192</v>
      </c>
      <c r="C396">
        <v>194</v>
      </c>
      <c r="D396">
        <v>191.5</v>
      </c>
      <c r="E396">
        <v>194</v>
      </c>
      <c r="F396">
        <v>1563700</v>
      </c>
    </row>
    <row r="397" spans="1:6">
      <c r="A397" s="32">
        <v>43244</v>
      </c>
      <c r="B397">
        <v>189.5</v>
      </c>
      <c r="C397">
        <v>192</v>
      </c>
      <c r="D397">
        <v>188.5</v>
      </c>
      <c r="E397">
        <v>192</v>
      </c>
      <c r="F397">
        <v>1758800</v>
      </c>
    </row>
    <row r="398" spans="1:6">
      <c r="A398" s="32">
        <v>43243</v>
      </c>
      <c r="B398">
        <v>188</v>
      </c>
      <c r="C398">
        <v>191</v>
      </c>
      <c r="D398">
        <v>188</v>
      </c>
      <c r="E398">
        <v>189</v>
      </c>
      <c r="F398">
        <v>1239900</v>
      </c>
    </row>
    <row r="399" spans="1:6">
      <c r="A399" s="32">
        <v>43242</v>
      </c>
      <c r="B399">
        <v>191</v>
      </c>
      <c r="C399">
        <v>191.5</v>
      </c>
      <c r="D399">
        <v>188.5</v>
      </c>
      <c r="E399">
        <v>189.5</v>
      </c>
      <c r="F399">
        <v>1267500</v>
      </c>
    </row>
    <row r="400" spans="1:6">
      <c r="A400" s="32">
        <v>43241</v>
      </c>
      <c r="B400">
        <v>193</v>
      </c>
      <c r="C400">
        <v>194</v>
      </c>
      <c r="D400">
        <v>191</v>
      </c>
      <c r="E400">
        <v>191.5</v>
      </c>
      <c r="F400">
        <v>912500</v>
      </c>
    </row>
    <row r="401" spans="1:6">
      <c r="A401" s="32">
        <v>43238</v>
      </c>
      <c r="B401">
        <v>191</v>
      </c>
      <c r="C401">
        <v>193</v>
      </c>
      <c r="D401">
        <v>190</v>
      </c>
      <c r="E401">
        <v>192</v>
      </c>
      <c r="F401">
        <v>980100</v>
      </c>
    </row>
    <row r="402" spans="1:6">
      <c r="A402" s="32">
        <v>43237</v>
      </c>
      <c r="B402">
        <v>193.5</v>
      </c>
      <c r="C402">
        <v>193.5</v>
      </c>
      <c r="D402">
        <v>189.5</v>
      </c>
      <c r="E402">
        <v>191</v>
      </c>
      <c r="F402">
        <v>1495900</v>
      </c>
    </row>
    <row r="403" spans="1:6">
      <c r="A403" s="32">
        <v>43236</v>
      </c>
      <c r="B403">
        <v>190</v>
      </c>
      <c r="C403">
        <v>194.5</v>
      </c>
      <c r="D403">
        <v>188.5</v>
      </c>
      <c r="E403">
        <v>194</v>
      </c>
      <c r="F403">
        <v>2461400</v>
      </c>
    </row>
    <row r="404" spans="1:6">
      <c r="A404" s="32">
        <v>43235</v>
      </c>
      <c r="B404">
        <v>189.5</v>
      </c>
      <c r="C404">
        <v>191</v>
      </c>
      <c r="D404">
        <v>188</v>
      </c>
      <c r="E404">
        <v>190</v>
      </c>
      <c r="F404">
        <v>1168100</v>
      </c>
    </row>
    <row r="405" spans="1:6">
      <c r="A405" s="32">
        <v>43234</v>
      </c>
      <c r="B405">
        <v>191</v>
      </c>
      <c r="C405">
        <v>192.5</v>
      </c>
      <c r="D405">
        <v>189</v>
      </c>
      <c r="E405">
        <v>190</v>
      </c>
      <c r="F405">
        <v>1161000</v>
      </c>
    </row>
    <row r="406" spans="1:6">
      <c r="A406" s="32">
        <v>43231</v>
      </c>
      <c r="B406">
        <v>186.5</v>
      </c>
      <c r="C406">
        <v>192.5</v>
      </c>
      <c r="D406">
        <v>186.5</v>
      </c>
      <c r="E406">
        <v>192</v>
      </c>
      <c r="F406">
        <v>1833800</v>
      </c>
    </row>
    <row r="407" spans="1:6">
      <c r="A407" s="32">
        <v>43230</v>
      </c>
      <c r="B407">
        <v>186.5</v>
      </c>
      <c r="C407">
        <v>188.5</v>
      </c>
      <c r="D407">
        <v>185.5</v>
      </c>
      <c r="E407">
        <v>185.5</v>
      </c>
      <c r="F407">
        <v>1592500</v>
      </c>
    </row>
    <row r="408" spans="1:6">
      <c r="A408" s="32">
        <v>43229</v>
      </c>
      <c r="B408">
        <v>186</v>
      </c>
      <c r="C408">
        <v>187.5</v>
      </c>
      <c r="D408">
        <v>185</v>
      </c>
      <c r="E408">
        <v>186</v>
      </c>
      <c r="F408">
        <v>1799400</v>
      </c>
    </row>
    <row r="409" spans="1:6">
      <c r="A409" s="32">
        <v>43228</v>
      </c>
      <c r="B409">
        <v>190</v>
      </c>
      <c r="C409">
        <v>190.5</v>
      </c>
      <c r="D409">
        <v>185</v>
      </c>
      <c r="E409">
        <v>186</v>
      </c>
      <c r="F409">
        <v>3824000</v>
      </c>
    </row>
    <row r="410" spans="1:6">
      <c r="A410" s="32">
        <v>43227</v>
      </c>
      <c r="B410">
        <v>192.5</v>
      </c>
      <c r="C410">
        <v>192.5</v>
      </c>
      <c r="D410">
        <v>190</v>
      </c>
      <c r="E410">
        <v>190</v>
      </c>
      <c r="F410">
        <v>1523400</v>
      </c>
    </row>
    <row r="411" spans="1:6">
      <c r="A411" s="32">
        <v>43224</v>
      </c>
      <c r="B411">
        <v>192</v>
      </c>
      <c r="C411">
        <v>194</v>
      </c>
      <c r="D411">
        <v>192</v>
      </c>
      <c r="E411">
        <v>192</v>
      </c>
      <c r="F411">
        <v>1734500</v>
      </c>
    </row>
    <row r="412" spans="1:6">
      <c r="A412" s="32">
        <v>43223</v>
      </c>
      <c r="B412">
        <v>190.5</v>
      </c>
      <c r="C412">
        <v>194</v>
      </c>
      <c r="D412">
        <v>190.5</v>
      </c>
      <c r="E412">
        <v>193</v>
      </c>
      <c r="F412">
        <v>2245100</v>
      </c>
    </row>
    <row r="413" spans="1:6">
      <c r="A413" s="32">
        <v>43222</v>
      </c>
      <c r="B413">
        <v>189.5</v>
      </c>
      <c r="C413">
        <v>193.5</v>
      </c>
      <c r="D413">
        <v>189</v>
      </c>
      <c r="E413">
        <v>191.5</v>
      </c>
      <c r="F413">
        <v>3639600</v>
      </c>
    </row>
    <row r="414" spans="1:6">
      <c r="A414" s="32">
        <v>43220</v>
      </c>
      <c r="B414">
        <v>195</v>
      </c>
      <c r="C414">
        <v>195.5</v>
      </c>
      <c r="D414">
        <v>190</v>
      </c>
      <c r="E414">
        <v>190</v>
      </c>
      <c r="F414">
        <v>4920100</v>
      </c>
    </row>
    <row r="415" spans="1:6">
      <c r="A415" s="32">
        <v>43217</v>
      </c>
      <c r="B415">
        <v>202</v>
      </c>
      <c r="C415">
        <v>202</v>
      </c>
      <c r="D415">
        <v>195</v>
      </c>
      <c r="E415">
        <v>195</v>
      </c>
      <c r="F415">
        <v>6608500</v>
      </c>
    </row>
    <row r="416" spans="1:6">
      <c r="A416" s="32">
        <v>43216</v>
      </c>
      <c r="B416">
        <v>218</v>
      </c>
      <c r="C416">
        <v>218</v>
      </c>
      <c r="D416">
        <v>206</v>
      </c>
      <c r="E416">
        <v>206</v>
      </c>
      <c r="F416">
        <v>3421900</v>
      </c>
    </row>
    <row r="417" spans="1:6">
      <c r="A417" s="32">
        <v>43215</v>
      </c>
      <c r="B417">
        <v>214</v>
      </c>
      <c r="C417">
        <v>220</v>
      </c>
      <c r="D417">
        <v>214</v>
      </c>
      <c r="E417">
        <v>220</v>
      </c>
      <c r="F417">
        <v>1706500</v>
      </c>
    </row>
    <row r="418" spans="1:6">
      <c r="A418" s="32">
        <v>43214</v>
      </c>
      <c r="B418">
        <v>215</v>
      </c>
      <c r="C418">
        <v>220</v>
      </c>
      <c r="D418">
        <v>215</v>
      </c>
      <c r="E418">
        <v>216</v>
      </c>
      <c r="F418">
        <v>1488100</v>
      </c>
    </row>
    <row r="419" spans="1:6">
      <c r="A419" s="32">
        <v>43213</v>
      </c>
      <c r="B419">
        <v>217</v>
      </c>
      <c r="C419">
        <v>218</v>
      </c>
      <c r="D419">
        <v>215</v>
      </c>
      <c r="E419">
        <v>217</v>
      </c>
      <c r="F419">
        <v>1014400</v>
      </c>
    </row>
    <row r="420" spans="1:6">
      <c r="A420" s="32">
        <v>43210</v>
      </c>
      <c r="B420">
        <v>215</v>
      </c>
      <c r="C420">
        <v>217</v>
      </c>
      <c r="D420">
        <v>213</v>
      </c>
      <c r="E420">
        <v>217</v>
      </c>
      <c r="F420">
        <v>961900</v>
      </c>
    </row>
    <row r="421" spans="1:6">
      <c r="A421" s="32">
        <v>43209</v>
      </c>
      <c r="B421">
        <v>222</v>
      </c>
      <c r="C421">
        <v>222</v>
      </c>
      <c r="D421">
        <v>212</v>
      </c>
      <c r="E421">
        <v>214</v>
      </c>
      <c r="F421">
        <v>2941700</v>
      </c>
    </row>
    <row r="422" spans="1:6">
      <c r="A422" s="32">
        <v>43208</v>
      </c>
      <c r="B422">
        <v>219</v>
      </c>
      <c r="C422">
        <v>220</v>
      </c>
      <c r="D422">
        <v>217</v>
      </c>
      <c r="E422">
        <v>220</v>
      </c>
      <c r="F422">
        <v>747600</v>
      </c>
    </row>
    <row r="423" spans="1:6">
      <c r="A423" s="32">
        <v>43207</v>
      </c>
      <c r="B423">
        <v>218</v>
      </c>
      <c r="C423">
        <v>219</v>
      </c>
      <c r="D423">
        <v>216</v>
      </c>
      <c r="E423">
        <v>216</v>
      </c>
      <c r="F423">
        <v>875700</v>
      </c>
    </row>
    <row r="424" spans="1:6">
      <c r="A424" s="32">
        <v>43202</v>
      </c>
      <c r="B424">
        <v>219</v>
      </c>
      <c r="C424">
        <v>222</v>
      </c>
      <c r="D424">
        <v>216</v>
      </c>
      <c r="E424">
        <v>218</v>
      </c>
      <c r="F424">
        <v>1433600</v>
      </c>
    </row>
    <row r="425" spans="1:6">
      <c r="A425" s="32">
        <v>43201</v>
      </c>
      <c r="B425">
        <v>220</v>
      </c>
      <c r="C425">
        <v>225</v>
      </c>
      <c r="D425">
        <v>218</v>
      </c>
      <c r="E425">
        <v>219</v>
      </c>
      <c r="F425">
        <v>2225700</v>
      </c>
    </row>
    <row r="426" spans="1:6">
      <c r="A426" s="32">
        <v>43200</v>
      </c>
      <c r="B426">
        <v>222</v>
      </c>
      <c r="C426">
        <v>223</v>
      </c>
      <c r="D426">
        <v>220</v>
      </c>
      <c r="E426">
        <v>221</v>
      </c>
      <c r="F426">
        <v>1017500</v>
      </c>
    </row>
    <row r="427" spans="1:6">
      <c r="A427" s="32">
        <v>43199</v>
      </c>
      <c r="B427">
        <v>213</v>
      </c>
      <c r="C427">
        <v>222</v>
      </c>
      <c r="D427">
        <v>212</v>
      </c>
      <c r="E427">
        <v>221</v>
      </c>
      <c r="F427">
        <v>2227900</v>
      </c>
    </row>
    <row r="428" spans="1:6">
      <c r="A428" s="32">
        <v>43195</v>
      </c>
      <c r="B428">
        <v>210</v>
      </c>
      <c r="C428">
        <v>214</v>
      </c>
      <c r="D428">
        <v>209</v>
      </c>
      <c r="E428">
        <v>213</v>
      </c>
      <c r="F428">
        <v>1054800</v>
      </c>
    </row>
    <row r="429" spans="1:6">
      <c r="A429" s="32">
        <v>43194</v>
      </c>
      <c r="B429">
        <v>215</v>
      </c>
      <c r="C429">
        <v>218</v>
      </c>
      <c r="D429">
        <v>209</v>
      </c>
      <c r="E429">
        <v>210</v>
      </c>
      <c r="F429">
        <v>1491800</v>
      </c>
    </row>
    <row r="430" spans="1:6">
      <c r="A430" s="32">
        <v>43193</v>
      </c>
      <c r="B430">
        <v>217</v>
      </c>
      <c r="C430">
        <v>218</v>
      </c>
      <c r="D430">
        <v>214</v>
      </c>
      <c r="E430">
        <v>215</v>
      </c>
      <c r="F430">
        <v>1535500</v>
      </c>
    </row>
    <row r="431" spans="1:6">
      <c r="A431" s="32">
        <v>43192</v>
      </c>
      <c r="B431">
        <v>212</v>
      </c>
      <c r="C431">
        <v>219</v>
      </c>
      <c r="D431">
        <v>212</v>
      </c>
      <c r="E431">
        <v>218</v>
      </c>
      <c r="F431">
        <v>1369000</v>
      </c>
    </row>
    <row r="432" spans="1:6">
      <c r="A432" s="32">
        <v>43189</v>
      </c>
      <c r="B432">
        <v>209</v>
      </c>
      <c r="C432">
        <v>213</v>
      </c>
      <c r="D432">
        <v>207</v>
      </c>
      <c r="E432">
        <v>213</v>
      </c>
      <c r="F432">
        <v>2723400</v>
      </c>
    </row>
    <row r="433" spans="1:6">
      <c r="A433" s="32">
        <v>43188</v>
      </c>
      <c r="B433">
        <v>206</v>
      </c>
      <c r="C433">
        <v>210</v>
      </c>
      <c r="D433">
        <v>206</v>
      </c>
      <c r="E433">
        <v>207</v>
      </c>
      <c r="F433">
        <v>1422300</v>
      </c>
    </row>
    <row r="434" spans="1:6">
      <c r="A434" s="32">
        <v>43187</v>
      </c>
      <c r="B434">
        <v>210</v>
      </c>
      <c r="C434">
        <v>210</v>
      </c>
      <c r="D434">
        <v>206</v>
      </c>
      <c r="E434">
        <v>207</v>
      </c>
      <c r="F434">
        <v>1655800</v>
      </c>
    </row>
    <row r="435" spans="1:6">
      <c r="A435" s="32">
        <v>43186</v>
      </c>
      <c r="B435">
        <v>213</v>
      </c>
      <c r="C435">
        <v>213</v>
      </c>
      <c r="D435">
        <v>209</v>
      </c>
      <c r="E435">
        <v>211</v>
      </c>
      <c r="F435">
        <v>1983900</v>
      </c>
    </row>
    <row r="436" spans="1:6">
      <c r="A436" s="32">
        <v>43185</v>
      </c>
      <c r="B436">
        <v>209</v>
      </c>
      <c r="C436">
        <v>211</v>
      </c>
      <c r="D436">
        <v>208</v>
      </c>
      <c r="E436">
        <v>211</v>
      </c>
      <c r="F436">
        <v>1421600</v>
      </c>
    </row>
    <row r="437" spans="1:6">
      <c r="A437" s="32">
        <v>43182</v>
      </c>
      <c r="B437">
        <v>207</v>
      </c>
      <c r="C437">
        <v>209</v>
      </c>
      <c r="D437">
        <v>205</v>
      </c>
      <c r="E437">
        <v>209</v>
      </c>
      <c r="F437">
        <v>1022600</v>
      </c>
    </row>
    <row r="438" spans="1:6">
      <c r="A438" s="32">
        <v>43181</v>
      </c>
      <c r="B438">
        <v>208</v>
      </c>
      <c r="C438">
        <v>209</v>
      </c>
      <c r="D438">
        <v>206</v>
      </c>
      <c r="E438">
        <v>207</v>
      </c>
      <c r="F438">
        <v>490900</v>
      </c>
    </row>
    <row r="439" spans="1:6">
      <c r="A439" s="32">
        <v>43180</v>
      </c>
      <c r="B439">
        <v>209</v>
      </c>
      <c r="C439">
        <v>210</v>
      </c>
      <c r="D439">
        <v>207</v>
      </c>
      <c r="E439">
        <v>207</v>
      </c>
      <c r="F439">
        <v>951400</v>
      </c>
    </row>
    <row r="440" spans="1:6">
      <c r="A440" s="32">
        <v>43179</v>
      </c>
      <c r="B440">
        <v>207</v>
      </c>
      <c r="C440">
        <v>209</v>
      </c>
      <c r="D440">
        <v>204</v>
      </c>
      <c r="E440">
        <v>209</v>
      </c>
      <c r="F440">
        <v>1553100</v>
      </c>
    </row>
    <row r="441" spans="1:6">
      <c r="A441" s="32">
        <v>43178</v>
      </c>
      <c r="B441">
        <v>209</v>
      </c>
      <c r="C441">
        <v>211</v>
      </c>
      <c r="D441">
        <v>207</v>
      </c>
      <c r="E441">
        <v>207</v>
      </c>
      <c r="F441">
        <v>1111200</v>
      </c>
    </row>
    <row r="442" spans="1:6">
      <c r="A442" s="32">
        <v>43175</v>
      </c>
      <c r="B442">
        <v>211</v>
      </c>
      <c r="C442">
        <v>214</v>
      </c>
      <c r="D442">
        <v>208</v>
      </c>
      <c r="E442">
        <v>209</v>
      </c>
      <c r="F442">
        <v>1554900</v>
      </c>
    </row>
    <row r="443" spans="1:6">
      <c r="A443" s="32">
        <v>43174</v>
      </c>
      <c r="B443">
        <v>211</v>
      </c>
      <c r="C443">
        <v>215</v>
      </c>
      <c r="D443">
        <v>208</v>
      </c>
      <c r="E443">
        <v>212</v>
      </c>
      <c r="F443">
        <v>2215400</v>
      </c>
    </row>
    <row r="444" spans="1:6">
      <c r="A444" s="32">
        <v>43173</v>
      </c>
      <c r="B444">
        <v>212</v>
      </c>
      <c r="C444">
        <v>212</v>
      </c>
      <c r="D444">
        <v>208</v>
      </c>
      <c r="E444">
        <v>208</v>
      </c>
      <c r="F444">
        <v>2241400</v>
      </c>
    </row>
    <row r="445" spans="1:6">
      <c r="A445" s="32">
        <v>43172</v>
      </c>
      <c r="B445">
        <v>213</v>
      </c>
      <c r="C445">
        <v>216</v>
      </c>
      <c r="D445">
        <v>213</v>
      </c>
      <c r="E445">
        <v>214</v>
      </c>
      <c r="F445">
        <v>751800</v>
      </c>
    </row>
    <row r="446" spans="1:6">
      <c r="A446" s="32">
        <v>43171</v>
      </c>
      <c r="B446">
        <v>216</v>
      </c>
      <c r="C446">
        <v>217</v>
      </c>
      <c r="D446">
        <v>213</v>
      </c>
      <c r="E446">
        <v>215</v>
      </c>
      <c r="F446">
        <v>849400</v>
      </c>
    </row>
    <row r="447" spans="1:6">
      <c r="A447" s="32">
        <v>43168</v>
      </c>
      <c r="B447">
        <v>218</v>
      </c>
      <c r="C447">
        <v>218</v>
      </c>
      <c r="D447">
        <v>212</v>
      </c>
      <c r="E447">
        <v>215</v>
      </c>
      <c r="F447">
        <v>2327100</v>
      </c>
    </row>
    <row r="448" spans="1:6">
      <c r="A448" s="32">
        <v>43167</v>
      </c>
      <c r="B448">
        <v>212</v>
      </c>
      <c r="C448">
        <v>220</v>
      </c>
      <c r="D448">
        <v>211</v>
      </c>
      <c r="E448">
        <v>217</v>
      </c>
      <c r="F448">
        <v>3598400</v>
      </c>
    </row>
    <row r="449" spans="1:6">
      <c r="A449" s="32">
        <v>43166</v>
      </c>
      <c r="B449">
        <v>210</v>
      </c>
      <c r="C449">
        <v>212</v>
      </c>
      <c r="D449">
        <v>207</v>
      </c>
      <c r="E449">
        <v>211</v>
      </c>
      <c r="F449">
        <v>1498200</v>
      </c>
    </row>
    <row r="450" spans="1:6">
      <c r="A450" s="32">
        <v>43165</v>
      </c>
      <c r="B450">
        <v>209</v>
      </c>
      <c r="C450">
        <v>214</v>
      </c>
      <c r="D450">
        <v>208</v>
      </c>
      <c r="E450">
        <v>210</v>
      </c>
      <c r="F450">
        <v>2339700</v>
      </c>
    </row>
    <row r="451" spans="1:6">
      <c r="A451" s="32">
        <v>43164</v>
      </c>
      <c r="B451">
        <v>207</v>
      </c>
      <c r="C451">
        <v>209</v>
      </c>
      <c r="D451">
        <v>204</v>
      </c>
      <c r="E451">
        <v>207</v>
      </c>
      <c r="F451">
        <v>2135700</v>
      </c>
    </row>
    <row r="452" spans="1:6">
      <c r="A452" s="32">
        <v>43161</v>
      </c>
      <c r="B452">
        <v>206</v>
      </c>
      <c r="C452">
        <v>210</v>
      </c>
      <c r="D452">
        <v>206</v>
      </c>
      <c r="E452">
        <v>208</v>
      </c>
      <c r="F452">
        <v>1898900</v>
      </c>
    </row>
    <row r="453" spans="1:6">
      <c r="A453" s="32">
        <v>43159</v>
      </c>
      <c r="B453">
        <v>205</v>
      </c>
      <c r="C453">
        <v>206</v>
      </c>
      <c r="D453">
        <v>204</v>
      </c>
      <c r="E453">
        <v>206</v>
      </c>
      <c r="F453">
        <v>565400</v>
      </c>
    </row>
    <row r="454" spans="1:6">
      <c r="A454" s="32">
        <v>43158</v>
      </c>
      <c r="B454">
        <v>208</v>
      </c>
      <c r="C454">
        <v>208</v>
      </c>
      <c r="D454">
        <v>203</v>
      </c>
      <c r="E454">
        <v>204</v>
      </c>
      <c r="F454">
        <v>1569200</v>
      </c>
    </row>
    <row r="455" spans="1:6">
      <c r="A455" s="32">
        <v>43157</v>
      </c>
      <c r="B455">
        <v>206</v>
      </c>
      <c r="C455">
        <v>207</v>
      </c>
      <c r="D455">
        <v>204</v>
      </c>
      <c r="E455">
        <v>207</v>
      </c>
      <c r="F455">
        <v>1466700</v>
      </c>
    </row>
    <row r="456" spans="1:6">
      <c r="A456" s="32">
        <v>43154</v>
      </c>
      <c r="B456">
        <v>202</v>
      </c>
      <c r="C456">
        <v>207</v>
      </c>
      <c r="D456">
        <v>201</v>
      </c>
      <c r="E456">
        <v>207</v>
      </c>
      <c r="F456">
        <v>2503100</v>
      </c>
    </row>
    <row r="457" spans="1:6">
      <c r="A457" s="32">
        <v>43153</v>
      </c>
      <c r="B457">
        <v>199.5</v>
      </c>
      <c r="C457">
        <v>203</v>
      </c>
      <c r="D457">
        <v>198.5</v>
      </c>
      <c r="E457">
        <v>201</v>
      </c>
      <c r="F457">
        <v>2406300</v>
      </c>
    </row>
    <row r="458" spans="1:6">
      <c r="A458" s="32">
        <v>43152</v>
      </c>
      <c r="B458">
        <v>198.5</v>
      </c>
      <c r="C458">
        <v>201</v>
      </c>
      <c r="D458">
        <v>198</v>
      </c>
      <c r="E458">
        <v>198.5</v>
      </c>
      <c r="F458">
        <v>1158200</v>
      </c>
    </row>
    <row r="459" spans="1:6">
      <c r="A459" s="32">
        <v>43151</v>
      </c>
      <c r="B459">
        <v>204</v>
      </c>
      <c r="C459">
        <v>204</v>
      </c>
      <c r="D459">
        <v>197</v>
      </c>
      <c r="E459">
        <v>198</v>
      </c>
      <c r="F459">
        <v>2077400</v>
      </c>
    </row>
    <row r="460" spans="1:6">
      <c r="A460" s="32">
        <v>43150</v>
      </c>
      <c r="B460">
        <v>205</v>
      </c>
      <c r="C460">
        <v>208</v>
      </c>
      <c r="D460">
        <v>201</v>
      </c>
      <c r="E460">
        <v>204</v>
      </c>
      <c r="F460">
        <v>2132800</v>
      </c>
    </row>
    <row r="461" spans="1:6">
      <c r="A461" s="32">
        <v>43147</v>
      </c>
      <c r="B461">
        <v>201</v>
      </c>
      <c r="C461">
        <v>206</v>
      </c>
      <c r="D461">
        <v>200</v>
      </c>
      <c r="E461">
        <v>206</v>
      </c>
      <c r="F461">
        <v>1685200</v>
      </c>
    </row>
    <row r="462" spans="1:6">
      <c r="A462" s="32">
        <v>43146</v>
      </c>
      <c r="B462">
        <v>201</v>
      </c>
      <c r="C462">
        <v>201</v>
      </c>
      <c r="D462">
        <v>198.5</v>
      </c>
      <c r="E462">
        <v>201</v>
      </c>
      <c r="F462">
        <v>744300</v>
      </c>
    </row>
    <row r="463" spans="1:6">
      <c r="A463" s="32">
        <v>43145</v>
      </c>
      <c r="B463">
        <v>201</v>
      </c>
      <c r="C463">
        <v>202</v>
      </c>
      <c r="D463">
        <v>199</v>
      </c>
      <c r="E463">
        <v>199.5</v>
      </c>
      <c r="F463">
        <v>2107200</v>
      </c>
    </row>
    <row r="464" spans="1:6">
      <c r="A464" s="32">
        <v>43144</v>
      </c>
      <c r="B464">
        <v>197</v>
      </c>
      <c r="C464">
        <v>201</v>
      </c>
      <c r="D464">
        <v>197</v>
      </c>
      <c r="E464">
        <v>199</v>
      </c>
      <c r="F464">
        <v>3515200</v>
      </c>
    </row>
    <row r="465" spans="1:6">
      <c r="A465" s="32">
        <v>43143</v>
      </c>
      <c r="B465">
        <v>196.5</v>
      </c>
      <c r="C465">
        <v>197</v>
      </c>
      <c r="D465">
        <v>194.5</v>
      </c>
      <c r="E465">
        <v>196.5</v>
      </c>
      <c r="F465">
        <v>1951100</v>
      </c>
    </row>
    <row r="466" spans="1:6">
      <c r="A466" s="32">
        <v>43140</v>
      </c>
      <c r="B466">
        <v>196.5</v>
      </c>
      <c r="C466">
        <v>197</v>
      </c>
      <c r="D466">
        <v>195</v>
      </c>
      <c r="E466">
        <v>196</v>
      </c>
      <c r="F466">
        <v>1668900</v>
      </c>
    </row>
    <row r="467" spans="1:6">
      <c r="A467" s="32">
        <v>43139</v>
      </c>
      <c r="B467">
        <v>196</v>
      </c>
      <c r="C467">
        <v>199.5</v>
      </c>
      <c r="D467">
        <v>196</v>
      </c>
      <c r="E467">
        <v>198</v>
      </c>
      <c r="F467">
        <v>1460000</v>
      </c>
    </row>
    <row r="468" spans="1:6">
      <c r="A468" s="32">
        <v>43138</v>
      </c>
      <c r="B468">
        <v>196</v>
      </c>
      <c r="C468">
        <v>198</v>
      </c>
      <c r="D468">
        <v>195.5</v>
      </c>
      <c r="E468">
        <v>197</v>
      </c>
      <c r="F468">
        <v>1891500</v>
      </c>
    </row>
    <row r="469" spans="1:6">
      <c r="A469" s="32">
        <v>43137</v>
      </c>
      <c r="B469">
        <v>194</v>
      </c>
      <c r="C469">
        <v>196.5</v>
      </c>
      <c r="D469">
        <v>192</v>
      </c>
      <c r="E469">
        <v>195</v>
      </c>
      <c r="F469">
        <v>2108400</v>
      </c>
    </row>
    <row r="470" spans="1:6">
      <c r="A470" s="32">
        <v>43136</v>
      </c>
      <c r="B470">
        <v>198</v>
      </c>
      <c r="C470">
        <v>199.5</v>
      </c>
      <c r="D470">
        <v>196</v>
      </c>
      <c r="E470">
        <v>198.5</v>
      </c>
      <c r="F470">
        <v>1251500</v>
      </c>
    </row>
    <row r="471" spans="1:6">
      <c r="A471" s="32">
        <v>43133</v>
      </c>
      <c r="B471">
        <v>205</v>
      </c>
      <c r="C471">
        <v>207</v>
      </c>
      <c r="D471">
        <v>200</v>
      </c>
      <c r="E471">
        <v>202</v>
      </c>
      <c r="F471">
        <v>2302800</v>
      </c>
    </row>
    <row r="472" spans="1:6">
      <c r="A472" s="32">
        <v>43132</v>
      </c>
      <c r="B472">
        <v>197.5</v>
      </c>
      <c r="C472">
        <v>204</v>
      </c>
      <c r="D472">
        <v>196.5</v>
      </c>
      <c r="E472">
        <v>204</v>
      </c>
      <c r="F472">
        <v>4198800</v>
      </c>
    </row>
    <row r="473" spans="1:6">
      <c r="A473" s="32">
        <v>43131</v>
      </c>
      <c r="B473">
        <v>195.5</v>
      </c>
      <c r="C473">
        <v>197</v>
      </c>
      <c r="D473">
        <v>195</v>
      </c>
      <c r="E473">
        <v>196</v>
      </c>
      <c r="F473">
        <v>839400</v>
      </c>
    </row>
    <row r="474" spans="1:6">
      <c r="A474" s="32">
        <v>43130</v>
      </c>
      <c r="B474">
        <v>197</v>
      </c>
      <c r="C474">
        <v>198</v>
      </c>
      <c r="D474">
        <v>196</v>
      </c>
      <c r="E474">
        <v>196.5</v>
      </c>
      <c r="F474">
        <v>999900</v>
      </c>
    </row>
    <row r="475" spans="1:6">
      <c r="A475" s="32">
        <v>43129</v>
      </c>
      <c r="B475">
        <v>196</v>
      </c>
      <c r="C475">
        <v>198.5</v>
      </c>
      <c r="D475">
        <v>194</v>
      </c>
      <c r="E475">
        <v>197.5</v>
      </c>
      <c r="F475">
        <v>2743900</v>
      </c>
    </row>
    <row r="476" spans="1:6">
      <c r="A476" s="32">
        <v>43126</v>
      </c>
      <c r="B476">
        <v>193</v>
      </c>
      <c r="C476">
        <v>195</v>
      </c>
      <c r="D476">
        <v>192</v>
      </c>
      <c r="E476">
        <v>193.5</v>
      </c>
      <c r="F476">
        <v>1429300</v>
      </c>
    </row>
    <row r="477" spans="1:6">
      <c r="A477" s="32">
        <v>43125</v>
      </c>
      <c r="B477">
        <v>198.5</v>
      </c>
      <c r="C477">
        <v>199</v>
      </c>
      <c r="D477">
        <v>192.5</v>
      </c>
      <c r="E477">
        <v>193</v>
      </c>
      <c r="F477">
        <v>1774900</v>
      </c>
    </row>
    <row r="478" spans="1:6">
      <c r="A478" s="32">
        <v>43124</v>
      </c>
      <c r="B478">
        <v>198</v>
      </c>
      <c r="C478">
        <v>200</v>
      </c>
      <c r="D478">
        <v>197.5</v>
      </c>
      <c r="E478">
        <v>198.5</v>
      </c>
      <c r="F478">
        <v>1573900</v>
      </c>
    </row>
    <row r="479" spans="1:6">
      <c r="A479" s="32">
        <v>43123</v>
      </c>
      <c r="B479">
        <v>197.5</v>
      </c>
      <c r="C479">
        <v>198.5</v>
      </c>
      <c r="D479">
        <v>196.5</v>
      </c>
      <c r="E479">
        <v>197.5</v>
      </c>
      <c r="F479">
        <v>884000</v>
      </c>
    </row>
    <row r="480" spans="1:6">
      <c r="A480" s="32">
        <v>43122</v>
      </c>
      <c r="B480">
        <v>197.5</v>
      </c>
      <c r="C480">
        <v>198.5</v>
      </c>
      <c r="D480">
        <v>196</v>
      </c>
      <c r="E480">
        <v>197</v>
      </c>
      <c r="F480">
        <v>1484200</v>
      </c>
    </row>
    <row r="481" spans="1:6">
      <c r="A481" s="32">
        <v>43119</v>
      </c>
      <c r="B481">
        <v>197</v>
      </c>
      <c r="C481">
        <v>198</v>
      </c>
      <c r="D481">
        <v>196</v>
      </c>
      <c r="E481">
        <v>197</v>
      </c>
      <c r="F481">
        <v>1708100</v>
      </c>
    </row>
    <row r="482" spans="1:6">
      <c r="A482" s="32">
        <v>43118</v>
      </c>
      <c r="B482">
        <v>195</v>
      </c>
      <c r="C482">
        <v>198</v>
      </c>
      <c r="D482">
        <v>195</v>
      </c>
      <c r="E482">
        <v>196.5</v>
      </c>
      <c r="F482">
        <v>1315700</v>
      </c>
    </row>
    <row r="483" spans="1:6">
      <c r="A483" s="32">
        <v>43117</v>
      </c>
      <c r="B483">
        <v>196.5</v>
      </c>
      <c r="C483">
        <v>199</v>
      </c>
      <c r="D483">
        <v>194.5</v>
      </c>
      <c r="E483">
        <v>195</v>
      </c>
      <c r="F483">
        <v>2097100</v>
      </c>
    </row>
    <row r="484" spans="1:6">
      <c r="A484" s="32">
        <v>43116</v>
      </c>
      <c r="B484">
        <v>197</v>
      </c>
      <c r="C484">
        <v>198</v>
      </c>
      <c r="D484">
        <v>195</v>
      </c>
      <c r="E484">
        <v>197</v>
      </c>
      <c r="F484">
        <v>1246800</v>
      </c>
    </row>
    <row r="485" spans="1:6">
      <c r="A485" s="32">
        <v>43115</v>
      </c>
      <c r="B485">
        <v>196.5</v>
      </c>
      <c r="C485">
        <v>201</v>
      </c>
      <c r="D485">
        <v>194.5</v>
      </c>
      <c r="E485">
        <v>195</v>
      </c>
      <c r="F485">
        <v>3359100</v>
      </c>
    </row>
    <row r="486" spans="1:6">
      <c r="A486" s="32">
        <v>43112</v>
      </c>
      <c r="B486">
        <v>195</v>
      </c>
      <c r="C486">
        <v>202</v>
      </c>
      <c r="D486">
        <v>195</v>
      </c>
      <c r="E486">
        <v>196</v>
      </c>
      <c r="F486">
        <v>3030200</v>
      </c>
    </row>
    <row r="487" spans="1:6">
      <c r="A487" s="32">
        <v>43111</v>
      </c>
      <c r="B487">
        <v>199.5</v>
      </c>
      <c r="C487">
        <v>202</v>
      </c>
      <c r="D487">
        <v>195.5</v>
      </c>
      <c r="E487">
        <v>196</v>
      </c>
      <c r="F487">
        <v>4278100</v>
      </c>
    </row>
    <row r="488" spans="1:6">
      <c r="A488" s="32">
        <v>43110</v>
      </c>
      <c r="B488">
        <v>194</v>
      </c>
      <c r="C488">
        <v>204</v>
      </c>
      <c r="D488">
        <v>193.5</v>
      </c>
      <c r="E488">
        <v>200</v>
      </c>
      <c r="F488">
        <v>5534400</v>
      </c>
    </row>
    <row r="489" spans="1:6">
      <c r="A489" s="32">
        <v>43109</v>
      </c>
      <c r="B489">
        <v>190</v>
      </c>
      <c r="C489">
        <v>192</v>
      </c>
      <c r="D489">
        <v>189.5</v>
      </c>
      <c r="E489">
        <v>192</v>
      </c>
      <c r="F489">
        <v>1098400</v>
      </c>
    </row>
    <row r="490" spans="1:6">
      <c r="A490" s="32">
        <v>43108</v>
      </c>
      <c r="B490">
        <v>191</v>
      </c>
      <c r="C490">
        <v>193.5</v>
      </c>
      <c r="D490">
        <v>190</v>
      </c>
      <c r="E490">
        <v>190</v>
      </c>
      <c r="F490">
        <v>1051100</v>
      </c>
    </row>
    <row r="491" spans="1:6">
      <c r="A491" s="32">
        <v>43105</v>
      </c>
      <c r="B491">
        <v>195</v>
      </c>
      <c r="C491">
        <v>195</v>
      </c>
      <c r="D491">
        <v>191</v>
      </c>
      <c r="E491">
        <v>192.5</v>
      </c>
      <c r="F491">
        <v>944500</v>
      </c>
    </row>
    <row r="492" spans="1:6">
      <c r="A492" s="32">
        <v>43104</v>
      </c>
      <c r="B492">
        <v>191</v>
      </c>
      <c r="C492">
        <v>194</v>
      </c>
      <c r="D492">
        <v>191</v>
      </c>
      <c r="E492">
        <v>194</v>
      </c>
      <c r="F492">
        <v>1417800</v>
      </c>
    </row>
    <row r="493" spans="1:6">
      <c r="A493" s="32">
        <v>43103</v>
      </c>
      <c r="B493">
        <v>189.5</v>
      </c>
      <c r="C493">
        <v>192</v>
      </c>
      <c r="D493">
        <v>189</v>
      </c>
      <c r="E493">
        <v>192</v>
      </c>
      <c r="F493">
        <v>1271100</v>
      </c>
    </row>
    <row r="494" spans="1:6">
      <c r="A494" s="32">
        <v>43098</v>
      </c>
      <c r="B494">
        <v>190</v>
      </c>
      <c r="C494">
        <v>191.5</v>
      </c>
      <c r="D494">
        <v>189</v>
      </c>
      <c r="E494">
        <v>189</v>
      </c>
      <c r="F494">
        <v>1617900</v>
      </c>
    </row>
    <row r="495" spans="1:6">
      <c r="A495" s="32">
        <v>43097</v>
      </c>
      <c r="B495">
        <v>193</v>
      </c>
      <c r="C495">
        <v>193</v>
      </c>
      <c r="D495">
        <v>188.5</v>
      </c>
      <c r="E495">
        <v>190</v>
      </c>
      <c r="F495">
        <v>1394800</v>
      </c>
    </row>
    <row r="496" spans="1:6">
      <c r="A496" s="32">
        <v>43096</v>
      </c>
      <c r="B496">
        <v>192.5</v>
      </c>
      <c r="C496">
        <v>194</v>
      </c>
      <c r="D496">
        <v>192</v>
      </c>
      <c r="E496">
        <v>193.5</v>
      </c>
      <c r="F496">
        <v>570800</v>
      </c>
    </row>
    <row r="497" spans="1:6">
      <c r="A497" s="32">
        <v>43095</v>
      </c>
      <c r="B497">
        <v>193</v>
      </c>
      <c r="C497">
        <v>194.5</v>
      </c>
      <c r="D497">
        <v>192.5</v>
      </c>
      <c r="E497">
        <v>192.5</v>
      </c>
      <c r="F497">
        <v>429800</v>
      </c>
    </row>
    <row r="498" spans="1:6">
      <c r="A498" s="32">
        <v>43094</v>
      </c>
      <c r="B498">
        <v>193.5</v>
      </c>
      <c r="C498">
        <v>194</v>
      </c>
      <c r="D498">
        <v>192</v>
      </c>
      <c r="E498">
        <v>193.5</v>
      </c>
      <c r="F498">
        <v>633600</v>
      </c>
    </row>
    <row r="499" spans="1:6">
      <c r="A499" s="32">
        <v>43091</v>
      </c>
      <c r="B499">
        <v>191.5</v>
      </c>
      <c r="C499">
        <v>194.5</v>
      </c>
      <c r="D499">
        <v>191</v>
      </c>
      <c r="E499">
        <v>194.5</v>
      </c>
      <c r="F499">
        <v>1347300</v>
      </c>
    </row>
    <row r="500" spans="1:6">
      <c r="A500" s="32">
        <v>43090</v>
      </c>
      <c r="B500">
        <v>190.5</v>
      </c>
      <c r="C500">
        <v>191.5</v>
      </c>
      <c r="D500">
        <v>189.5</v>
      </c>
      <c r="E500">
        <v>191.5</v>
      </c>
      <c r="F500">
        <v>596600</v>
      </c>
    </row>
    <row r="501" spans="1:6">
      <c r="A501" s="32">
        <v>43089</v>
      </c>
      <c r="B501">
        <v>190.5</v>
      </c>
      <c r="C501">
        <v>192</v>
      </c>
      <c r="D501">
        <v>188.5</v>
      </c>
      <c r="E501">
        <v>190.5</v>
      </c>
      <c r="F501">
        <v>1639600</v>
      </c>
    </row>
    <row r="502" spans="1:6">
      <c r="A502" s="32">
        <v>43088</v>
      </c>
      <c r="B502">
        <v>194.5</v>
      </c>
      <c r="C502">
        <v>195</v>
      </c>
      <c r="D502">
        <v>190</v>
      </c>
      <c r="E502">
        <v>190</v>
      </c>
      <c r="F502">
        <v>5048200</v>
      </c>
    </row>
    <row r="503" spans="1:6">
      <c r="A503" s="32">
        <v>43087</v>
      </c>
      <c r="B503">
        <v>197</v>
      </c>
      <c r="C503">
        <v>198</v>
      </c>
      <c r="D503">
        <v>194.5</v>
      </c>
      <c r="E503">
        <v>195.5</v>
      </c>
      <c r="F503">
        <v>1394200</v>
      </c>
    </row>
    <row r="504" spans="1:6">
      <c r="A504" s="32">
        <v>43084</v>
      </c>
      <c r="B504">
        <v>201</v>
      </c>
      <c r="C504">
        <v>202</v>
      </c>
      <c r="D504">
        <v>197</v>
      </c>
      <c r="E504">
        <v>197</v>
      </c>
      <c r="F504">
        <v>1410900</v>
      </c>
    </row>
    <row r="505" spans="1:6">
      <c r="A505" s="32">
        <v>43083</v>
      </c>
      <c r="B505">
        <v>195</v>
      </c>
      <c r="C505">
        <v>201</v>
      </c>
      <c r="D505">
        <v>195</v>
      </c>
      <c r="E505">
        <v>200</v>
      </c>
      <c r="F505">
        <v>942400</v>
      </c>
    </row>
    <row r="506" spans="1:6">
      <c r="A506" s="32">
        <v>43082</v>
      </c>
      <c r="B506">
        <v>199.5</v>
      </c>
      <c r="C506">
        <v>200</v>
      </c>
      <c r="D506">
        <v>194</v>
      </c>
      <c r="E506">
        <v>195</v>
      </c>
      <c r="F506">
        <v>1929500</v>
      </c>
    </row>
    <row r="507" spans="1:6">
      <c r="A507" s="32">
        <v>43081</v>
      </c>
      <c r="B507">
        <v>204</v>
      </c>
      <c r="C507">
        <v>204</v>
      </c>
      <c r="D507">
        <v>199.5</v>
      </c>
      <c r="E507">
        <v>200</v>
      </c>
      <c r="F507">
        <v>653800</v>
      </c>
    </row>
    <row r="508" spans="1:6">
      <c r="A508" s="32">
        <v>43077</v>
      </c>
      <c r="B508">
        <v>200</v>
      </c>
      <c r="C508">
        <v>202</v>
      </c>
      <c r="D508">
        <v>199</v>
      </c>
      <c r="E508">
        <v>202</v>
      </c>
      <c r="F508">
        <v>1218200</v>
      </c>
    </row>
    <row r="509" spans="1:6">
      <c r="A509" s="32">
        <v>43076</v>
      </c>
      <c r="B509">
        <v>199</v>
      </c>
      <c r="C509">
        <v>202</v>
      </c>
      <c r="D509">
        <v>199</v>
      </c>
      <c r="E509">
        <v>199</v>
      </c>
      <c r="F509">
        <v>1278500</v>
      </c>
    </row>
    <row r="510" spans="1:6">
      <c r="A510" s="32">
        <v>43075</v>
      </c>
      <c r="B510">
        <v>200</v>
      </c>
      <c r="C510">
        <v>201</v>
      </c>
      <c r="D510">
        <v>198</v>
      </c>
      <c r="E510">
        <v>200</v>
      </c>
      <c r="F510">
        <v>691400</v>
      </c>
    </row>
    <row r="511" spans="1:6">
      <c r="A511" s="32">
        <v>43073</v>
      </c>
      <c r="B511">
        <v>199.5</v>
      </c>
      <c r="C511">
        <v>201</v>
      </c>
      <c r="D511">
        <v>198.5</v>
      </c>
      <c r="E511">
        <v>200</v>
      </c>
      <c r="F511">
        <v>584500</v>
      </c>
    </row>
    <row r="512" spans="1:6">
      <c r="A512" s="32">
        <v>43070</v>
      </c>
      <c r="B512">
        <v>200</v>
      </c>
      <c r="C512">
        <v>201</v>
      </c>
      <c r="D512">
        <v>199</v>
      </c>
      <c r="E512">
        <v>199.5</v>
      </c>
      <c r="F512">
        <v>1048200</v>
      </c>
    </row>
    <row r="513" spans="1:6">
      <c r="A513" s="32">
        <v>43069</v>
      </c>
      <c r="B513">
        <v>205</v>
      </c>
      <c r="C513">
        <v>207</v>
      </c>
      <c r="D513">
        <v>199.5</v>
      </c>
      <c r="E513">
        <v>199.5</v>
      </c>
      <c r="F513">
        <v>2543500</v>
      </c>
    </row>
    <row r="514" spans="1:6">
      <c r="A514" s="32">
        <v>43068</v>
      </c>
      <c r="B514">
        <v>208</v>
      </c>
      <c r="C514">
        <v>210</v>
      </c>
      <c r="D514">
        <v>206</v>
      </c>
      <c r="E514">
        <v>206</v>
      </c>
      <c r="F514">
        <v>1042100</v>
      </c>
    </row>
    <row r="515" spans="1:6">
      <c r="A515" s="32">
        <v>43067</v>
      </c>
      <c r="B515">
        <v>206</v>
      </c>
      <c r="C515">
        <v>208</v>
      </c>
      <c r="D515">
        <v>204</v>
      </c>
      <c r="E515">
        <v>208</v>
      </c>
      <c r="F515">
        <v>862200</v>
      </c>
    </row>
    <row r="516" spans="1:6">
      <c r="A516" s="32">
        <v>43066</v>
      </c>
      <c r="B516">
        <v>203</v>
      </c>
      <c r="C516">
        <v>205</v>
      </c>
      <c r="D516">
        <v>202</v>
      </c>
      <c r="E516">
        <v>203</v>
      </c>
      <c r="F516">
        <v>394500</v>
      </c>
    </row>
    <row r="517" spans="1:6">
      <c r="A517" s="32">
        <v>43063</v>
      </c>
      <c r="B517">
        <v>207</v>
      </c>
      <c r="C517">
        <v>207</v>
      </c>
      <c r="D517">
        <v>204</v>
      </c>
      <c r="E517">
        <v>205</v>
      </c>
      <c r="F517">
        <v>628600</v>
      </c>
    </row>
    <row r="518" spans="1:6">
      <c r="A518" s="32">
        <v>43062</v>
      </c>
      <c r="B518">
        <v>208</v>
      </c>
      <c r="C518">
        <v>209</v>
      </c>
      <c r="D518">
        <v>206</v>
      </c>
      <c r="E518">
        <v>207</v>
      </c>
      <c r="F518">
        <v>339900</v>
      </c>
    </row>
    <row r="519" spans="1:6">
      <c r="A519" s="32">
        <v>43061</v>
      </c>
      <c r="B519">
        <v>209</v>
      </c>
      <c r="C519">
        <v>211</v>
      </c>
      <c r="D519">
        <v>207</v>
      </c>
      <c r="E519">
        <v>208</v>
      </c>
      <c r="F519">
        <v>534600</v>
      </c>
    </row>
    <row r="520" spans="1:6">
      <c r="A520" s="32">
        <v>43060</v>
      </c>
      <c r="B520">
        <v>209</v>
      </c>
      <c r="C520">
        <v>210</v>
      </c>
      <c r="D520">
        <v>205</v>
      </c>
      <c r="E520">
        <v>207</v>
      </c>
      <c r="F520">
        <v>746400</v>
      </c>
    </row>
    <row r="521" spans="1:6">
      <c r="A521" s="32">
        <v>43059</v>
      </c>
      <c r="B521">
        <v>203</v>
      </c>
      <c r="C521">
        <v>210</v>
      </c>
      <c r="D521">
        <v>203</v>
      </c>
      <c r="E521">
        <v>209</v>
      </c>
      <c r="F521">
        <v>1718700</v>
      </c>
    </row>
    <row r="522" spans="1:6">
      <c r="A522" s="32">
        <v>43056</v>
      </c>
      <c r="B522">
        <v>203</v>
      </c>
      <c r="C522">
        <v>205</v>
      </c>
      <c r="D522">
        <v>201</v>
      </c>
      <c r="E522">
        <v>203</v>
      </c>
      <c r="F522">
        <v>1078900</v>
      </c>
    </row>
    <row r="523" spans="1:6">
      <c r="A523" s="32">
        <v>43055</v>
      </c>
      <c r="B523">
        <v>205</v>
      </c>
      <c r="C523">
        <v>206</v>
      </c>
      <c r="D523">
        <v>202</v>
      </c>
      <c r="E523">
        <v>202</v>
      </c>
      <c r="F523">
        <v>1342200</v>
      </c>
    </row>
    <row r="524" spans="1:6">
      <c r="A524" s="32">
        <v>43054</v>
      </c>
      <c r="B524">
        <v>203</v>
      </c>
      <c r="C524">
        <v>204</v>
      </c>
      <c r="D524">
        <v>200</v>
      </c>
      <c r="E524">
        <v>202</v>
      </c>
      <c r="F524">
        <v>960600</v>
      </c>
    </row>
    <row r="525" spans="1:6">
      <c r="A525" s="32">
        <v>43053</v>
      </c>
      <c r="B525">
        <v>200</v>
      </c>
      <c r="C525">
        <v>204</v>
      </c>
      <c r="D525">
        <v>197.5</v>
      </c>
      <c r="E525">
        <v>203</v>
      </c>
      <c r="F525">
        <v>2193300</v>
      </c>
    </row>
    <row r="526" spans="1:6">
      <c r="A526" s="32">
        <v>43052</v>
      </c>
      <c r="B526">
        <v>208</v>
      </c>
      <c r="C526">
        <v>208</v>
      </c>
      <c r="D526">
        <v>199</v>
      </c>
      <c r="E526">
        <v>199.5</v>
      </c>
      <c r="F526">
        <v>3018900</v>
      </c>
    </row>
    <row r="527" spans="1:6">
      <c r="A527" s="32">
        <v>43049</v>
      </c>
      <c r="B527">
        <v>213</v>
      </c>
      <c r="C527">
        <v>214</v>
      </c>
      <c r="D527">
        <v>210</v>
      </c>
      <c r="E527">
        <v>211</v>
      </c>
      <c r="F527">
        <v>489600</v>
      </c>
    </row>
    <row r="528" spans="1:6">
      <c r="A528" s="32">
        <v>43048</v>
      </c>
      <c r="B528">
        <v>215</v>
      </c>
      <c r="C528">
        <v>215</v>
      </c>
      <c r="D528">
        <v>213</v>
      </c>
      <c r="E528">
        <v>214</v>
      </c>
      <c r="F528">
        <v>969800</v>
      </c>
    </row>
    <row r="529" spans="1:6">
      <c r="A529" s="32">
        <v>43047</v>
      </c>
      <c r="B529">
        <v>213</v>
      </c>
      <c r="C529">
        <v>215</v>
      </c>
      <c r="D529">
        <v>211</v>
      </c>
      <c r="E529">
        <v>214</v>
      </c>
      <c r="F529">
        <v>1036200</v>
      </c>
    </row>
    <row r="530" spans="1:6">
      <c r="A530" s="32">
        <v>43046</v>
      </c>
      <c r="B530">
        <v>216</v>
      </c>
      <c r="C530">
        <v>217</v>
      </c>
      <c r="D530">
        <v>214</v>
      </c>
      <c r="E530">
        <v>215</v>
      </c>
      <c r="F530">
        <v>1063500</v>
      </c>
    </row>
    <row r="531" spans="1:6">
      <c r="A531" s="32">
        <v>43045</v>
      </c>
      <c r="B531">
        <v>213</v>
      </c>
      <c r="C531">
        <v>217</v>
      </c>
      <c r="D531">
        <v>209</v>
      </c>
      <c r="E531">
        <v>216</v>
      </c>
      <c r="F531">
        <v>1275100</v>
      </c>
    </row>
    <row r="532" spans="1:6">
      <c r="A532" s="32">
        <v>43042</v>
      </c>
      <c r="B532">
        <v>215</v>
      </c>
      <c r="C532">
        <v>216</v>
      </c>
      <c r="D532">
        <v>212</v>
      </c>
      <c r="E532">
        <v>213</v>
      </c>
      <c r="F532">
        <v>1663900</v>
      </c>
    </row>
    <row r="533" spans="1:6">
      <c r="A533" s="32">
        <v>43041</v>
      </c>
      <c r="B533">
        <v>218</v>
      </c>
      <c r="C533">
        <v>220</v>
      </c>
      <c r="D533">
        <v>211</v>
      </c>
      <c r="E533">
        <v>213</v>
      </c>
      <c r="F533">
        <v>1718300</v>
      </c>
    </row>
    <row r="534" spans="1:6">
      <c r="A534" s="32">
        <v>43040</v>
      </c>
      <c r="B534">
        <v>222</v>
      </c>
      <c r="C534">
        <v>223</v>
      </c>
      <c r="D534">
        <v>217</v>
      </c>
      <c r="E534">
        <v>218</v>
      </c>
      <c r="F534">
        <v>985400</v>
      </c>
    </row>
    <row r="535" spans="1:6">
      <c r="A535" s="32">
        <v>43039</v>
      </c>
      <c r="B535">
        <v>222</v>
      </c>
      <c r="C535">
        <v>224</v>
      </c>
      <c r="D535">
        <v>218</v>
      </c>
      <c r="E535">
        <v>220</v>
      </c>
      <c r="F535">
        <v>1522100</v>
      </c>
    </row>
    <row r="536" spans="1:6">
      <c r="A536" s="32">
        <v>43038</v>
      </c>
      <c r="B536">
        <v>227</v>
      </c>
      <c r="C536">
        <v>227</v>
      </c>
      <c r="D536">
        <v>221</v>
      </c>
      <c r="E536">
        <v>222</v>
      </c>
      <c r="F536">
        <v>1158500</v>
      </c>
    </row>
    <row r="537" spans="1:6">
      <c r="A537" s="32">
        <v>43035</v>
      </c>
      <c r="B537">
        <v>223</v>
      </c>
      <c r="C537">
        <v>230</v>
      </c>
      <c r="D537">
        <v>222</v>
      </c>
      <c r="E537">
        <v>226</v>
      </c>
      <c r="F537">
        <v>2654900</v>
      </c>
    </row>
    <row r="538" spans="1:6">
      <c r="A538" s="32">
        <v>43033</v>
      </c>
      <c r="B538">
        <v>223</v>
      </c>
      <c r="C538">
        <v>223</v>
      </c>
      <c r="D538">
        <v>220</v>
      </c>
      <c r="E538">
        <v>222</v>
      </c>
      <c r="F538">
        <v>2400300</v>
      </c>
    </row>
    <row r="539" spans="1:6">
      <c r="A539" s="32">
        <v>43032</v>
      </c>
      <c r="B539">
        <v>220</v>
      </c>
      <c r="C539">
        <v>223</v>
      </c>
      <c r="D539">
        <v>219</v>
      </c>
      <c r="E539">
        <v>221</v>
      </c>
      <c r="F539">
        <v>1248300</v>
      </c>
    </row>
    <row r="540" spans="1:6">
      <c r="A540" s="32">
        <v>43028</v>
      </c>
      <c r="B540">
        <v>218</v>
      </c>
      <c r="C540">
        <v>220</v>
      </c>
      <c r="D540">
        <v>217</v>
      </c>
      <c r="E540">
        <v>217</v>
      </c>
      <c r="F540">
        <v>896300</v>
      </c>
    </row>
    <row r="541" spans="1:6">
      <c r="A541" s="32">
        <v>43027</v>
      </c>
      <c r="B541">
        <v>221</v>
      </c>
      <c r="C541">
        <v>222</v>
      </c>
      <c r="D541">
        <v>217</v>
      </c>
      <c r="E541">
        <v>218</v>
      </c>
      <c r="F541">
        <v>1148800</v>
      </c>
    </row>
    <row r="542" spans="1:6">
      <c r="A542" s="32">
        <v>43026</v>
      </c>
      <c r="B542">
        <v>224</v>
      </c>
      <c r="C542">
        <v>225</v>
      </c>
      <c r="D542">
        <v>220</v>
      </c>
      <c r="E542">
        <v>221</v>
      </c>
      <c r="F542">
        <v>1284000</v>
      </c>
    </row>
    <row r="543" spans="1:6">
      <c r="A543" s="32">
        <v>43025</v>
      </c>
      <c r="B543">
        <v>225</v>
      </c>
      <c r="C543">
        <v>228</v>
      </c>
      <c r="D543">
        <v>221</v>
      </c>
      <c r="E543">
        <v>223</v>
      </c>
      <c r="F543">
        <v>1732100</v>
      </c>
    </row>
    <row r="544" spans="1:6">
      <c r="A544" s="32">
        <v>43024</v>
      </c>
      <c r="B544">
        <v>221</v>
      </c>
      <c r="C544">
        <v>227</v>
      </c>
      <c r="D544">
        <v>220</v>
      </c>
      <c r="E544">
        <v>225</v>
      </c>
      <c r="F544">
        <v>4485100</v>
      </c>
    </row>
    <row r="545" spans="1:6">
      <c r="A545" s="32">
        <v>43020</v>
      </c>
      <c r="B545">
        <v>214</v>
      </c>
      <c r="C545">
        <v>219</v>
      </c>
      <c r="D545">
        <v>213</v>
      </c>
      <c r="E545">
        <v>218</v>
      </c>
      <c r="F545">
        <v>1668200</v>
      </c>
    </row>
    <row r="546" spans="1:6">
      <c r="A546" s="32">
        <v>43019</v>
      </c>
      <c r="B546">
        <v>212</v>
      </c>
      <c r="C546">
        <v>214</v>
      </c>
      <c r="D546">
        <v>211</v>
      </c>
      <c r="E546">
        <v>213</v>
      </c>
      <c r="F546">
        <v>835300</v>
      </c>
    </row>
    <row r="547" spans="1:6">
      <c r="A547" s="32">
        <v>43018</v>
      </c>
      <c r="B547">
        <v>211</v>
      </c>
      <c r="C547">
        <v>215</v>
      </c>
      <c r="D547">
        <v>211</v>
      </c>
      <c r="E547">
        <v>212</v>
      </c>
      <c r="F547">
        <v>2047300</v>
      </c>
    </row>
    <row r="548" spans="1:6">
      <c r="A548" s="32">
        <v>43017</v>
      </c>
      <c r="B548">
        <v>210</v>
      </c>
      <c r="C548">
        <v>212</v>
      </c>
      <c r="D548">
        <v>209</v>
      </c>
      <c r="E548">
        <v>211</v>
      </c>
      <c r="F548">
        <v>714900</v>
      </c>
    </row>
    <row r="549" spans="1:6">
      <c r="A549" s="32">
        <v>43014</v>
      </c>
      <c r="B549">
        <v>212</v>
      </c>
      <c r="C549">
        <v>214</v>
      </c>
      <c r="D549">
        <v>209</v>
      </c>
      <c r="E549">
        <v>209</v>
      </c>
      <c r="F549">
        <v>1899600</v>
      </c>
    </row>
    <row r="550" spans="1:6">
      <c r="A550" s="32">
        <v>43013</v>
      </c>
      <c r="B550">
        <v>210</v>
      </c>
      <c r="C550">
        <v>212</v>
      </c>
      <c r="D550">
        <v>210</v>
      </c>
      <c r="E550">
        <v>210</v>
      </c>
      <c r="F550">
        <v>517600</v>
      </c>
    </row>
    <row r="551" spans="1:6">
      <c r="A551" s="32">
        <v>43012</v>
      </c>
      <c r="B551">
        <v>215</v>
      </c>
      <c r="C551">
        <v>216</v>
      </c>
      <c r="D551">
        <v>209</v>
      </c>
      <c r="E551">
        <v>210</v>
      </c>
      <c r="F551">
        <v>1688800</v>
      </c>
    </row>
    <row r="552" spans="1:6">
      <c r="A552" s="32">
        <v>43011</v>
      </c>
      <c r="B552">
        <v>217</v>
      </c>
      <c r="C552">
        <v>219</v>
      </c>
      <c r="D552">
        <v>213</v>
      </c>
      <c r="E552">
        <v>215</v>
      </c>
      <c r="F552">
        <v>1337100</v>
      </c>
    </row>
    <row r="553" spans="1:6">
      <c r="A553" s="32">
        <v>43010</v>
      </c>
      <c r="B553">
        <v>215</v>
      </c>
      <c r="C553">
        <v>217</v>
      </c>
      <c r="D553">
        <v>215</v>
      </c>
      <c r="E553">
        <v>217</v>
      </c>
      <c r="F553">
        <v>846500</v>
      </c>
    </row>
    <row r="554" spans="1:6">
      <c r="A554" s="32">
        <v>43007</v>
      </c>
      <c r="B554">
        <v>214</v>
      </c>
      <c r="C554">
        <v>215</v>
      </c>
      <c r="D554">
        <v>213</v>
      </c>
      <c r="E554">
        <v>215</v>
      </c>
      <c r="F554">
        <v>658000</v>
      </c>
    </row>
    <row r="555" spans="1:6">
      <c r="A555" s="32">
        <v>43006</v>
      </c>
      <c r="B555">
        <v>215</v>
      </c>
      <c r="C555">
        <v>215</v>
      </c>
      <c r="D555">
        <v>212</v>
      </c>
      <c r="E555">
        <v>215</v>
      </c>
      <c r="F555">
        <v>1209700</v>
      </c>
    </row>
    <row r="556" spans="1:6">
      <c r="A556" s="32">
        <v>43005</v>
      </c>
      <c r="B556">
        <v>214</v>
      </c>
      <c r="C556">
        <v>215</v>
      </c>
      <c r="D556">
        <v>209</v>
      </c>
      <c r="E556">
        <v>214</v>
      </c>
      <c r="F556">
        <v>1249600</v>
      </c>
    </row>
    <row r="557" spans="1:6">
      <c r="A557" s="32">
        <v>43004</v>
      </c>
      <c r="B557">
        <v>211</v>
      </c>
      <c r="C557">
        <v>213</v>
      </c>
      <c r="D557">
        <v>211</v>
      </c>
      <c r="E557">
        <v>213</v>
      </c>
      <c r="F557">
        <v>540900</v>
      </c>
    </row>
    <row r="558" spans="1:6">
      <c r="A558" s="32">
        <v>43003</v>
      </c>
      <c r="B558">
        <v>213</v>
      </c>
      <c r="C558">
        <v>213</v>
      </c>
      <c r="D558">
        <v>209</v>
      </c>
      <c r="E558">
        <v>211</v>
      </c>
      <c r="F558">
        <v>608500</v>
      </c>
    </row>
    <row r="559" spans="1:6">
      <c r="A559" s="32">
        <v>43000</v>
      </c>
      <c r="B559">
        <v>212</v>
      </c>
      <c r="C559">
        <v>214</v>
      </c>
      <c r="D559">
        <v>212</v>
      </c>
      <c r="E559">
        <v>213</v>
      </c>
      <c r="F559">
        <v>578400</v>
      </c>
    </row>
    <row r="560" spans="1:6">
      <c r="A560" s="32">
        <v>42999</v>
      </c>
      <c r="B560">
        <v>209</v>
      </c>
      <c r="C560">
        <v>217</v>
      </c>
      <c r="D560">
        <v>208</v>
      </c>
      <c r="E560">
        <v>215</v>
      </c>
      <c r="F560">
        <v>2116000</v>
      </c>
    </row>
    <row r="561" spans="1:6">
      <c r="A561" s="32">
        <v>42998</v>
      </c>
      <c r="B561">
        <v>209</v>
      </c>
      <c r="C561">
        <v>210</v>
      </c>
      <c r="D561">
        <v>207</v>
      </c>
      <c r="E561">
        <v>210</v>
      </c>
      <c r="F561">
        <v>669400</v>
      </c>
    </row>
    <row r="562" spans="1:6">
      <c r="A562" s="32">
        <v>42997</v>
      </c>
      <c r="B562">
        <v>212</v>
      </c>
      <c r="C562">
        <v>212</v>
      </c>
      <c r="D562">
        <v>208</v>
      </c>
      <c r="E562">
        <v>210</v>
      </c>
      <c r="F562">
        <v>771800</v>
      </c>
    </row>
    <row r="563" spans="1:6">
      <c r="A563" s="32">
        <v>42996</v>
      </c>
      <c r="B563">
        <v>214</v>
      </c>
      <c r="C563">
        <v>215</v>
      </c>
      <c r="D563">
        <v>210</v>
      </c>
      <c r="E563">
        <v>211</v>
      </c>
      <c r="F563">
        <v>1629600</v>
      </c>
    </row>
    <row r="564" spans="1:6">
      <c r="A564" s="32">
        <v>42993</v>
      </c>
      <c r="B564">
        <v>214</v>
      </c>
      <c r="C564">
        <v>218</v>
      </c>
      <c r="D564">
        <v>214</v>
      </c>
      <c r="E564">
        <v>215</v>
      </c>
      <c r="F564">
        <v>1949400</v>
      </c>
    </row>
    <row r="565" spans="1:6">
      <c r="A565" s="32">
        <v>42992</v>
      </c>
      <c r="B565">
        <v>213</v>
      </c>
      <c r="C565">
        <v>214</v>
      </c>
      <c r="D565">
        <v>211</v>
      </c>
      <c r="E565">
        <v>214</v>
      </c>
      <c r="F565">
        <v>1180000</v>
      </c>
    </row>
    <row r="566" spans="1:6">
      <c r="A566" s="32">
        <v>42991</v>
      </c>
      <c r="B566">
        <v>215</v>
      </c>
      <c r="C566">
        <v>215</v>
      </c>
      <c r="D566">
        <v>206</v>
      </c>
      <c r="E566">
        <v>211</v>
      </c>
      <c r="F566">
        <v>1521000</v>
      </c>
    </row>
    <row r="567" spans="1:6">
      <c r="A567" s="32">
        <v>42990</v>
      </c>
      <c r="B567">
        <v>215</v>
      </c>
      <c r="C567">
        <v>216</v>
      </c>
      <c r="D567">
        <v>213</v>
      </c>
      <c r="E567">
        <v>216</v>
      </c>
      <c r="F567">
        <v>564000</v>
      </c>
    </row>
    <row r="568" spans="1:6">
      <c r="A568" s="32">
        <v>42989</v>
      </c>
      <c r="B568">
        <v>213</v>
      </c>
      <c r="C568">
        <v>217</v>
      </c>
      <c r="D568">
        <v>213</v>
      </c>
      <c r="E568">
        <v>215</v>
      </c>
      <c r="F568">
        <v>615200</v>
      </c>
    </row>
    <row r="569" spans="1:6">
      <c r="A569" s="32">
        <v>42986</v>
      </c>
      <c r="B569">
        <v>214</v>
      </c>
      <c r="C569">
        <v>218</v>
      </c>
      <c r="D569">
        <v>214</v>
      </c>
      <c r="E569">
        <v>215</v>
      </c>
      <c r="F569">
        <v>2341800</v>
      </c>
    </row>
    <row r="570" spans="1:6">
      <c r="A570" s="32">
        <v>42985</v>
      </c>
      <c r="B570">
        <v>213</v>
      </c>
      <c r="C570">
        <v>214</v>
      </c>
      <c r="D570">
        <v>212</v>
      </c>
      <c r="E570">
        <v>213</v>
      </c>
      <c r="F570">
        <v>1018700</v>
      </c>
    </row>
    <row r="571" spans="1:6">
      <c r="A571" s="32">
        <v>42984</v>
      </c>
      <c r="B571">
        <v>212</v>
      </c>
      <c r="C571">
        <v>214</v>
      </c>
      <c r="D571">
        <v>211</v>
      </c>
      <c r="E571">
        <v>214</v>
      </c>
      <c r="F571">
        <v>1064500</v>
      </c>
    </row>
    <row r="572" spans="1:6">
      <c r="A572" s="32">
        <v>42983</v>
      </c>
      <c r="B572">
        <v>215</v>
      </c>
      <c r="C572">
        <v>215</v>
      </c>
      <c r="D572">
        <v>213</v>
      </c>
      <c r="E572">
        <v>214</v>
      </c>
      <c r="F572">
        <v>339100</v>
      </c>
    </row>
    <row r="573" spans="1:6">
      <c r="A573" s="32">
        <v>42982</v>
      </c>
      <c r="B573">
        <v>214</v>
      </c>
      <c r="C573">
        <v>215</v>
      </c>
      <c r="D573">
        <v>213</v>
      </c>
      <c r="E573">
        <v>215</v>
      </c>
      <c r="F573">
        <v>636700</v>
      </c>
    </row>
    <row r="574" spans="1:6">
      <c r="A574" s="32">
        <v>42979</v>
      </c>
      <c r="B574">
        <v>219</v>
      </c>
      <c r="C574">
        <v>219</v>
      </c>
      <c r="D574">
        <v>213</v>
      </c>
      <c r="E574">
        <v>215</v>
      </c>
      <c r="F574">
        <v>1092800</v>
      </c>
    </row>
    <row r="575" spans="1:6">
      <c r="A575" s="32">
        <v>42978</v>
      </c>
      <c r="B575">
        <v>218</v>
      </c>
      <c r="C575">
        <v>220</v>
      </c>
      <c r="D575">
        <v>216</v>
      </c>
      <c r="E575">
        <v>218</v>
      </c>
      <c r="F575">
        <v>2403600</v>
      </c>
    </row>
    <row r="576" spans="1:6">
      <c r="A576" s="32">
        <v>42977</v>
      </c>
      <c r="B576">
        <v>215</v>
      </c>
      <c r="C576">
        <v>219</v>
      </c>
      <c r="D576">
        <v>215</v>
      </c>
      <c r="E576">
        <v>217</v>
      </c>
      <c r="F576">
        <v>1924300</v>
      </c>
    </row>
    <row r="577" spans="1:6">
      <c r="A577" s="32">
        <v>42976</v>
      </c>
      <c r="B577">
        <v>214</v>
      </c>
      <c r="C577">
        <v>220</v>
      </c>
      <c r="D577">
        <v>213</v>
      </c>
      <c r="E577">
        <v>216</v>
      </c>
      <c r="F577">
        <v>5661500</v>
      </c>
    </row>
    <row r="578" spans="1:6">
      <c r="A578" s="32">
        <v>42975</v>
      </c>
      <c r="B578">
        <v>210</v>
      </c>
      <c r="C578">
        <v>215</v>
      </c>
      <c r="D578">
        <v>208</v>
      </c>
      <c r="E578">
        <v>211</v>
      </c>
      <c r="F578">
        <v>1615300</v>
      </c>
    </row>
    <row r="579" spans="1:6">
      <c r="A579" s="32">
        <v>42972</v>
      </c>
      <c r="B579">
        <v>213</v>
      </c>
      <c r="C579">
        <v>213</v>
      </c>
      <c r="D579">
        <v>209</v>
      </c>
      <c r="E579">
        <v>211</v>
      </c>
      <c r="F579">
        <v>1809200</v>
      </c>
    </row>
    <row r="580" spans="1:6">
      <c r="A580" s="32">
        <v>42971</v>
      </c>
      <c r="B580">
        <v>202</v>
      </c>
      <c r="C580">
        <v>213</v>
      </c>
      <c r="D580">
        <v>202</v>
      </c>
      <c r="E580">
        <v>213</v>
      </c>
      <c r="F580">
        <v>7525500</v>
      </c>
    </row>
    <row r="581" spans="1:6">
      <c r="A581" s="32">
        <v>42970</v>
      </c>
      <c r="B581">
        <v>201</v>
      </c>
      <c r="C581">
        <v>204</v>
      </c>
      <c r="D581">
        <v>199</v>
      </c>
      <c r="E581">
        <v>203</v>
      </c>
      <c r="F581">
        <v>2371600</v>
      </c>
    </row>
    <row r="582" spans="1:6">
      <c r="A582" s="32">
        <v>42969</v>
      </c>
      <c r="B582">
        <v>201</v>
      </c>
      <c r="C582">
        <v>203</v>
      </c>
      <c r="D582">
        <v>201</v>
      </c>
      <c r="E582">
        <v>202</v>
      </c>
      <c r="F582">
        <v>797100</v>
      </c>
    </row>
    <row r="583" spans="1:6">
      <c r="A583" s="32">
        <v>42968</v>
      </c>
      <c r="B583">
        <v>204</v>
      </c>
      <c r="C583">
        <v>205</v>
      </c>
      <c r="D583">
        <v>202</v>
      </c>
      <c r="E583">
        <v>203</v>
      </c>
      <c r="F583">
        <v>952400</v>
      </c>
    </row>
    <row r="584" spans="1:6">
      <c r="A584" s="32">
        <v>42965</v>
      </c>
      <c r="B584">
        <v>206</v>
      </c>
      <c r="C584">
        <v>206</v>
      </c>
      <c r="D584">
        <v>202</v>
      </c>
      <c r="E584">
        <v>202</v>
      </c>
      <c r="F584">
        <v>1991000</v>
      </c>
    </row>
    <row r="585" spans="1:6">
      <c r="A585" s="32">
        <v>42964</v>
      </c>
      <c r="B585">
        <v>199.5</v>
      </c>
      <c r="C585">
        <v>209</v>
      </c>
      <c r="D585">
        <v>199</v>
      </c>
      <c r="E585">
        <v>208</v>
      </c>
      <c r="F585">
        <v>7824100</v>
      </c>
    </row>
    <row r="586" spans="1:6">
      <c r="A586" s="32">
        <v>42963</v>
      </c>
      <c r="B586">
        <v>196</v>
      </c>
      <c r="C586">
        <v>197.5</v>
      </c>
      <c r="D586">
        <v>193.5</v>
      </c>
      <c r="E586">
        <v>196.5</v>
      </c>
      <c r="F586">
        <v>2006800</v>
      </c>
    </row>
    <row r="587" spans="1:6">
      <c r="A587" s="32">
        <v>42962</v>
      </c>
      <c r="B587">
        <v>197.5</v>
      </c>
      <c r="C587">
        <v>201</v>
      </c>
      <c r="D587">
        <v>195</v>
      </c>
      <c r="E587">
        <v>195</v>
      </c>
      <c r="F587">
        <v>3332500</v>
      </c>
    </row>
    <row r="588" spans="1:6">
      <c r="A588" s="32">
        <v>42958</v>
      </c>
      <c r="B588">
        <v>193.5</v>
      </c>
      <c r="C588">
        <v>197</v>
      </c>
      <c r="D588">
        <v>192.5</v>
      </c>
      <c r="E588">
        <v>197</v>
      </c>
      <c r="F588">
        <v>3396700</v>
      </c>
    </row>
    <row r="589" spans="1:6">
      <c r="A589" s="32">
        <v>42957</v>
      </c>
      <c r="B589">
        <v>188.5</v>
      </c>
      <c r="C589">
        <v>195.5</v>
      </c>
      <c r="D589">
        <v>188</v>
      </c>
      <c r="E589">
        <v>195.5</v>
      </c>
      <c r="F589">
        <v>4969200</v>
      </c>
    </row>
    <row r="590" spans="1:6">
      <c r="A590" s="32">
        <v>42956</v>
      </c>
      <c r="B590">
        <v>192</v>
      </c>
      <c r="C590">
        <v>192</v>
      </c>
      <c r="D590">
        <v>187.5</v>
      </c>
      <c r="E590">
        <v>187.5</v>
      </c>
      <c r="F590">
        <v>1720700</v>
      </c>
    </row>
    <row r="591" spans="1:6">
      <c r="A591" s="32">
        <v>42955</v>
      </c>
      <c r="B591">
        <v>186.5</v>
      </c>
      <c r="C591">
        <v>194</v>
      </c>
      <c r="D591">
        <v>186.5</v>
      </c>
      <c r="E591">
        <v>192.5</v>
      </c>
      <c r="F591">
        <v>4164300</v>
      </c>
    </row>
    <row r="592" spans="1:6">
      <c r="A592" s="32">
        <v>42954</v>
      </c>
      <c r="B592">
        <v>186.5</v>
      </c>
      <c r="C592">
        <v>187.5</v>
      </c>
      <c r="D592">
        <v>185.5</v>
      </c>
      <c r="E592">
        <v>186.5</v>
      </c>
      <c r="F592">
        <v>1682800</v>
      </c>
    </row>
    <row r="593" spans="1:6">
      <c r="A593" s="32">
        <v>42951</v>
      </c>
      <c r="B593">
        <v>188</v>
      </c>
      <c r="C593">
        <v>188</v>
      </c>
      <c r="D593">
        <v>185.5</v>
      </c>
      <c r="E593">
        <v>186</v>
      </c>
      <c r="F593">
        <v>2399200</v>
      </c>
    </row>
    <row r="594" spans="1:6">
      <c r="A594" s="32">
        <v>42950</v>
      </c>
      <c r="B594">
        <v>181.5</v>
      </c>
      <c r="C594">
        <v>189</v>
      </c>
      <c r="D594">
        <v>181.5</v>
      </c>
      <c r="E594">
        <v>188.5</v>
      </c>
      <c r="F594">
        <v>5327200</v>
      </c>
    </row>
    <row r="595" spans="1:6">
      <c r="A595" s="32">
        <v>42949</v>
      </c>
      <c r="B595">
        <v>178.5</v>
      </c>
      <c r="C595">
        <v>181.5</v>
      </c>
      <c r="D595">
        <v>178</v>
      </c>
      <c r="E595">
        <v>181</v>
      </c>
      <c r="F595">
        <v>2523300</v>
      </c>
    </row>
    <row r="596" spans="1:6">
      <c r="A596" s="32">
        <v>42948</v>
      </c>
      <c r="B596">
        <v>174.5</v>
      </c>
      <c r="C596">
        <v>177.5</v>
      </c>
      <c r="D596">
        <v>174.5</v>
      </c>
      <c r="E596">
        <v>177</v>
      </c>
      <c r="F596">
        <v>1159200</v>
      </c>
    </row>
    <row r="597" spans="1:6">
      <c r="A597" s="32">
        <v>42947</v>
      </c>
      <c r="B597">
        <v>174.5</v>
      </c>
      <c r="C597">
        <v>175</v>
      </c>
      <c r="D597">
        <v>173.5</v>
      </c>
      <c r="E597">
        <v>175</v>
      </c>
      <c r="F597">
        <v>1200000</v>
      </c>
    </row>
    <row r="598" spans="1:6">
      <c r="A598" s="32">
        <v>42943</v>
      </c>
      <c r="B598">
        <v>174.5</v>
      </c>
      <c r="C598">
        <v>175</v>
      </c>
      <c r="D598">
        <v>174</v>
      </c>
      <c r="E598">
        <v>175</v>
      </c>
      <c r="F598">
        <v>427400</v>
      </c>
    </row>
    <row r="599" spans="1:6">
      <c r="A599" s="32">
        <v>42942</v>
      </c>
      <c r="B599">
        <v>173</v>
      </c>
      <c r="C599">
        <v>174.5</v>
      </c>
      <c r="D599">
        <v>172.5</v>
      </c>
      <c r="E599">
        <v>174.5</v>
      </c>
      <c r="F599">
        <v>705200</v>
      </c>
    </row>
    <row r="600" spans="1:6">
      <c r="A600" s="32">
        <v>42941</v>
      </c>
      <c r="B600">
        <v>173</v>
      </c>
      <c r="C600">
        <v>173.5</v>
      </c>
      <c r="D600">
        <v>172.5</v>
      </c>
      <c r="E600">
        <v>173</v>
      </c>
      <c r="F600">
        <v>348200</v>
      </c>
    </row>
    <row r="601" spans="1:6">
      <c r="A601" s="32">
        <v>42940</v>
      </c>
      <c r="B601">
        <v>173</v>
      </c>
      <c r="C601">
        <v>174.5</v>
      </c>
      <c r="D601">
        <v>172.5</v>
      </c>
      <c r="E601">
        <v>172.5</v>
      </c>
      <c r="F601">
        <v>542100</v>
      </c>
    </row>
    <row r="602" spans="1:6">
      <c r="A602" s="32">
        <v>42937</v>
      </c>
      <c r="B602">
        <v>173.5</v>
      </c>
      <c r="C602">
        <v>174.5</v>
      </c>
      <c r="D602">
        <v>172</v>
      </c>
      <c r="E602">
        <v>172.5</v>
      </c>
      <c r="F602">
        <v>590700</v>
      </c>
    </row>
    <row r="603" spans="1:6">
      <c r="A603" s="32">
        <v>42936</v>
      </c>
      <c r="B603">
        <v>175</v>
      </c>
      <c r="C603">
        <v>175.5</v>
      </c>
      <c r="D603">
        <v>173.5</v>
      </c>
      <c r="E603">
        <v>173.5</v>
      </c>
      <c r="F603">
        <v>430000</v>
      </c>
    </row>
    <row r="604" spans="1:6">
      <c r="A604" s="32">
        <v>42935</v>
      </c>
      <c r="B604">
        <v>172.5</v>
      </c>
      <c r="C604">
        <v>174.5</v>
      </c>
      <c r="D604">
        <v>172</v>
      </c>
      <c r="E604">
        <v>174</v>
      </c>
      <c r="F604">
        <v>2555600</v>
      </c>
    </row>
    <row r="605" spans="1:6">
      <c r="A605" s="32">
        <v>42934</v>
      </c>
      <c r="B605">
        <v>169.5</v>
      </c>
      <c r="C605">
        <v>173</v>
      </c>
      <c r="D605">
        <v>169</v>
      </c>
      <c r="E605">
        <v>171</v>
      </c>
      <c r="F605">
        <v>664900</v>
      </c>
    </row>
    <row r="606" spans="1:6">
      <c r="A606" s="32">
        <v>42933</v>
      </c>
      <c r="B606">
        <v>170</v>
      </c>
      <c r="C606">
        <v>170.5</v>
      </c>
      <c r="D606">
        <v>169</v>
      </c>
      <c r="E606">
        <v>170</v>
      </c>
      <c r="F606">
        <v>708700</v>
      </c>
    </row>
    <row r="607" spans="1:6">
      <c r="A607" s="32">
        <v>42930</v>
      </c>
      <c r="B607">
        <v>170</v>
      </c>
      <c r="C607">
        <v>170.5</v>
      </c>
      <c r="D607">
        <v>169</v>
      </c>
      <c r="E607">
        <v>170</v>
      </c>
      <c r="F607">
        <v>814200</v>
      </c>
    </row>
    <row r="608" spans="1:6">
      <c r="A608" s="32">
        <v>42929</v>
      </c>
      <c r="B608">
        <v>171</v>
      </c>
      <c r="C608">
        <v>172.5</v>
      </c>
      <c r="D608">
        <v>170.5</v>
      </c>
      <c r="E608">
        <v>171</v>
      </c>
      <c r="F608">
        <v>571200</v>
      </c>
    </row>
    <row r="609" spans="1:6">
      <c r="A609" s="32">
        <v>42928</v>
      </c>
      <c r="B609">
        <v>172</v>
      </c>
      <c r="C609">
        <v>172.5</v>
      </c>
      <c r="D609">
        <v>171</v>
      </c>
      <c r="E609">
        <v>172</v>
      </c>
      <c r="F609">
        <v>393000</v>
      </c>
    </row>
    <row r="610" spans="1:6">
      <c r="A610" s="32">
        <v>42927</v>
      </c>
      <c r="B610">
        <v>171</v>
      </c>
      <c r="C610">
        <v>171.5</v>
      </c>
      <c r="D610">
        <v>170</v>
      </c>
      <c r="E610">
        <v>171</v>
      </c>
      <c r="F610">
        <v>543700</v>
      </c>
    </row>
    <row r="611" spans="1:6">
      <c r="A611" s="32">
        <v>42923</v>
      </c>
      <c r="B611">
        <v>173.5</v>
      </c>
      <c r="C611">
        <v>173.5</v>
      </c>
      <c r="D611">
        <v>171</v>
      </c>
      <c r="E611">
        <v>171</v>
      </c>
      <c r="F611">
        <v>483400</v>
      </c>
    </row>
    <row r="612" spans="1:6">
      <c r="A612" s="32">
        <v>42922</v>
      </c>
      <c r="B612">
        <v>174.5</v>
      </c>
      <c r="C612">
        <v>174.5</v>
      </c>
      <c r="D612">
        <v>172.5</v>
      </c>
      <c r="E612">
        <v>174</v>
      </c>
      <c r="F612">
        <v>408200</v>
      </c>
    </row>
    <row r="613" spans="1:6">
      <c r="A613" s="32">
        <v>42921</v>
      </c>
      <c r="B613">
        <v>173</v>
      </c>
      <c r="C613">
        <v>174</v>
      </c>
      <c r="D613">
        <v>172.5</v>
      </c>
      <c r="E613">
        <v>174</v>
      </c>
      <c r="F613">
        <v>537900</v>
      </c>
    </row>
    <row r="614" spans="1:6">
      <c r="A614" s="32">
        <v>42920</v>
      </c>
      <c r="B614">
        <v>172</v>
      </c>
      <c r="C614">
        <v>173.5</v>
      </c>
      <c r="D614">
        <v>171.5</v>
      </c>
      <c r="E614">
        <v>173</v>
      </c>
      <c r="F614">
        <v>245600</v>
      </c>
    </row>
    <row r="615" spans="1:6">
      <c r="A615" s="32">
        <v>42919</v>
      </c>
      <c r="B615">
        <v>172</v>
      </c>
      <c r="C615">
        <v>174</v>
      </c>
      <c r="D615">
        <v>171.5</v>
      </c>
      <c r="E615">
        <v>173</v>
      </c>
      <c r="F615">
        <v>423400</v>
      </c>
    </row>
    <row r="616" spans="1:6">
      <c r="A616" s="32">
        <v>42916</v>
      </c>
      <c r="B616">
        <v>172</v>
      </c>
      <c r="C616">
        <v>172.5</v>
      </c>
      <c r="D616">
        <v>171</v>
      </c>
      <c r="E616">
        <v>171.5</v>
      </c>
      <c r="F616">
        <v>254700</v>
      </c>
    </row>
    <row r="617" spans="1:6">
      <c r="A617" s="32">
        <v>42915</v>
      </c>
      <c r="B617">
        <v>173</v>
      </c>
      <c r="C617">
        <v>175</v>
      </c>
      <c r="D617">
        <v>171</v>
      </c>
      <c r="E617">
        <v>172</v>
      </c>
      <c r="F617">
        <v>813900</v>
      </c>
    </row>
    <row r="618" spans="1:6">
      <c r="A618" s="32">
        <v>42914</v>
      </c>
      <c r="B618">
        <v>173</v>
      </c>
      <c r="C618">
        <v>174</v>
      </c>
      <c r="D618">
        <v>172</v>
      </c>
      <c r="E618">
        <v>173.5</v>
      </c>
      <c r="F618">
        <v>412000</v>
      </c>
    </row>
    <row r="619" spans="1:6">
      <c r="A619" s="32">
        <v>42913</v>
      </c>
      <c r="B619">
        <v>174.5</v>
      </c>
      <c r="C619">
        <v>174.5</v>
      </c>
      <c r="D619">
        <v>173</v>
      </c>
      <c r="E619">
        <v>174</v>
      </c>
      <c r="F619">
        <v>285300</v>
      </c>
    </row>
    <row r="620" spans="1:6">
      <c r="A620" s="32">
        <v>42912</v>
      </c>
      <c r="B620">
        <v>172</v>
      </c>
      <c r="C620">
        <v>174.5</v>
      </c>
      <c r="D620">
        <v>172</v>
      </c>
      <c r="E620">
        <v>174</v>
      </c>
      <c r="F620">
        <v>913600</v>
      </c>
    </row>
    <row r="621" spans="1:6">
      <c r="A621" s="32">
        <v>42909</v>
      </c>
      <c r="B621">
        <v>171</v>
      </c>
      <c r="C621">
        <v>172.5</v>
      </c>
      <c r="D621">
        <v>171</v>
      </c>
      <c r="E621">
        <v>172</v>
      </c>
      <c r="F621">
        <v>380100</v>
      </c>
    </row>
    <row r="622" spans="1:6">
      <c r="A622" s="32">
        <v>42908</v>
      </c>
      <c r="B622">
        <v>172</v>
      </c>
      <c r="C622">
        <v>172</v>
      </c>
      <c r="D622">
        <v>170.5</v>
      </c>
      <c r="E622">
        <v>171.5</v>
      </c>
      <c r="F622">
        <v>464000</v>
      </c>
    </row>
    <row r="623" spans="1:6">
      <c r="A623" s="32">
        <v>42907</v>
      </c>
      <c r="B623">
        <v>170</v>
      </c>
      <c r="C623">
        <v>171</v>
      </c>
      <c r="D623">
        <v>169</v>
      </c>
      <c r="E623">
        <v>171</v>
      </c>
      <c r="F623">
        <v>775100</v>
      </c>
    </row>
    <row r="624" spans="1:6">
      <c r="A624" s="32">
        <v>42906</v>
      </c>
      <c r="B624">
        <v>172</v>
      </c>
      <c r="C624">
        <v>172.5</v>
      </c>
      <c r="D624">
        <v>169.5</v>
      </c>
      <c r="E624">
        <v>170</v>
      </c>
      <c r="F624">
        <v>512700</v>
      </c>
    </row>
    <row r="625" spans="1:6">
      <c r="A625" s="32">
        <v>42905</v>
      </c>
      <c r="B625">
        <v>171.5</v>
      </c>
      <c r="C625">
        <v>172.5</v>
      </c>
      <c r="D625">
        <v>171</v>
      </c>
      <c r="E625">
        <v>171.5</v>
      </c>
      <c r="F625">
        <v>393200</v>
      </c>
    </row>
    <row r="626" spans="1:6">
      <c r="A626" s="32">
        <v>42902</v>
      </c>
      <c r="B626">
        <v>171</v>
      </c>
      <c r="C626">
        <v>171.5</v>
      </c>
      <c r="D626">
        <v>169</v>
      </c>
      <c r="E626">
        <v>170.5</v>
      </c>
      <c r="F626">
        <v>894500</v>
      </c>
    </row>
    <row r="627" spans="1:6">
      <c r="A627" s="32">
        <v>42901</v>
      </c>
      <c r="B627">
        <v>173</v>
      </c>
      <c r="C627">
        <v>173</v>
      </c>
      <c r="D627">
        <v>170.5</v>
      </c>
      <c r="E627">
        <v>171.5</v>
      </c>
      <c r="F627">
        <v>1224000</v>
      </c>
    </row>
    <row r="628" spans="1:6">
      <c r="A628" s="32">
        <v>42900</v>
      </c>
      <c r="B628">
        <v>174</v>
      </c>
      <c r="C628">
        <v>174.5</v>
      </c>
      <c r="D628">
        <v>172.5</v>
      </c>
      <c r="E628">
        <v>173</v>
      </c>
      <c r="F628">
        <v>1197700</v>
      </c>
    </row>
    <row r="629" spans="1:6">
      <c r="A629" s="32">
        <v>42899</v>
      </c>
      <c r="B629">
        <v>175.5</v>
      </c>
      <c r="C629">
        <v>175.5</v>
      </c>
      <c r="D629">
        <v>173.5</v>
      </c>
      <c r="E629">
        <v>174.5</v>
      </c>
      <c r="F629">
        <v>521600</v>
      </c>
    </row>
    <row r="630" spans="1:6">
      <c r="A630" s="32">
        <v>42898</v>
      </c>
      <c r="B630">
        <v>176</v>
      </c>
      <c r="C630">
        <v>176</v>
      </c>
      <c r="D630">
        <v>174.5</v>
      </c>
      <c r="E630">
        <v>175</v>
      </c>
      <c r="F630">
        <v>150300</v>
      </c>
    </row>
    <row r="631" spans="1:6">
      <c r="A631" s="32">
        <v>42895</v>
      </c>
      <c r="B631">
        <v>175.5</v>
      </c>
      <c r="C631">
        <v>176.5</v>
      </c>
      <c r="D631">
        <v>175</v>
      </c>
      <c r="E631">
        <v>176</v>
      </c>
      <c r="F631">
        <v>806500</v>
      </c>
    </row>
    <row r="632" spans="1:6">
      <c r="A632" s="32">
        <v>42894</v>
      </c>
      <c r="B632">
        <v>176</v>
      </c>
      <c r="C632">
        <v>176.5</v>
      </c>
      <c r="D632">
        <v>174</v>
      </c>
      <c r="E632">
        <v>176</v>
      </c>
      <c r="F632">
        <v>774100</v>
      </c>
    </row>
    <row r="633" spans="1:6">
      <c r="A633" s="32">
        <v>42893</v>
      </c>
      <c r="B633">
        <v>174.5</v>
      </c>
      <c r="C633">
        <v>176</v>
      </c>
      <c r="D633">
        <v>174</v>
      </c>
      <c r="E633">
        <v>176</v>
      </c>
      <c r="F633">
        <v>420100</v>
      </c>
    </row>
    <row r="634" spans="1:6">
      <c r="A634" s="32">
        <v>42892</v>
      </c>
      <c r="B634">
        <v>173</v>
      </c>
      <c r="C634">
        <v>175.5</v>
      </c>
      <c r="D634">
        <v>173</v>
      </c>
      <c r="E634">
        <v>174.5</v>
      </c>
      <c r="F634">
        <v>504500</v>
      </c>
    </row>
    <row r="635" spans="1:6">
      <c r="A635" s="32">
        <v>42891</v>
      </c>
      <c r="B635">
        <v>175</v>
      </c>
      <c r="C635">
        <v>176.5</v>
      </c>
      <c r="D635">
        <v>172</v>
      </c>
      <c r="E635">
        <v>173.5</v>
      </c>
      <c r="F635">
        <v>1308100</v>
      </c>
    </row>
    <row r="636" spans="1:6">
      <c r="A636" s="32">
        <v>42888</v>
      </c>
      <c r="B636">
        <v>174.5</v>
      </c>
      <c r="C636">
        <v>176</v>
      </c>
      <c r="D636">
        <v>174</v>
      </c>
      <c r="E636">
        <v>174</v>
      </c>
      <c r="F636">
        <v>627400</v>
      </c>
    </row>
    <row r="637" spans="1:6">
      <c r="A637" s="32">
        <v>42887</v>
      </c>
      <c r="B637">
        <v>174</v>
      </c>
      <c r="C637">
        <v>176</v>
      </c>
      <c r="D637">
        <v>173.5</v>
      </c>
      <c r="E637">
        <v>174</v>
      </c>
      <c r="F637">
        <v>386100</v>
      </c>
    </row>
    <row r="638" spans="1:6">
      <c r="A638" s="32">
        <v>42886</v>
      </c>
      <c r="B638">
        <v>176.5</v>
      </c>
      <c r="C638">
        <v>177.5</v>
      </c>
      <c r="D638">
        <v>173.5</v>
      </c>
      <c r="E638">
        <v>173.5</v>
      </c>
      <c r="F638">
        <v>1972800</v>
      </c>
    </row>
    <row r="639" spans="1:6">
      <c r="A639" s="32">
        <v>42885</v>
      </c>
      <c r="B639">
        <v>176</v>
      </c>
      <c r="C639">
        <v>177</v>
      </c>
      <c r="D639">
        <v>175.5</v>
      </c>
      <c r="E639">
        <v>176.5</v>
      </c>
      <c r="F639">
        <v>335900</v>
      </c>
    </row>
    <row r="640" spans="1:6">
      <c r="A640" s="32">
        <v>42884</v>
      </c>
      <c r="B640">
        <v>176.5</v>
      </c>
      <c r="C640">
        <v>176.5</v>
      </c>
      <c r="D640">
        <v>175.5</v>
      </c>
      <c r="E640">
        <v>176</v>
      </c>
      <c r="F640">
        <v>395700</v>
      </c>
    </row>
    <row r="641" spans="1:6">
      <c r="A641" s="32">
        <v>42881</v>
      </c>
      <c r="B641">
        <v>179</v>
      </c>
      <c r="C641">
        <v>179</v>
      </c>
      <c r="D641">
        <v>176</v>
      </c>
      <c r="E641">
        <v>177</v>
      </c>
      <c r="F641">
        <v>545600</v>
      </c>
    </row>
    <row r="642" spans="1:6">
      <c r="A642" s="32">
        <v>42880</v>
      </c>
      <c r="B642">
        <v>177</v>
      </c>
      <c r="C642">
        <v>179</v>
      </c>
      <c r="D642">
        <v>177</v>
      </c>
      <c r="E642">
        <v>178</v>
      </c>
      <c r="F642">
        <v>343200</v>
      </c>
    </row>
    <row r="643" spans="1:6">
      <c r="A643" s="32">
        <v>42879</v>
      </c>
      <c r="B643">
        <v>179</v>
      </c>
      <c r="C643">
        <v>179.5</v>
      </c>
      <c r="D643">
        <v>177.5</v>
      </c>
      <c r="E643">
        <v>177.5</v>
      </c>
      <c r="F643">
        <v>529400</v>
      </c>
    </row>
    <row r="644" spans="1:6">
      <c r="A644" s="32">
        <v>42878</v>
      </c>
      <c r="B644">
        <v>179.5</v>
      </c>
      <c r="C644">
        <v>180</v>
      </c>
      <c r="D644">
        <v>178</v>
      </c>
      <c r="E644">
        <v>179.5</v>
      </c>
      <c r="F644">
        <v>540500</v>
      </c>
    </row>
    <row r="645" spans="1:6">
      <c r="A645" s="32">
        <v>42877</v>
      </c>
      <c r="B645">
        <v>180</v>
      </c>
      <c r="C645">
        <v>181</v>
      </c>
      <c r="D645">
        <v>178.5</v>
      </c>
      <c r="E645">
        <v>180.5</v>
      </c>
      <c r="F645">
        <v>309100</v>
      </c>
    </row>
    <row r="646" spans="1:6">
      <c r="A646" s="32">
        <v>42874</v>
      </c>
      <c r="B646">
        <v>179</v>
      </c>
      <c r="C646">
        <v>179.5</v>
      </c>
      <c r="D646">
        <v>178</v>
      </c>
      <c r="E646">
        <v>179</v>
      </c>
      <c r="F646">
        <v>433700</v>
      </c>
    </row>
    <row r="647" spans="1:6">
      <c r="A647" s="32">
        <v>42873</v>
      </c>
      <c r="B647">
        <v>179</v>
      </c>
      <c r="C647">
        <v>180.5</v>
      </c>
      <c r="D647">
        <v>178.5</v>
      </c>
      <c r="E647">
        <v>179</v>
      </c>
      <c r="F647">
        <v>386400</v>
      </c>
    </row>
    <row r="648" spans="1:6">
      <c r="A648" s="32">
        <v>42872</v>
      </c>
      <c r="B648">
        <v>183</v>
      </c>
      <c r="C648">
        <v>183</v>
      </c>
      <c r="D648">
        <v>178</v>
      </c>
      <c r="E648">
        <v>180</v>
      </c>
      <c r="F648">
        <v>1033500</v>
      </c>
    </row>
    <row r="649" spans="1:6">
      <c r="A649" s="32">
        <v>42871</v>
      </c>
      <c r="B649">
        <v>185</v>
      </c>
      <c r="C649">
        <v>185.5</v>
      </c>
      <c r="D649">
        <v>181</v>
      </c>
      <c r="E649">
        <v>183</v>
      </c>
      <c r="F649">
        <v>762400</v>
      </c>
    </row>
    <row r="650" spans="1:6">
      <c r="A650" s="32">
        <v>42870</v>
      </c>
      <c r="B650">
        <v>184</v>
      </c>
      <c r="C650">
        <v>185.5</v>
      </c>
      <c r="D650">
        <v>184</v>
      </c>
      <c r="E650">
        <v>185</v>
      </c>
      <c r="F650">
        <v>740000</v>
      </c>
    </row>
    <row r="651" spans="1:6">
      <c r="A651" s="32">
        <v>42867</v>
      </c>
      <c r="B651">
        <v>183</v>
      </c>
      <c r="C651">
        <v>184.5</v>
      </c>
      <c r="D651">
        <v>182.5</v>
      </c>
      <c r="E651">
        <v>184</v>
      </c>
      <c r="F651">
        <v>710000</v>
      </c>
    </row>
    <row r="652" spans="1:6">
      <c r="A652" s="32">
        <v>42866</v>
      </c>
      <c r="B652">
        <v>183</v>
      </c>
      <c r="C652">
        <v>184</v>
      </c>
      <c r="D652">
        <v>182</v>
      </c>
      <c r="E652">
        <v>183</v>
      </c>
      <c r="F652">
        <v>1211400</v>
      </c>
    </row>
    <row r="653" spans="1:6">
      <c r="A653" s="32">
        <v>42864</v>
      </c>
      <c r="B653">
        <v>182</v>
      </c>
      <c r="C653">
        <v>184.5</v>
      </c>
      <c r="D653">
        <v>181</v>
      </c>
      <c r="E653">
        <v>183</v>
      </c>
      <c r="F653">
        <v>1140900</v>
      </c>
    </row>
    <row r="654" spans="1:6">
      <c r="A654" s="32">
        <v>42863</v>
      </c>
      <c r="B654">
        <v>181</v>
      </c>
      <c r="C654">
        <v>182.5</v>
      </c>
      <c r="D654">
        <v>180.5</v>
      </c>
      <c r="E654">
        <v>181.5</v>
      </c>
      <c r="F654">
        <v>711900</v>
      </c>
    </row>
    <row r="655" spans="1:6">
      <c r="A655" s="32">
        <v>42860</v>
      </c>
      <c r="B655">
        <v>178</v>
      </c>
      <c r="C655">
        <v>181.5</v>
      </c>
      <c r="D655">
        <v>177</v>
      </c>
      <c r="E655">
        <v>181.5</v>
      </c>
      <c r="F655">
        <v>1185900</v>
      </c>
    </row>
    <row r="656" spans="1:6">
      <c r="A656" s="32">
        <v>42859</v>
      </c>
      <c r="B656">
        <v>176.5</v>
      </c>
      <c r="C656">
        <v>179</v>
      </c>
      <c r="D656">
        <v>175.5</v>
      </c>
      <c r="E656">
        <v>178</v>
      </c>
      <c r="F656">
        <v>746000</v>
      </c>
    </row>
    <row r="657" spans="1:6">
      <c r="A657" s="32">
        <v>42858</v>
      </c>
      <c r="B657">
        <v>175</v>
      </c>
      <c r="C657">
        <v>177</v>
      </c>
      <c r="D657">
        <v>174.5</v>
      </c>
      <c r="E657">
        <v>176.5</v>
      </c>
      <c r="F657">
        <v>297800</v>
      </c>
    </row>
    <row r="658" spans="1:6">
      <c r="A658" s="32">
        <v>42857</v>
      </c>
      <c r="B658">
        <v>175.5</v>
      </c>
      <c r="C658">
        <v>176.5</v>
      </c>
      <c r="D658">
        <v>174</v>
      </c>
      <c r="E658">
        <v>175</v>
      </c>
      <c r="F658">
        <v>1012100</v>
      </c>
    </row>
    <row r="659" spans="1:6">
      <c r="A659" s="32">
        <v>42853</v>
      </c>
      <c r="B659">
        <v>178.5</v>
      </c>
      <c r="C659">
        <v>178.5</v>
      </c>
      <c r="D659">
        <v>175.5</v>
      </c>
      <c r="E659">
        <v>175.5</v>
      </c>
      <c r="F659">
        <v>728700</v>
      </c>
    </row>
    <row r="660" spans="1:6">
      <c r="A660" s="32">
        <v>42852</v>
      </c>
      <c r="B660">
        <v>177</v>
      </c>
      <c r="C660">
        <v>178</v>
      </c>
      <c r="D660">
        <v>176.5</v>
      </c>
      <c r="E660">
        <v>177.5</v>
      </c>
      <c r="F660">
        <v>684400</v>
      </c>
    </row>
    <row r="661" spans="1:6">
      <c r="A661" s="32">
        <v>42851</v>
      </c>
      <c r="B661">
        <v>175</v>
      </c>
      <c r="C661">
        <v>177</v>
      </c>
      <c r="D661">
        <v>175</v>
      </c>
      <c r="E661">
        <v>177</v>
      </c>
      <c r="F661">
        <v>788100</v>
      </c>
    </row>
    <row r="662" spans="1:6">
      <c r="A662" s="32">
        <v>42850</v>
      </c>
      <c r="B662">
        <v>178</v>
      </c>
      <c r="C662">
        <v>178</v>
      </c>
      <c r="D662">
        <v>174.5</v>
      </c>
      <c r="E662">
        <v>176</v>
      </c>
      <c r="F662">
        <v>874100</v>
      </c>
    </row>
    <row r="663" spans="1:6">
      <c r="A663" s="32">
        <v>42849</v>
      </c>
      <c r="B663">
        <v>173.5</v>
      </c>
      <c r="C663">
        <v>177</v>
      </c>
      <c r="D663">
        <v>173.5</v>
      </c>
      <c r="E663">
        <v>176.5</v>
      </c>
      <c r="F663">
        <v>469800</v>
      </c>
    </row>
    <row r="664" spans="1:6">
      <c r="A664" s="32">
        <v>42846</v>
      </c>
      <c r="B664">
        <v>176</v>
      </c>
      <c r="C664">
        <v>176</v>
      </c>
      <c r="D664">
        <v>173.5</v>
      </c>
      <c r="E664">
        <v>173.5</v>
      </c>
      <c r="F664">
        <v>989600</v>
      </c>
    </row>
    <row r="665" spans="1:6">
      <c r="A665" s="32">
        <v>42845</v>
      </c>
      <c r="B665">
        <v>177</v>
      </c>
      <c r="C665">
        <v>177.5</v>
      </c>
      <c r="D665">
        <v>175.5</v>
      </c>
      <c r="E665">
        <v>176</v>
      </c>
      <c r="F665">
        <v>860300</v>
      </c>
    </row>
    <row r="666" spans="1:6">
      <c r="A666" s="32">
        <v>42844</v>
      </c>
      <c r="B666">
        <v>175</v>
      </c>
      <c r="C666">
        <v>177</v>
      </c>
      <c r="D666">
        <v>174</v>
      </c>
      <c r="E666">
        <v>176</v>
      </c>
      <c r="F666">
        <v>1198100</v>
      </c>
    </row>
    <row r="667" spans="1:6">
      <c r="A667" s="32">
        <v>42843</v>
      </c>
      <c r="B667">
        <v>177.5</v>
      </c>
      <c r="C667">
        <v>178</v>
      </c>
      <c r="D667">
        <v>175</v>
      </c>
      <c r="E667">
        <v>175.5</v>
      </c>
      <c r="F667">
        <v>1423800</v>
      </c>
    </row>
    <row r="668" spans="1:6">
      <c r="A668" s="32">
        <v>42842</v>
      </c>
      <c r="B668">
        <v>181</v>
      </c>
      <c r="C668">
        <v>181.5</v>
      </c>
      <c r="D668">
        <v>177.5</v>
      </c>
      <c r="E668">
        <v>178</v>
      </c>
      <c r="F668">
        <v>1198300</v>
      </c>
    </row>
    <row r="669" spans="1:6">
      <c r="A669" s="32">
        <v>42837</v>
      </c>
      <c r="B669">
        <v>180</v>
      </c>
      <c r="C669">
        <v>181.5</v>
      </c>
      <c r="D669">
        <v>179.5</v>
      </c>
      <c r="E669">
        <v>181</v>
      </c>
      <c r="F669">
        <v>288400</v>
      </c>
    </row>
    <row r="670" spans="1:6">
      <c r="A670" s="32">
        <v>42836</v>
      </c>
      <c r="B670">
        <v>181.5</v>
      </c>
      <c r="C670">
        <v>181.5</v>
      </c>
      <c r="D670">
        <v>179.5</v>
      </c>
      <c r="E670">
        <v>180</v>
      </c>
      <c r="F670">
        <v>308000</v>
      </c>
    </row>
    <row r="671" spans="1:6">
      <c r="A671" s="32">
        <v>42835</v>
      </c>
      <c r="B671">
        <v>179.5</v>
      </c>
      <c r="C671">
        <v>181.5</v>
      </c>
      <c r="D671">
        <v>179.5</v>
      </c>
      <c r="E671">
        <v>181</v>
      </c>
      <c r="F671">
        <v>593800</v>
      </c>
    </row>
    <row r="672" spans="1:6">
      <c r="A672" s="32">
        <v>42832</v>
      </c>
      <c r="B672">
        <v>180.5</v>
      </c>
      <c r="C672">
        <v>180.5</v>
      </c>
      <c r="D672">
        <v>178.5</v>
      </c>
      <c r="E672">
        <v>179.5</v>
      </c>
      <c r="F672">
        <v>1124600</v>
      </c>
    </row>
    <row r="673" spans="1:6">
      <c r="A673" s="32">
        <v>42830</v>
      </c>
      <c r="B673">
        <v>183</v>
      </c>
      <c r="C673">
        <v>183</v>
      </c>
      <c r="D673">
        <v>180</v>
      </c>
      <c r="E673">
        <v>180.5</v>
      </c>
      <c r="F673">
        <v>587300</v>
      </c>
    </row>
    <row r="674" spans="1:6">
      <c r="A674" s="32">
        <v>42829</v>
      </c>
      <c r="B674">
        <v>180.5</v>
      </c>
      <c r="C674">
        <v>183</v>
      </c>
      <c r="D674">
        <v>179.5</v>
      </c>
      <c r="E674">
        <v>183</v>
      </c>
      <c r="F674">
        <v>511800</v>
      </c>
    </row>
    <row r="675" spans="1:6">
      <c r="A675" s="32">
        <v>42828</v>
      </c>
      <c r="B675">
        <v>183</v>
      </c>
      <c r="C675">
        <v>183</v>
      </c>
      <c r="D675">
        <v>180</v>
      </c>
      <c r="E675">
        <v>180</v>
      </c>
      <c r="F675">
        <v>498200</v>
      </c>
    </row>
    <row r="676" spans="1:6">
      <c r="A676" s="32">
        <v>42825</v>
      </c>
      <c r="B676">
        <v>181</v>
      </c>
      <c r="C676">
        <v>183</v>
      </c>
      <c r="D676">
        <v>180</v>
      </c>
      <c r="E676">
        <v>183</v>
      </c>
      <c r="F676">
        <v>607500</v>
      </c>
    </row>
    <row r="677" spans="1:6">
      <c r="A677" s="32">
        <v>42824</v>
      </c>
      <c r="B677">
        <v>179</v>
      </c>
      <c r="C677">
        <v>182</v>
      </c>
      <c r="D677">
        <v>179</v>
      </c>
      <c r="E677">
        <v>181.5</v>
      </c>
      <c r="F677">
        <v>981800</v>
      </c>
    </row>
    <row r="678" spans="1:6">
      <c r="A678" s="32">
        <v>42823</v>
      </c>
      <c r="B678">
        <v>179.5</v>
      </c>
      <c r="C678">
        <v>180.5</v>
      </c>
      <c r="D678">
        <v>178.5</v>
      </c>
      <c r="E678">
        <v>180.5</v>
      </c>
      <c r="F678">
        <v>617300</v>
      </c>
    </row>
    <row r="679" spans="1:6">
      <c r="A679" s="32">
        <v>42822</v>
      </c>
      <c r="B679">
        <v>176.5</v>
      </c>
      <c r="C679">
        <v>179</v>
      </c>
      <c r="D679">
        <v>176.5</v>
      </c>
      <c r="E679">
        <v>179</v>
      </c>
      <c r="F679">
        <v>668000</v>
      </c>
    </row>
    <row r="680" spans="1:6">
      <c r="A680" s="32">
        <v>42821</v>
      </c>
      <c r="B680">
        <v>177</v>
      </c>
      <c r="C680">
        <v>178</v>
      </c>
      <c r="D680">
        <v>176</v>
      </c>
      <c r="E680">
        <v>177</v>
      </c>
      <c r="F680">
        <v>674900</v>
      </c>
    </row>
    <row r="681" spans="1:6">
      <c r="A681" s="32">
        <v>42818</v>
      </c>
      <c r="B681">
        <v>176.5</v>
      </c>
      <c r="C681">
        <v>178.5</v>
      </c>
      <c r="D681">
        <v>176.5</v>
      </c>
      <c r="E681">
        <v>177.5</v>
      </c>
      <c r="F681">
        <v>548200</v>
      </c>
    </row>
    <row r="682" spans="1:6">
      <c r="A682" s="32">
        <v>42817</v>
      </c>
      <c r="B682">
        <v>178</v>
      </c>
      <c r="C682">
        <v>179</v>
      </c>
      <c r="D682">
        <v>176</v>
      </c>
      <c r="E682">
        <v>177.5</v>
      </c>
      <c r="F682">
        <v>1014800</v>
      </c>
    </row>
    <row r="683" spans="1:6">
      <c r="A683" s="32">
        <v>42816</v>
      </c>
      <c r="B683">
        <v>180</v>
      </c>
      <c r="C683">
        <v>180.5</v>
      </c>
      <c r="D683">
        <v>178</v>
      </c>
      <c r="E683">
        <v>178</v>
      </c>
      <c r="F683">
        <v>1449000</v>
      </c>
    </row>
    <row r="684" spans="1:6">
      <c r="A684" s="32">
        <v>42815</v>
      </c>
      <c r="B684">
        <v>180</v>
      </c>
      <c r="C684">
        <v>182</v>
      </c>
      <c r="D684">
        <v>180</v>
      </c>
      <c r="E684">
        <v>182</v>
      </c>
      <c r="F684">
        <v>439300</v>
      </c>
    </row>
    <row r="685" spans="1:6">
      <c r="A685" s="32">
        <v>42814</v>
      </c>
      <c r="B685">
        <v>182</v>
      </c>
      <c r="C685">
        <v>182</v>
      </c>
      <c r="D685">
        <v>180</v>
      </c>
      <c r="E685">
        <v>180</v>
      </c>
      <c r="F685">
        <v>359200</v>
      </c>
    </row>
    <row r="686" spans="1:6">
      <c r="A686" s="32">
        <v>42811</v>
      </c>
      <c r="B686">
        <v>180</v>
      </c>
      <c r="C686">
        <v>181</v>
      </c>
      <c r="D686">
        <v>178</v>
      </c>
      <c r="E686">
        <v>180.5</v>
      </c>
      <c r="F686">
        <v>731300</v>
      </c>
    </row>
    <row r="687" spans="1:6">
      <c r="A687" s="32">
        <v>42810</v>
      </c>
      <c r="B687">
        <v>179.5</v>
      </c>
      <c r="C687">
        <v>183</v>
      </c>
      <c r="D687">
        <v>178.5</v>
      </c>
      <c r="E687">
        <v>180</v>
      </c>
      <c r="F687">
        <v>1142800</v>
      </c>
    </row>
    <row r="688" spans="1:6">
      <c r="A688" s="32">
        <v>42809</v>
      </c>
      <c r="B688">
        <v>177.5</v>
      </c>
      <c r="C688">
        <v>181.5</v>
      </c>
      <c r="D688">
        <v>177.5</v>
      </c>
      <c r="E688">
        <v>180</v>
      </c>
      <c r="F688">
        <v>912100</v>
      </c>
    </row>
    <row r="689" spans="1:6">
      <c r="A689" s="32">
        <v>42808</v>
      </c>
      <c r="B689">
        <v>180</v>
      </c>
      <c r="C689">
        <v>181.5</v>
      </c>
      <c r="D689">
        <v>177</v>
      </c>
      <c r="E689">
        <v>177</v>
      </c>
      <c r="F689">
        <v>1177000</v>
      </c>
    </row>
    <row r="690" spans="1:6">
      <c r="A690" s="32">
        <v>42807</v>
      </c>
      <c r="B690">
        <v>176</v>
      </c>
      <c r="C690">
        <v>180</v>
      </c>
      <c r="D690">
        <v>176</v>
      </c>
      <c r="E690">
        <v>180</v>
      </c>
      <c r="F690">
        <v>1030400</v>
      </c>
    </row>
    <row r="691" spans="1:6">
      <c r="A691" s="32">
        <v>42804</v>
      </c>
      <c r="B691">
        <v>176.5</v>
      </c>
      <c r="C691">
        <v>179</v>
      </c>
      <c r="D691">
        <v>176.5</v>
      </c>
      <c r="E691">
        <v>178</v>
      </c>
      <c r="F691">
        <v>546200</v>
      </c>
    </row>
    <row r="692" spans="1:6">
      <c r="A692" s="32">
        <v>42803</v>
      </c>
      <c r="B692">
        <v>177</v>
      </c>
      <c r="C692">
        <v>179</v>
      </c>
      <c r="D692">
        <v>177</v>
      </c>
      <c r="E692">
        <v>178</v>
      </c>
      <c r="F692">
        <v>487000</v>
      </c>
    </row>
    <row r="693" spans="1:6">
      <c r="A693" s="32">
        <v>42802</v>
      </c>
      <c r="B693">
        <v>176</v>
      </c>
      <c r="C693">
        <v>178.5</v>
      </c>
      <c r="D693">
        <v>175.5</v>
      </c>
      <c r="E693">
        <v>178</v>
      </c>
      <c r="F693">
        <v>1152900</v>
      </c>
    </row>
    <row r="694" spans="1:6">
      <c r="A694" s="32">
        <v>42801</v>
      </c>
      <c r="B694">
        <v>176.5</v>
      </c>
      <c r="C694">
        <v>178.5</v>
      </c>
      <c r="D694">
        <v>175.5</v>
      </c>
      <c r="E694">
        <v>176.5</v>
      </c>
      <c r="F694">
        <v>576600</v>
      </c>
    </row>
    <row r="695" spans="1:6">
      <c r="A695" s="32">
        <v>42800</v>
      </c>
      <c r="B695">
        <v>175</v>
      </c>
      <c r="C695">
        <v>177</v>
      </c>
      <c r="D695">
        <v>174.5</v>
      </c>
      <c r="E695">
        <v>177</v>
      </c>
      <c r="F695">
        <v>856300</v>
      </c>
    </row>
    <row r="696" spans="1:6">
      <c r="A696" s="32">
        <v>42797</v>
      </c>
      <c r="B696">
        <v>176</v>
      </c>
      <c r="C696">
        <v>178</v>
      </c>
      <c r="D696">
        <v>174.5</v>
      </c>
      <c r="E696">
        <v>174.5</v>
      </c>
      <c r="F696">
        <v>863300</v>
      </c>
    </row>
    <row r="697" spans="1:6">
      <c r="A697" s="32">
        <v>42796</v>
      </c>
      <c r="B697">
        <v>178.5</v>
      </c>
      <c r="C697">
        <v>178.5</v>
      </c>
      <c r="D697">
        <v>175.5</v>
      </c>
      <c r="E697">
        <v>175.5</v>
      </c>
      <c r="F697">
        <v>1084900</v>
      </c>
    </row>
    <row r="698" spans="1:6">
      <c r="A698" s="32">
        <v>42795</v>
      </c>
      <c r="B698">
        <v>178</v>
      </c>
      <c r="C698">
        <v>179</v>
      </c>
      <c r="D698">
        <v>176.5</v>
      </c>
      <c r="E698">
        <v>177.5</v>
      </c>
      <c r="F698">
        <v>575800</v>
      </c>
    </row>
    <row r="699" spans="1:6">
      <c r="A699" s="32">
        <v>42794</v>
      </c>
      <c r="B699">
        <v>177</v>
      </c>
      <c r="C699">
        <v>178</v>
      </c>
      <c r="D699">
        <v>176</v>
      </c>
      <c r="E699">
        <v>176</v>
      </c>
      <c r="F699">
        <v>865600</v>
      </c>
    </row>
    <row r="700" spans="1:6">
      <c r="A700" s="32">
        <v>42793</v>
      </c>
      <c r="B700">
        <v>179.5</v>
      </c>
      <c r="C700">
        <v>180.5</v>
      </c>
      <c r="D700">
        <v>176.5</v>
      </c>
      <c r="E700">
        <v>177</v>
      </c>
      <c r="F700">
        <v>764600</v>
      </c>
    </row>
    <row r="701" spans="1:6">
      <c r="A701" s="32">
        <v>42790</v>
      </c>
      <c r="B701">
        <v>181.5</v>
      </c>
      <c r="C701">
        <v>182.5</v>
      </c>
      <c r="D701">
        <v>180.5</v>
      </c>
      <c r="E701">
        <v>181</v>
      </c>
      <c r="F701">
        <v>457700</v>
      </c>
    </row>
    <row r="702" spans="1:6">
      <c r="A702" s="32">
        <v>42789</v>
      </c>
      <c r="B702">
        <v>183</v>
      </c>
      <c r="C702">
        <v>183</v>
      </c>
      <c r="D702">
        <v>180.5</v>
      </c>
      <c r="E702">
        <v>181.5</v>
      </c>
      <c r="F702">
        <v>685000</v>
      </c>
    </row>
    <row r="703" spans="1:6">
      <c r="A703" s="32">
        <v>42788</v>
      </c>
      <c r="B703">
        <v>182.5</v>
      </c>
      <c r="C703">
        <v>183.5</v>
      </c>
      <c r="D703">
        <v>181</v>
      </c>
      <c r="E703">
        <v>183</v>
      </c>
      <c r="F703">
        <v>840900</v>
      </c>
    </row>
    <row r="704" spans="1:6">
      <c r="A704" s="32">
        <v>42787</v>
      </c>
      <c r="B704">
        <v>181.5</v>
      </c>
      <c r="C704">
        <v>183.5</v>
      </c>
      <c r="D704">
        <v>181</v>
      </c>
      <c r="E704">
        <v>181</v>
      </c>
      <c r="F704">
        <v>412300</v>
      </c>
    </row>
    <row r="705" spans="1:6">
      <c r="A705" s="32">
        <v>42786</v>
      </c>
      <c r="B705">
        <v>183.5</v>
      </c>
      <c r="C705">
        <v>184</v>
      </c>
      <c r="D705">
        <v>181.5</v>
      </c>
      <c r="E705">
        <v>181.5</v>
      </c>
      <c r="F705">
        <v>227700</v>
      </c>
    </row>
    <row r="706" spans="1:6">
      <c r="A706" s="32">
        <v>42783</v>
      </c>
      <c r="B706">
        <v>185</v>
      </c>
      <c r="C706">
        <v>185</v>
      </c>
      <c r="D706">
        <v>183</v>
      </c>
      <c r="E706">
        <v>183.5</v>
      </c>
      <c r="F706">
        <v>294000</v>
      </c>
    </row>
    <row r="707" spans="1:6">
      <c r="A707" s="32">
        <v>42782</v>
      </c>
      <c r="B707">
        <v>183</v>
      </c>
      <c r="C707">
        <v>185</v>
      </c>
      <c r="D707">
        <v>183</v>
      </c>
      <c r="E707">
        <v>184.5</v>
      </c>
      <c r="F707">
        <v>685700</v>
      </c>
    </row>
    <row r="708" spans="1:6">
      <c r="A708" s="32">
        <v>42781</v>
      </c>
      <c r="B708">
        <v>186</v>
      </c>
      <c r="C708">
        <v>186</v>
      </c>
      <c r="D708">
        <v>182.5</v>
      </c>
      <c r="E708">
        <v>184.5</v>
      </c>
      <c r="F708">
        <v>679500</v>
      </c>
    </row>
    <row r="709" spans="1:6">
      <c r="A709" s="32">
        <v>42780</v>
      </c>
      <c r="B709">
        <v>187</v>
      </c>
      <c r="C709">
        <v>188</v>
      </c>
      <c r="D709">
        <v>183.5</v>
      </c>
      <c r="E709">
        <v>184</v>
      </c>
      <c r="F709">
        <v>838000</v>
      </c>
    </row>
    <row r="710" spans="1:6">
      <c r="A710" s="32">
        <v>42776</v>
      </c>
      <c r="B710">
        <v>183.5</v>
      </c>
      <c r="C710">
        <v>187</v>
      </c>
      <c r="D710">
        <v>183.5</v>
      </c>
      <c r="E710">
        <v>186</v>
      </c>
      <c r="F710">
        <v>1909600</v>
      </c>
    </row>
    <row r="711" spans="1:6">
      <c r="A711" s="32">
        <v>42775</v>
      </c>
      <c r="B711">
        <v>183</v>
      </c>
      <c r="C711">
        <v>184.5</v>
      </c>
      <c r="D711">
        <v>181.5</v>
      </c>
      <c r="E711">
        <v>183.5</v>
      </c>
      <c r="F711">
        <v>826600</v>
      </c>
    </row>
    <row r="712" spans="1:6">
      <c r="A712" s="32">
        <v>42774</v>
      </c>
      <c r="B712">
        <v>178.5</v>
      </c>
      <c r="C712">
        <v>183.5</v>
      </c>
      <c r="D712">
        <v>178.5</v>
      </c>
      <c r="E712">
        <v>183</v>
      </c>
      <c r="F712">
        <v>1436800</v>
      </c>
    </row>
    <row r="713" spans="1:6">
      <c r="A713" s="32">
        <v>42773</v>
      </c>
      <c r="B713">
        <v>179</v>
      </c>
      <c r="C713">
        <v>180</v>
      </c>
      <c r="D713">
        <v>178.5</v>
      </c>
      <c r="E713">
        <v>179</v>
      </c>
      <c r="F713">
        <v>730100</v>
      </c>
    </row>
    <row r="714" spans="1:6">
      <c r="A714" s="32">
        <v>42772</v>
      </c>
      <c r="B714">
        <v>181</v>
      </c>
      <c r="C714">
        <v>181</v>
      </c>
      <c r="D714">
        <v>179</v>
      </c>
      <c r="E714">
        <v>180.5</v>
      </c>
      <c r="F714">
        <v>555400</v>
      </c>
    </row>
    <row r="715" spans="1:6">
      <c r="A715" s="32">
        <v>42769</v>
      </c>
      <c r="B715">
        <v>181</v>
      </c>
      <c r="C715">
        <v>181.5</v>
      </c>
      <c r="D715">
        <v>178.5</v>
      </c>
      <c r="E715">
        <v>180</v>
      </c>
      <c r="F715">
        <v>798200</v>
      </c>
    </row>
    <row r="716" spans="1:6">
      <c r="A716" s="32">
        <v>42768</v>
      </c>
      <c r="B716">
        <v>181</v>
      </c>
      <c r="C716">
        <v>182.5</v>
      </c>
      <c r="D716">
        <v>180</v>
      </c>
      <c r="E716">
        <v>181</v>
      </c>
      <c r="F716">
        <v>879900</v>
      </c>
    </row>
    <row r="717" spans="1:6">
      <c r="A717" s="32">
        <v>42767</v>
      </c>
      <c r="B717">
        <v>178.5</v>
      </c>
      <c r="C717">
        <v>181.5</v>
      </c>
      <c r="D717">
        <v>178.5</v>
      </c>
      <c r="E717">
        <v>179</v>
      </c>
      <c r="F717">
        <v>773600</v>
      </c>
    </row>
    <row r="718" spans="1:6">
      <c r="A718" s="32">
        <v>42766</v>
      </c>
      <c r="B718">
        <v>179.5</v>
      </c>
      <c r="C718">
        <v>181.5</v>
      </c>
      <c r="D718">
        <v>179</v>
      </c>
      <c r="E718">
        <v>179</v>
      </c>
      <c r="F718">
        <v>1146500</v>
      </c>
    </row>
    <row r="719" spans="1:6">
      <c r="A719" s="32">
        <v>42765</v>
      </c>
      <c r="B719">
        <v>180.5</v>
      </c>
      <c r="C719">
        <v>183</v>
      </c>
      <c r="D719">
        <v>180</v>
      </c>
      <c r="E719">
        <v>180.5</v>
      </c>
      <c r="F719">
        <v>567600</v>
      </c>
    </row>
    <row r="720" spans="1:6">
      <c r="A720" s="32">
        <v>42762</v>
      </c>
      <c r="B720">
        <v>182</v>
      </c>
      <c r="C720">
        <v>183.5</v>
      </c>
      <c r="D720">
        <v>181</v>
      </c>
      <c r="E720">
        <v>181</v>
      </c>
      <c r="F720">
        <v>477900</v>
      </c>
    </row>
    <row r="721" spans="1:6">
      <c r="A721" s="32">
        <v>42761</v>
      </c>
      <c r="B721">
        <v>181.5</v>
      </c>
      <c r="C721">
        <v>184</v>
      </c>
      <c r="D721">
        <v>181</v>
      </c>
      <c r="E721">
        <v>183</v>
      </c>
      <c r="F721">
        <v>939500</v>
      </c>
    </row>
    <row r="722" spans="1:6">
      <c r="A722" s="32">
        <v>42760</v>
      </c>
      <c r="B722">
        <v>182</v>
      </c>
      <c r="C722">
        <v>182.5</v>
      </c>
      <c r="D722">
        <v>181</v>
      </c>
      <c r="E722">
        <v>182</v>
      </c>
      <c r="F722">
        <v>315300</v>
      </c>
    </row>
    <row r="723" spans="1:6">
      <c r="A723" s="32">
        <v>42759</v>
      </c>
      <c r="B723">
        <v>180.5</v>
      </c>
      <c r="C723">
        <v>182</v>
      </c>
      <c r="D723">
        <v>178.5</v>
      </c>
      <c r="E723">
        <v>181.5</v>
      </c>
      <c r="F723">
        <v>632700</v>
      </c>
    </row>
    <row r="724" spans="1:6">
      <c r="A724" s="32">
        <v>42758</v>
      </c>
      <c r="B724">
        <v>180.5</v>
      </c>
      <c r="C724">
        <v>181</v>
      </c>
      <c r="D724">
        <v>178</v>
      </c>
      <c r="E724">
        <v>180.5</v>
      </c>
      <c r="F724">
        <v>1172100</v>
      </c>
    </row>
    <row r="725" spans="1:6">
      <c r="A725" s="32">
        <v>42755</v>
      </c>
      <c r="B725">
        <v>179.5</v>
      </c>
      <c r="C725">
        <v>180.5</v>
      </c>
      <c r="D725">
        <v>178.5</v>
      </c>
      <c r="E725">
        <v>179.5</v>
      </c>
      <c r="F725">
        <v>1275700</v>
      </c>
    </row>
    <row r="726" spans="1:6">
      <c r="A726" s="32">
        <v>42754</v>
      </c>
      <c r="B726">
        <v>181</v>
      </c>
      <c r="C726">
        <v>181</v>
      </c>
      <c r="D726">
        <v>179.5</v>
      </c>
      <c r="E726">
        <v>180</v>
      </c>
      <c r="F726">
        <v>1049100</v>
      </c>
    </row>
    <row r="727" spans="1:6">
      <c r="A727" s="32">
        <v>42753</v>
      </c>
      <c r="B727">
        <v>182.5</v>
      </c>
      <c r="C727">
        <v>183</v>
      </c>
      <c r="D727">
        <v>181</v>
      </c>
      <c r="E727">
        <v>181</v>
      </c>
      <c r="F727">
        <v>753100</v>
      </c>
    </row>
    <row r="728" spans="1:6">
      <c r="A728" s="32">
        <v>42752</v>
      </c>
      <c r="B728">
        <v>184</v>
      </c>
      <c r="C728">
        <v>184.5</v>
      </c>
      <c r="D728">
        <v>182</v>
      </c>
      <c r="E728">
        <v>183</v>
      </c>
      <c r="F728">
        <v>577000</v>
      </c>
    </row>
    <row r="729" spans="1:6">
      <c r="A729" s="32">
        <v>42751</v>
      </c>
      <c r="B729">
        <v>184.5</v>
      </c>
      <c r="C729">
        <v>184.5</v>
      </c>
      <c r="D729">
        <v>182.5</v>
      </c>
      <c r="E729">
        <v>184</v>
      </c>
      <c r="F729">
        <v>495300</v>
      </c>
    </row>
    <row r="730" spans="1:6">
      <c r="A730" s="32">
        <v>42748</v>
      </c>
      <c r="B730">
        <v>184.5</v>
      </c>
      <c r="C730">
        <v>185</v>
      </c>
      <c r="D730">
        <v>183.5</v>
      </c>
      <c r="E730">
        <v>184.5</v>
      </c>
      <c r="F730">
        <v>499400</v>
      </c>
    </row>
    <row r="731" spans="1:6">
      <c r="A731" s="32">
        <v>42747</v>
      </c>
      <c r="B731">
        <v>184.5</v>
      </c>
      <c r="C731">
        <v>185.5</v>
      </c>
      <c r="D731">
        <v>183.5</v>
      </c>
      <c r="E731">
        <v>183.5</v>
      </c>
      <c r="F731">
        <v>338800</v>
      </c>
    </row>
    <row r="732" spans="1:6">
      <c r="A732" s="32">
        <v>42746</v>
      </c>
      <c r="B732">
        <v>183</v>
      </c>
      <c r="C732">
        <v>185</v>
      </c>
      <c r="D732">
        <v>183</v>
      </c>
      <c r="E732">
        <v>184.5</v>
      </c>
      <c r="F732">
        <v>865500</v>
      </c>
    </row>
    <row r="733" spans="1:6">
      <c r="A733" s="32">
        <v>42745</v>
      </c>
      <c r="B733">
        <v>183</v>
      </c>
      <c r="C733">
        <v>185</v>
      </c>
      <c r="D733">
        <v>181.5</v>
      </c>
      <c r="E733">
        <v>184.5</v>
      </c>
      <c r="F733">
        <v>823200</v>
      </c>
    </row>
    <row r="734" spans="1:6">
      <c r="A734" s="32">
        <v>42744</v>
      </c>
      <c r="B734">
        <v>185</v>
      </c>
      <c r="C734">
        <v>185</v>
      </c>
      <c r="D734">
        <v>183</v>
      </c>
      <c r="E734">
        <v>183</v>
      </c>
      <c r="F734">
        <v>530500</v>
      </c>
    </row>
    <row r="735" spans="1:6">
      <c r="A735" s="32">
        <v>42741</v>
      </c>
      <c r="B735">
        <v>185</v>
      </c>
      <c r="C735">
        <v>186</v>
      </c>
      <c r="D735">
        <v>182.5</v>
      </c>
      <c r="E735">
        <v>185</v>
      </c>
      <c r="F735">
        <v>1269900</v>
      </c>
    </row>
    <row r="736" spans="1:6">
      <c r="A736" s="32">
        <v>42740</v>
      </c>
      <c r="B736">
        <v>185</v>
      </c>
      <c r="C736">
        <v>185</v>
      </c>
      <c r="D736">
        <v>182</v>
      </c>
      <c r="E736">
        <v>185</v>
      </c>
      <c r="F736">
        <v>1149900</v>
      </c>
    </row>
    <row r="737" spans="1:6">
      <c r="A737" s="32">
        <v>42739</v>
      </c>
      <c r="B737">
        <v>180.5</v>
      </c>
      <c r="C737">
        <v>185</v>
      </c>
      <c r="D737">
        <v>179.5</v>
      </c>
      <c r="E737">
        <v>185</v>
      </c>
      <c r="F737">
        <v>1401100</v>
      </c>
    </row>
    <row r="738" spans="1:6">
      <c r="A738" s="32">
        <v>42734</v>
      </c>
      <c r="B738">
        <v>181</v>
      </c>
      <c r="C738">
        <v>182</v>
      </c>
      <c r="D738">
        <v>179.5</v>
      </c>
      <c r="E738">
        <v>181</v>
      </c>
      <c r="F738">
        <v>593000</v>
      </c>
    </row>
    <row r="739" spans="1:6">
      <c r="A739" s="32">
        <v>42733</v>
      </c>
      <c r="B739">
        <v>178</v>
      </c>
      <c r="C739">
        <v>183</v>
      </c>
      <c r="D739">
        <v>176.5</v>
      </c>
      <c r="E739">
        <v>181</v>
      </c>
      <c r="F739">
        <v>1251100</v>
      </c>
    </row>
    <row r="740" spans="1:6">
      <c r="A740" s="32">
        <v>42732</v>
      </c>
      <c r="B740">
        <v>177</v>
      </c>
      <c r="C740">
        <v>179</v>
      </c>
      <c r="D740">
        <v>175.5</v>
      </c>
      <c r="E740">
        <v>178</v>
      </c>
      <c r="F740">
        <v>832200</v>
      </c>
    </row>
    <row r="741" spans="1:6">
      <c r="A741" s="32">
        <v>42731</v>
      </c>
      <c r="B741">
        <v>172.5</v>
      </c>
      <c r="C741">
        <v>176</v>
      </c>
      <c r="D741">
        <v>172.5</v>
      </c>
      <c r="E741">
        <v>176</v>
      </c>
      <c r="F741">
        <v>836600</v>
      </c>
    </row>
    <row r="742" spans="1:6">
      <c r="A742" s="32">
        <v>42730</v>
      </c>
      <c r="B742">
        <v>172</v>
      </c>
      <c r="C742">
        <v>172</v>
      </c>
      <c r="D742">
        <v>171.5</v>
      </c>
      <c r="E742">
        <v>172</v>
      </c>
      <c r="F742">
        <v>750900</v>
      </c>
    </row>
    <row r="743" spans="1:6">
      <c r="A743" s="32">
        <v>42727</v>
      </c>
      <c r="B743">
        <v>177</v>
      </c>
      <c r="C743">
        <v>177.5</v>
      </c>
      <c r="D743">
        <v>173.5</v>
      </c>
      <c r="E743">
        <v>174</v>
      </c>
      <c r="F743">
        <v>1207600</v>
      </c>
    </row>
    <row r="744" spans="1:6">
      <c r="A744" s="32">
        <v>42726</v>
      </c>
      <c r="B744">
        <v>180</v>
      </c>
      <c r="C744">
        <v>180</v>
      </c>
      <c r="D744">
        <v>176</v>
      </c>
      <c r="E744">
        <v>177</v>
      </c>
      <c r="F744">
        <v>867100</v>
      </c>
    </row>
    <row r="745" spans="1:6">
      <c r="A745" s="32">
        <v>42725</v>
      </c>
      <c r="B745">
        <v>179.5</v>
      </c>
      <c r="C745">
        <v>180</v>
      </c>
      <c r="D745">
        <v>179</v>
      </c>
      <c r="E745">
        <v>180</v>
      </c>
      <c r="F745">
        <v>470500</v>
      </c>
    </row>
    <row r="746" spans="1:6">
      <c r="A746" s="32">
        <v>42724</v>
      </c>
      <c r="B746">
        <v>181</v>
      </c>
      <c r="C746">
        <v>181.5</v>
      </c>
      <c r="D746">
        <v>179</v>
      </c>
      <c r="E746">
        <v>180</v>
      </c>
      <c r="F746">
        <v>1721200</v>
      </c>
    </row>
    <row r="747" spans="1:6">
      <c r="A747" s="32">
        <v>42723</v>
      </c>
      <c r="B747">
        <v>179</v>
      </c>
      <c r="C747">
        <v>180.5</v>
      </c>
      <c r="D747">
        <v>178.5</v>
      </c>
      <c r="E747">
        <v>180</v>
      </c>
      <c r="F747">
        <v>1158900</v>
      </c>
    </row>
    <row r="748" spans="1:6">
      <c r="A748" s="32">
        <v>42720</v>
      </c>
      <c r="B748">
        <v>180</v>
      </c>
      <c r="C748">
        <v>181</v>
      </c>
      <c r="D748">
        <v>179</v>
      </c>
      <c r="E748">
        <v>179.5</v>
      </c>
      <c r="F748">
        <v>1556500</v>
      </c>
    </row>
    <row r="749" spans="1:6">
      <c r="A749" s="32">
        <v>42719</v>
      </c>
      <c r="B749">
        <v>179.5</v>
      </c>
      <c r="C749">
        <v>182</v>
      </c>
      <c r="D749">
        <v>178.5</v>
      </c>
      <c r="E749">
        <v>180.5</v>
      </c>
      <c r="F749">
        <v>1621900</v>
      </c>
    </row>
    <row r="750" spans="1:6">
      <c r="A750" s="32">
        <v>42718</v>
      </c>
      <c r="B750">
        <v>183</v>
      </c>
      <c r="C750">
        <v>183.5</v>
      </c>
      <c r="D750">
        <v>178.5</v>
      </c>
      <c r="E750">
        <v>179.5</v>
      </c>
      <c r="F750">
        <v>2984800</v>
      </c>
    </row>
    <row r="751" spans="1:6">
      <c r="A751" s="32">
        <v>42717</v>
      </c>
      <c r="B751">
        <v>182.5</v>
      </c>
      <c r="C751">
        <v>183.5</v>
      </c>
      <c r="D751">
        <v>179</v>
      </c>
      <c r="E751">
        <v>182.5</v>
      </c>
      <c r="F751">
        <v>3692200</v>
      </c>
    </row>
    <row r="752" spans="1:6">
      <c r="A752" s="32">
        <v>42713</v>
      </c>
      <c r="B752">
        <v>190</v>
      </c>
      <c r="C752">
        <v>192</v>
      </c>
      <c r="D752">
        <v>183.5</v>
      </c>
      <c r="E752">
        <v>184</v>
      </c>
      <c r="F752">
        <v>3009300</v>
      </c>
    </row>
    <row r="753" spans="1:6">
      <c r="A753" s="32">
        <v>42712</v>
      </c>
      <c r="B753">
        <v>193</v>
      </c>
      <c r="C753">
        <v>193.5</v>
      </c>
      <c r="D753">
        <v>190.5</v>
      </c>
      <c r="E753">
        <v>190.5</v>
      </c>
      <c r="F753">
        <v>1085600</v>
      </c>
    </row>
    <row r="754" spans="1:6">
      <c r="A754" s="32">
        <v>42711</v>
      </c>
      <c r="B754">
        <v>194</v>
      </c>
      <c r="C754">
        <v>195</v>
      </c>
      <c r="D754">
        <v>192.5</v>
      </c>
      <c r="E754">
        <v>193.5</v>
      </c>
      <c r="F754">
        <v>826500</v>
      </c>
    </row>
    <row r="755" spans="1:6">
      <c r="A755" s="32">
        <v>42710</v>
      </c>
      <c r="B755">
        <v>191.5</v>
      </c>
      <c r="C755">
        <v>194.5</v>
      </c>
      <c r="D755">
        <v>189.5</v>
      </c>
      <c r="E755">
        <v>193.5</v>
      </c>
      <c r="F755">
        <v>1186700</v>
      </c>
    </row>
    <row r="756" spans="1:6">
      <c r="A756" s="32">
        <v>42706</v>
      </c>
      <c r="B756">
        <v>193.5</v>
      </c>
      <c r="C756">
        <v>194.5</v>
      </c>
      <c r="D756">
        <v>190</v>
      </c>
      <c r="E756">
        <v>194</v>
      </c>
      <c r="F756">
        <v>954200</v>
      </c>
    </row>
    <row r="757" spans="1:6">
      <c r="A757" s="32">
        <v>42705</v>
      </c>
      <c r="B757">
        <v>195.5</v>
      </c>
      <c r="C757">
        <v>197</v>
      </c>
      <c r="D757">
        <v>193.5</v>
      </c>
      <c r="E757">
        <v>195.5</v>
      </c>
      <c r="F757">
        <v>1977800</v>
      </c>
    </row>
    <row r="758" spans="1:6">
      <c r="A758" s="32">
        <v>42704</v>
      </c>
      <c r="B758">
        <v>188</v>
      </c>
      <c r="C758">
        <v>192</v>
      </c>
      <c r="D758">
        <v>187.5</v>
      </c>
      <c r="E758">
        <v>192</v>
      </c>
      <c r="F758">
        <v>1337900</v>
      </c>
    </row>
    <row r="759" spans="1:6">
      <c r="A759" s="32">
        <v>42703</v>
      </c>
      <c r="B759">
        <v>191.5</v>
      </c>
      <c r="C759">
        <v>192</v>
      </c>
      <c r="D759">
        <v>187</v>
      </c>
      <c r="E759">
        <v>188.5</v>
      </c>
      <c r="F759">
        <v>1155500</v>
      </c>
    </row>
    <row r="760" spans="1:6">
      <c r="A760" s="32">
        <v>42702</v>
      </c>
      <c r="B760">
        <v>190</v>
      </c>
      <c r="C760">
        <v>191</v>
      </c>
      <c r="D760">
        <v>189.5</v>
      </c>
      <c r="E760">
        <v>191</v>
      </c>
      <c r="F760">
        <v>955100</v>
      </c>
    </row>
    <row r="761" spans="1:6">
      <c r="A761" s="32">
        <v>42699</v>
      </c>
      <c r="B761">
        <v>188</v>
      </c>
      <c r="C761">
        <v>189.5</v>
      </c>
      <c r="D761">
        <v>187.5</v>
      </c>
      <c r="E761">
        <v>189.5</v>
      </c>
      <c r="F761">
        <v>553600</v>
      </c>
    </row>
    <row r="762" spans="1:6">
      <c r="A762" s="32">
        <v>42698</v>
      </c>
      <c r="B762">
        <v>190</v>
      </c>
      <c r="C762">
        <v>190</v>
      </c>
      <c r="D762">
        <v>187.5</v>
      </c>
      <c r="E762">
        <v>188</v>
      </c>
      <c r="F762">
        <v>414200</v>
      </c>
    </row>
    <row r="763" spans="1:6">
      <c r="A763" s="32">
        <v>42697</v>
      </c>
      <c r="B763">
        <v>189</v>
      </c>
      <c r="C763">
        <v>189.5</v>
      </c>
      <c r="D763">
        <v>188</v>
      </c>
      <c r="E763">
        <v>189.5</v>
      </c>
      <c r="F763">
        <v>918000</v>
      </c>
    </row>
    <row r="764" spans="1:6">
      <c r="A764" s="32">
        <v>42696</v>
      </c>
      <c r="B764">
        <v>188</v>
      </c>
      <c r="C764">
        <v>189</v>
      </c>
      <c r="D764">
        <v>186</v>
      </c>
      <c r="E764">
        <v>188.5</v>
      </c>
      <c r="F764">
        <v>1727700</v>
      </c>
    </row>
    <row r="765" spans="1:6">
      <c r="A765" s="32">
        <v>42695</v>
      </c>
      <c r="B765">
        <v>187.5</v>
      </c>
      <c r="C765">
        <v>187.5</v>
      </c>
      <c r="D765">
        <v>185</v>
      </c>
      <c r="E765">
        <v>185</v>
      </c>
      <c r="F765">
        <v>601900</v>
      </c>
    </row>
    <row r="766" spans="1:6">
      <c r="A766" s="32">
        <v>42692</v>
      </c>
      <c r="B766">
        <v>187.5</v>
      </c>
      <c r="C766">
        <v>187.5</v>
      </c>
      <c r="D766">
        <v>185</v>
      </c>
      <c r="E766">
        <v>186.5</v>
      </c>
      <c r="F766">
        <v>931300</v>
      </c>
    </row>
    <row r="767" spans="1:6">
      <c r="A767" s="32">
        <v>42691</v>
      </c>
      <c r="B767">
        <v>185</v>
      </c>
      <c r="C767">
        <v>187.5</v>
      </c>
      <c r="D767">
        <v>182.5</v>
      </c>
      <c r="E767">
        <v>187.5</v>
      </c>
      <c r="F767">
        <v>1053300</v>
      </c>
    </row>
    <row r="768" spans="1:6">
      <c r="A768" s="32">
        <v>42690</v>
      </c>
      <c r="B768">
        <v>186.5</v>
      </c>
      <c r="C768">
        <v>188</v>
      </c>
      <c r="D768">
        <v>183.5</v>
      </c>
      <c r="E768">
        <v>184.5</v>
      </c>
      <c r="F768">
        <v>1378900</v>
      </c>
    </row>
    <row r="769" spans="1:6">
      <c r="A769" s="32">
        <v>42689</v>
      </c>
      <c r="B769">
        <v>184.5</v>
      </c>
      <c r="C769">
        <v>186</v>
      </c>
      <c r="D769">
        <v>181.5</v>
      </c>
      <c r="E769">
        <v>185.5</v>
      </c>
      <c r="F769">
        <v>1584400</v>
      </c>
    </row>
    <row r="770" spans="1:6">
      <c r="A770" s="32">
        <v>42688</v>
      </c>
      <c r="B770">
        <v>188</v>
      </c>
      <c r="C770">
        <v>188</v>
      </c>
      <c r="D770">
        <v>184.5</v>
      </c>
      <c r="E770">
        <v>185</v>
      </c>
      <c r="F770">
        <v>940600</v>
      </c>
    </row>
    <row r="771" spans="1:6">
      <c r="A771" s="32">
        <v>42685</v>
      </c>
      <c r="B771">
        <v>186</v>
      </c>
      <c r="C771">
        <v>190</v>
      </c>
      <c r="D771">
        <v>185</v>
      </c>
      <c r="E771">
        <v>190</v>
      </c>
      <c r="F771">
        <v>3241600</v>
      </c>
    </row>
    <row r="772" spans="1:6">
      <c r="A772" s="32">
        <v>42684</v>
      </c>
      <c r="B772">
        <v>188.5</v>
      </c>
      <c r="C772">
        <v>189</v>
      </c>
      <c r="D772">
        <v>185</v>
      </c>
      <c r="E772">
        <v>186</v>
      </c>
      <c r="F772">
        <v>1157100</v>
      </c>
    </row>
    <row r="773" spans="1:6">
      <c r="A773" s="32">
        <v>42683</v>
      </c>
      <c r="B773">
        <v>182.5</v>
      </c>
      <c r="C773">
        <v>187.5</v>
      </c>
      <c r="D773">
        <v>180.5</v>
      </c>
      <c r="E773">
        <v>187</v>
      </c>
      <c r="F773">
        <v>2238400</v>
      </c>
    </row>
    <row r="774" spans="1:6">
      <c r="A774" s="32">
        <v>42682</v>
      </c>
      <c r="B774">
        <v>181.5</v>
      </c>
      <c r="C774">
        <v>183.5</v>
      </c>
      <c r="D774">
        <v>181.5</v>
      </c>
      <c r="E774">
        <v>183.5</v>
      </c>
      <c r="F774">
        <v>1348500</v>
      </c>
    </row>
    <row r="775" spans="1:6">
      <c r="A775" s="32">
        <v>42681</v>
      </c>
      <c r="B775">
        <v>184.5</v>
      </c>
      <c r="C775">
        <v>184.5</v>
      </c>
      <c r="D775">
        <v>182.5</v>
      </c>
      <c r="E775">
        <v>182.5</v>
      </c>
      <c r="F775">
        <v>1910200</v>
      </c>
    </row>
    <row r="776" spans="1:6">
      <c r="A776" s="32">
        <v>42678</v>
      </c>
      <c r="B776">
        <v>183</v>
      </c>
      <c r="C776">
        <v>185</v>
      </c>
      <c r="D776">
        <v>180.5</v>
      </c>
      <c r="E776">
        <v>182</v>
      </c>
      <c r="F776">
        <v>1372100</v>
      </c>
    </row>
    <row r="777" spans="1:6">
      <c r="A777" s="32">
        <v>42677</v>
      </c>
      <c r="B777">
        <v>181</v>
      </c>
      <c r="C777">
        <v>185</v>
      </c>
      <c r="D777">
        <v>180.5</v>
      </c>
      <c r="E777">
        <v>182.5</v>
      </c>
      <c r="F777">
        <v>1919700</v>
      </c>
    </row>
    <row r="778" spans="1:6">
      <c r="A778" s="32">
        <v>42676</v>
      </c>
      <c r="B778">
        <v>182</v>
      </c>
      <c r="C778">
        <v>183</v>
      </c>
      <c r="D778">
        <v>180.5</v>
      </c>
      <c r="E778">
        <v>181</v>
      </c>
      <c r="F778">
        <v>1418100</v>
      </c>
    </row>
    <row r="779" spans="1:6">
      <c r="A779" s="32">
        <v>42675</v>
      </c>
      <c r="B779">
        <v>184</v>
      </c>
      <c r="C779">
        <v>184</v>
      </c>
      <c r="D779">
        <v>180</v>
      </c>
      <c r="E779">
        <v>180.5</v>
      </c>
      <c r="F779">
        <v>1676700</v>
      </c>
    </row>
    <row r="780" spans="1:6">
      <c r="A780" s="32">
        <v>42674</v>
      </c>
      <c r="B780">
        <v>183.5</v>
      </c>
      <c r="C780">
        <v>186</v>
      </c>
      <c r="D780">
        <v>182.5</v>
      </c>
      <c r="E780">
        <v>183</v>
      </c>
      <c r="F780">
        <v>4017900</v>
      </c>
    </row>
    <row r="781" spans="1:6">
      <c r="A781" s="32">
        <v>42671</v>
      </c>
      <c r="B781">
        <v>178</v>
      </c>
      <c r="C781">
        <v>181.5</v>
      </c>
      <c r="D781">
        <v>177</v>
      </c>
      <c r="E781">
        <v>181</v>
      </c>
      <c r="F781">
        <v>3304400</v>
      </c>
    </row>
    <row r="782" spans="1:6">
      <c r="A782" s="32">
        <v>42670</v>
      </c>
      <c r="B782">
        <v>174.5</v>
      </c>
      <c r="C782">
        <v>177.5</v>
      </c>
      <c r="D782">
        <v>174</v>
      </c>
      <c r="E782">
        <v>177</v>
      </c>
      <c r="F782">
        <v>1106200</v>
      </c>
    </row>
    <row r="783" spans="1:6">
      <c r="A783" s="32">
        <v>42669</v>
      </c>
      <c r="B783">
        <v>177.5</v>
      </c>
      <c r="C783">
        <v>178.5</v>
      </c>
      <c r="D783">
        <v>175.5</v>
      </c>
      <c r="E783">
        <v>175.5</v>
      </c>
      <c r="F783">
        <v>766300</v>
      </c>
    </row>
    <row r="784" spans="1:6">
      <c r="A784" s="32">
        <v>42668</v>
      </c>
      <c r="B784">
        <v>175.5</v>
      </c>
      <c r="C784">
        <v>179</v>
      </c>
      <c r="D784">
        <v>174.5</v>
      </c>
      <c r="E784">
        <v>177.5</v>
      </c>
      <c r="F784">
        <v>2236900</v>
      </c>
    </row>
    <row r="785" spans="1:6">
      <c r="A785" s="32">
        <v>42664</v>
      </c>
      <c r="B785">
        <v>173.5</v>
      </c>
      <c r="C785">
        <v>175</v>
      </c>
      <c r="D785">
        <v>172.5</v>
      </c>
      <c r="E785">
        <v>175</v>
      </c>
      <c r="F785">
        <v>542600</v>
      </c>
    </row>
    <row r="786" spans="1:6">
      <c r="A786" s="32">
        <v>42663</v>
      </c>
      <c r="B786">
        <v>171</v>
      </c>
      <c r="C786">
        <v>175</v>
      </c>
      <c r="D786">
        <v>171</v>
      </c>
      <c r="E786">
        <v>174</v>
      </c>
      <c r="F786">
        <v>1369300</v>
      </c>
    </row>
    <row r="787" spans="1:6">
      <c r="A787" s="32">
        <v>42662</v>
      </c>
      <c r="B787">
        <v>171</v>
      </c>
      <c r="C787">
        <v>171</v>
      </c>
      <c r="D787">
        <v>169.5</v>
      </c>
      <c r="E787">
        <v>170</v>
      </c>
      <c r="F787">
        <v>1219800</v>
      </c>
    </row>
    <row r="788" spans="1:6">
      <c r="A788" s="32">
        <v>42661</v>
      </c>
      <c r="B788">
        <v>172</v>
      </c>
      <c r="C788">
        <v>172</v>
      </c>
      <c r="D788">
        <v>169</v>
      </c>
      <c r="E788">
        <v>171</v>
      </c>
      <c r="F788">
        <v>1633300</v>
      </c>
    </row>
    <row r="789" spans="1:6">
      <c r="A789" s="32">
        <v>42660</v>
      </c>
      <c r="B789">
        <v>169</v>
      </c>
      <c r="C789">
        <v>174.5</v>
      </c>
      <c r="D789">
        <v>168</v>
      </c>
      <c r="E789">
        <v>173.5</v>
      </c>
      <c r="F789">
        <v>1918100</v>
      </c>
    </row>
    <row r="790" spans="1:6">
      <c r="A790" s="32">
        <v>42657</v>
      </c>
      <c r="B790">
        <v>165</v>
      </c>
      <c r="C790">
        <v>170.5</v>
      </c>
      <c r="D790">
        <v>165</v>
      </c>
      <c r="E790">
        <v>169.5</v>
      </c>
      <c r="F790">
        <v>2827300</v>
      </c>
    </row>
    <row r="791" spans="1:6">
      <c r="A791" s="32">
        <v>42656</v>
      </c>
      <c r="B791">
        <v>159</v>
      </c>
      <c r="C791">
        <v>164</v>
      </c>
      <c r="D791">
        <v>157</v>
      </c>
      <c r="E791">
        <v>160</v>
      </c>
      <c r="F791">
        <v>5554400</v>
      </c>
    </row>
    <row r="792" spans="1:6">
      <c r="A792" s="32">
        <v>42655</v>
      </c>
      <c r="B792">
        <v>163</v>
      </c>
      <c r="C792">
        <v>163.5</v>
      </c>
      <c r="D792">
        <v>148</v>
      </c>
      <c r="E792">
        <v>163</v>
      </c>
      <c r="F792">
        <v>3756600</v>
      </c>
    </row>
    <row r="793" spans="1:6">
      <c r="A793" s="32">
        <v>42654</v>
      </c>
      <c r="B793">
        <v>168</v>
      </c>
      <c r="C793">
        <v>168</v>
      </c>
      <c r="D793">
        <v>162</v>
      </c>
      <c r="E793">
        <v>164</v>
      </c>
      <c r="F793">
        <v>1634000</v>
      </c>
    </row>
    <row r="794" spans="1:6">
      <c r="A794" s="32">
        <v>42653</v>
      </c>
      <c r="B794">
        <v>165</v>
      </c>
      <c r="C794">
        <v>169.5</v>
      </c>
      <c r="D794">
        <v>164.5</v>
      </c>
      <c r="E794">
        <v>168</v>
      </c>
      <c r="F794">
        <v>931300</v>
      </c>
    </row>
    <row r="795" spans="1:6">
      <c r="A795" s="32">
        <v>42650</v>
      </c>
      <c r="B795">
        <v>170</v>
      </c>
      <c r="C795">
        <v>171.5</v>
      </c>
      <c r="D795">
        <v>169.5</v>
      </c>
      <c r="E795">
        <v>171.5</v>
      </c>
      <c r="F795">
        <v>1202000</v>
      </c>
    </row>
    <row r="796" spans="1:6">
      <c r="A796" s="32">
        <v>42649</v>
      </c>
      <c r="B796">
        <v>171.5</v>
      </c>
      <c r="C796">
        <v>172</v>
      </c>
      <c r="D796">
        <v>170</v>
      </c>
      <c r="E796">
        <v>171</v>
      </c>
      <c r="F796">
        <v>2044700</v>
      </c>
    </row>
    <row r="797" spans="1:6">
      <c r="A797" s="32">
        <v>42648</v>
      </c>
      <c r="B797">
        <v>172</v>
      </c>
      <c r="C797">
        <v>173</v>
      </c>
      <c r="D797">
        <v>170.5</v>
      </c>
      <c r="E797">
        <v>172</v>
      </c>
      <c r="F797">
        <v>1771800</v>
      </c>
    </row>
    <row r="798" spans="1:6">
      <c r="A798" s="32">
        <v>42647</v>
      </c>
      <c r="B798">
        <v>174</v>
      </c>
      <c r="C798">
        <v>174</v>
      </c>
      <c r="D798">
        <v>171.5</v>
      </c>
      <c r="E798">
        <v>172.5</v>
      </c>
      <c r="F798">
        <v>2154900</v>
      </c>
    </row>
    <row r="799" spans="1:6">
      <c r="A799" s="32">
        <v>42646</v>
      </c>
      <c r="B799">
        <v>175</v>
      </c>
      <c r="C799">
        <v>175.5</v>
      </c>
      <c r="D799">
        <v>174.5</v>
      </c>
      <c r="E799">
        <v>174.5</v>
      </c>
      <c r="F799">
        <v>262600</v>
      </c>
    </row>
    <row r="800" spans="1:6">
      <c r="A800" s="32">
        <v>42643</v>
      </c>
      <c r="B800">
        <v>176</v>
      </c>
      <c r="C800">
        <v>177.5</v>
      </c>
      <c r="D800">
        <v>174.5</v>
      </c>
      <c r="E800">
        <v>174.5</v>
      </c>
      <c r="F800">
        <v>976400</v>
      </c>
    </row>
    <row r="801" spans="1:6">
      <c r="A801" s="32">
        <v>42642</v>
      </c>
      <c r="B801">
        <v>179</v>
      </c>
      <c r="C801">
        <v>179.5</v>
      </c>
      <c r="D801">
        <v>175</v>
      </c>
      <c r="E801">
        <v>176.5</v>
      </c>
      <c r="F801">
        <v>2115800</v>
      </c>
    </row>
    <row r="802" spans="1:6">
      <c r="A802" s="32">
        <v>42641</v>
      </c>
      <c r="B802">
        <v>177.5</v>
      </c>
      <c r="C802">
        <v>179.5</v>
      </c>
      <c r="D802">
        <v>176.5</v>
      </c>
      <c r="E802">
        <v>178</v>
      </c>
      <c r="F802">
        <v>1930400</v>
      </c>
    </row>
    <row r="803" spans="1:6">
      <c r="A803" s="32">
        <v>42640</v>
      </c>
      <c r="B803">
        <v>175</v>
      </c>
      <c r="C803">
        <v>179.5</v>
      </c>
      <c r="D803">
        <v>173</v>
      </c>
      <c r="E803">
        <v>177.5</v>
      </c>
      <c r="F803">
        <v>2956800</v>
      </c>
    </row>
    <row r="804" spans="1:6">
      <c r="A804" s="32">
        <v>42639</v>
      </c>
      <c r="B804">
        <v>173</v>
      </c>
      <c r="C804">
        <v>175</v>
      </c>
      <c r="D804">
        <v>173</v>
      </c>
      <c r="E804">
        <v>174.5</v>
      </c>
      <c r="F804">
        <v>1003900</v>
      </c>
    </row>
    <row r="805" spans="1:6">
      <c r="A805" s="32">
        <v>42636</v>
      </c>
      <c r="B805">
        <v>175</v>
      </c>
      <c r="C805">
        <v>175</v>
      </c>
      <c r="D805">
        <v>172</v>
      </c>
      <c r="E805">
        <v>174.5</v>
      </c>
      <c r="F805">
        <v>1266700</v>
      </c>
    </row>
    <row r="806" spans="1:6">
      <c r="A806" s="32">
        <v>42635</v>
      </c>
      <c r="B806">
        <v>174</v>
      </c>
      <c r="C806">
        <v>175</v>
      </c>
      <c r="D806">
        <v>173.5</v>
      </c>
      <c r="E806">
        <v>175</v>
      </c>
      <c r="F806">
        <v>1269600</v>
      </c>
    </row>
    <row r="807" spans="1:6">
      <c r="A807" s="32">
        <v>42634</v>
      </c>
      <c r="B807">
        <v>170.5</v>
      </c>
      <c r="C807">
        <v>173</v>
      </c>
      <c r="D807">
        <v>170.5</v>
      </c>
      <c r="E807">
        <v>172</v>
      </c>
      <c r="F807">
        <v>1668600</v>
      </c>
    </row>
    <row r="808" spans="1:6">
      <c r="A808" s="32">
        <v>42633</v>
      </c>
      <c r="B808">
        <v>170</v>
      </c>
      <c r="C808">
        <v>170</v>
      </c>
      <c r="D808">
        <v>167.5</v>
      </c>
      <c r="E808">
        <v>168</v>
      </c>
      <c r="F808">
        <v>1284500</v>
      </c>
    </row>
    <row r="809" spans="1:6">
      <c r="A809" s="32">
        <v>42632</v>
      </c>
      <c r="B809">
        <v>171.5</v>
      </c>
      <c r="C809">
        <v>171.5</v>
      </c>
      <c r="D809">
        <v>168</v>
      </c>
      <c r="E809">
        <v>170</v>
      </c>
      <c r="F809">
        <v>1167900</v>
      </c>
    </row>
    <row r="810" spans="1:6">
      <c r="A810" s="32">
        <v>42629</v>
      </c>
      <c r="B810">
        <v>173.5</v>
      </c>
      <c r="C810">
        <v>173.5</v>
      </c>
      <c r="D810">
        <v>170</v>
      </c>
      <c r="E810">
        <v>171.5</v>
      </c>
      <c r="F810">
        <v>2392200</v>
      </c>
    </row>
    <row r="811" spans="1:6">
      <c r="A811" s="32">
        <v>42628</v>
      </c>
      <c r="B811">
        <v>170</v>
      </c>
      <c r="C811">
        <v>172</v>
      </c>
      <c r="D811">
        <v>168</v>
      </c>
      <c r="E811">
        <v>171</v>
      </c>
      <c r="F811">
        <v>2515200</v>
      </c>
    </row>
    <row r="812" spans="1:6">
      <c r="A812" s="32">
        <v>42627</v>
      </c>
      <c r="B812">
        <v>158</v>
      </c>
      <c r="C812">
        <v>170</v>
      </c>
      <c r="D812">
        <v>158</v>
      </c>
      <c r="E812">
        <v>168</v>
      </c>
      <c r="F812">
        <v>3889700</v>
      </c>
    </row>
    <row r="813" spans="1:6">
      <c r="A813" s="32">
        <v>42626</v>
      </c>
      <c r="B813">
        <v>151.5</v>
      </c>
      <c r="C813">
        <v>159</v>
      </c>
      <c r="D813">
        <v>150.5</v>
      </c>
      <c r="E813">
        <v>158</v>
      </c>
      <c r="F813">
        <v>2612800</v>
      </c>
    </row>
    <row r="814" spans="1:6">
      <c r="A814" s="32">
        <v>42625</v>
      </c>
      <c r="B814">
        <v>150</v>
      </c>
      <c r="C814">
        <v>152.5</v>
      </c>
      <c r="D814">
        <v>150</v>
      </c>
      <c r="E814">
        <v>150</v>
      </c>
      <c r="F814">
        <v>1517000</v>
      </c>
    </row>
    <row r="815" spans="1:6">
      <c r="A815" s="32">
        <v>42622</v>
      </c>
      <c r="B815">
        <v>155</v>
      </c>
      <c r="C815">
        <v>157</v>
      </c>
      <c r="D815">
        <v>152</v>
      </c>
      <c r="E815">
        <v>152.5</v>
      </c>
      <c r="F815">
        <v>1678300</v>
      </c>
    </row>
    <row r="816" spans="1:6">
      <c r="A816" s="32">
        <v>42621</v>
      </c>
      <c r="B816">
        <v>160.5</v>
      </c>
      <c r="C816">
        <v>161</v>
      </c>
      <c r="D816">
        <v>156</v>
      </c>
      <c r="E816">
        <v>156</v>
      </c>
      <c r="F816">
        <v>2308100</v>
      </c>
    </row>
    <row r="817" spans="1:6">
      <c r="A817" s="32">
        <v>42620</v>
      </c>
      <c r="B817">
        <v>163</v>
      </c>
      <c r="C817">
        <v>164.5</v>
      </c>
      <c r="D817">
        <v>161</v>
      </c>
      <c r="E817">
        <v>161</v>
      </c>
      <c r="F817">
        <v>1788400</v>
      </c>
    </row>
    <row r="818" spans="1:6">
      <c r="A818" s="32">
        <v>42619</v>
      </c>
      <c r="B818">
        <v>165</v>
      </c>
      <c r="C818">
        <v>166.5</v>
      </c>
      <c r="D818">
        <v>163</v>
      </c>
      <c r="E818">
        <v>164</v>
      </c>
      <c r="F818">
        <v>2298300</v>
      </c>
    </row>
    <row r="819" spans="1:6">
      <c r="A819" s="32">
        <v>42618</v>
      </c>
      <c r="B819">
        <v>168.5</v>
      </c>
      <c r="C819">
        <v>169</v>
      </c>
      <c r="D819">
        <v>164</v>
      </c>
      <c r="E819">
        <v>165</v>
      </c>
      <c r="F819">
        <v>1599600</v>
      </c>
    </row>
    <row r="820" spans="1:6">
      <c r="A820" s="32">
        <v>42615</v>
      </c>
      <c r="B820">
        <v>169</v>
      </c>
      <c r="C820">
        <v>169.5</v>
      </c>
      <c r="D820">
        <v>168</v>
      </c>
      <c r="E820">
        <v>169</v>
      </c>
      <c r="F820">
        <v>1197500</v>
      </c>
    </row>
    <row r="821" spans="1:6">
      <c r="A821" s="32">
        <v>42614</v>
      </c>
      <c r="B821">
        <v>170</v>
      </c>
      <c r="C821">
        <v>170</v>
      </c>
      <c r="D821">
        <v>169</v>
      </c>
      <c r="E821">
        <v>169.5</v>
      </c>
      <c r="F821">
        <v>833200</v>
      </c>
    </row>
    <row r="822" spans="1:6">
      <c r="A822" s="32">
        <v>42613</v>
      </c>
      <c r="B822">
        <v>172.5</v>
      </c>
      <c r="C822">
        <v>172.5</v>
      </c>
      <c r="D822">
        <v>170</v>
      </c>
      <c r="E822">
        <v>170</v>
      </c>
      <c r="F822">
        <v>1193800</v>
      </c>
    </row>
    <row r="823" spans="1:6">
      <c r="A823" s="32">
        <v>42612</v>
      </c>
      <c r="B823">
        <v>173</v>
      </c>
      <c r="C823">
        <v>175</v>
      </c>
      <c r="D823">
        <v>172</v>
      </c>
      <c r="E823">
        <v>173</v>
      </c>
      <c r="F823">
        <v>724000</v>
      </c>
    </row>
    <row r="824" spans="1:6">
      <c r="A824" s="32">
        <v>42611</v>
      </c>
      <c r="B824">
        <v>169.5</v>
      </c>
      <c r="C824">
        <v>173</v>
      </c>
      <c r="D824">
        <v>169</v>
      </c>
      <c r="E824">
        <v>173</v>
      </c>
      <c r="F824">
        <v>1699200</v>
      </c>
    </row>
    <row r="825" spans="1:6">
      <c r="A825" s="32">
        <v>42608</v>
      </c>
      <c r="B825">
        <v>168.5</v>
      </c>
      <c r="C825">
        <v>170</v>
      </c>
      <c r="D825">
        <v>168.5</v>
      </c>
      <c r="E825">
        <v>169.5</v>
      </c>
      <c r="F825">
        <v>900900</v>
      </c>
    </row>
    <row r="826" spans="1:6">
      <c r="A826" s="32">
        <v>42607</v>
      </c>
      <c r="B826">
        <v>172</v>
      </c>
      <c r="C826">
        <v>172.5</v>
      </c>
      <c r="D826">
        <v>168</v>
      </c>
      <c r="E826">
        <v>168.5</v>
      </c>
      <c r="F826">
        <v>2310100</v>
      </c>
    </row>
    <row r="827" spans="1:6">
      <c r="A827" s="32">
        <v>42606</v>
      </c>
      <c r="B827">
        <v>169</v>
      </c>
      <c r="C827">
        <v>173</v>
      </c>
      <c r="D827">
        <v>168.5</v>
      </c>
      <c r="E827">
        <v>172.5</v>
      </c>
      <c r="F827">
        <v>1616700</v>
      </c>
    </row>
    <row r="828" spans="1:6">
      <c r="A828" s="32">
        <v>42605</v>
      </c>
      <c r="B828">
        <v>170.5</v>
      </c>
      <c r="C828">
        <v>171</v>
      </c>
      <c r="D828">
        <v>168.5</v>
      </c>
      <c r="E828">
        <v>168.5</v>
      </c>
      <c r="F828">
        <v>2248700</v>
      </c>
    </row>
    <row r="829" spans="1:6">
      <c r="A829" s="32">
        <v>42604</v>
      </c>
      <c r="B829">
        <v>173</v>
      </c>
      <c r="C829">
        <v>173</v>
      </c>
      <c r="D829">
        <v>171</v>
      </c>
      <c r="E829">
        <v>171.5</v>
      </c>
      <c r="F829">
        <v>1159700</v>
      </c>
    </row>
    <row r="830" spans="1:6">
      <c r="A830" s="32">
        <v>42601</v>
      </c>
      <c r="B830">
        <v>175</v>
      </c>
      <c r="C830">
        <v>175</v>
      </c>
      <c r="D830">
        <v>171.5</v>
      </c>
      <c r="E830">
        <v>173</v>
      </c>
      <c r="F830">
        <v>1000900</v>
      </c>
    </row>
    <row r="831" spans="1:6">
      <c r="A831" s="32">
        <v>42600</v>
      </c>
      <c r="B831">
        <v>172.5</v>
      </c>
      <c r="C831">
        <v>175</v>
      </c>
      <c r="D831">
        <v>172.5</v>
      </c>
      <c r="E831">
        <v>175</v>
      </c>
      <c r="F831">
        <v>1272000</v>
      </c>
    </row>
    <row r="832" spans="1:6">
      <c r="A832" s="32">
        <v>42599</v>
      </c>
      <c r="B832">
        <v>174</v>
      </c>
      <c r="C832">
        <v>174.5</v>
      </c>
      <c r="D832">
        <v>172.5</v>
      </c>
      <c r="E832">
        <v>173</v>
      </c>
      <c r="F832">
        <v>806400</v>
      </c>
    </row>
    <row r="833" spans="1:6">
      <c r="A833" s="32">
        <v>42598</v>
      </c>
      <c r="B833">
        <v>174</v>
      </c>
      <c r="C833">
        <v>175</v>
      </c>
      <c r="D833">
        <v>172</v>
      </c>
      <c r="E833">
        <v>173.5</v>
      </c>
      <c r="F833">
        <v>1539700</v>
      </c>
    </row>
    <row r="834" spans="1:6">
      <c r="A834" s="32">
        <v>42597</v>
      </c>
      <c r="B834">
        <v>173</v>
      </c>
      <c r="C834">
        <v>175</v>
      </c>
      <c r="D834">
        <v>172.5</v>
      </c>
      <c r="E834">
        <v>174</v>
      </c>
      <c r="F834">
        <v>944500</v>
      </c>
    </row>
    <row r="835" spans="1:6">
      <c r="A835" s="32">
        <v>42593</v>
      </c>
      <c r="B835">
        <v>176.5</v>
      </c>
      <c r="C835">
        <v>176.5</v>
      </c>
      <c r="D835">
        <v>174.5</v>
      </c>
      <c r="E835">
        <v>176</v>
      </c>
      <c r="F835">
        <v>2109600</v>
      </c>
    </row>
    <row r="836" spans="1:6">
      <c r="A836" s="32">
        <v>42592</v>
      </c>
      <c r="B836">
        <v>176.5</v>
      </c>
      <c r="C836">
        <v>178</v>
      </c>
      <c r="D836">
        <v>176</v>
      </c>
      <c r="E836">
        <v>176.5</v>
      </c>
      <c r="F836">
        <v>1676200</v>
      </c>
    </row>
    <row r="837" spans="1:6">
      <c r="A837" s="32">
        <v>42591</v>
      </c>
      <c r="B837">
        <v>178</v>
      </c>
      <c r="C837">
        <v>178.5</v>
      </c>
      <c r="D837">
        <v>176</v>
      </c>
      <c r="E837">
        <v>176.5</v>
      </c>
      <c r="F837">
        <v>1169000</v>
      </c>
    </row>
    <row r="838" spans="1:6">
      <c r="A838" s="32">
        <v>42590</v>
      </c>
      <c r="B838">
        <v>180.5</v>
      </c>
      <c r="C838">
        <v>181</v>
      </c>
      <c r="D838">
        <v>177</v>
      </c>
      <c r="E838">
        <v>178</v>
      </c>
      <c r="F838">
        <v>1384200</v>
      </c>
    </row>
    <row r="839" spans="1:6">
      <c r="A839" s="32">
        <v>42587</v>
      </c>
      <c r="B839">
        <v>177</v>
      </c>
      <c r="C839">
        <v>179</v>
      </c>
      <c r="D839">
        <v>176</v>
      </c>
      <c r="E839">
        <v>179</v>
      </c>
      <c r="F839">
        <v>869600</v>
      </c>
    </row>
    <row r="840" spans="1:6">
      <c r="A840" s="32">
        <v>42586</v>
      </c>
      <c r="B840">
        <v>176.5</v>
      </c>
      <c r="C840">
        <v>178</v>
      </c>
      <c r="D840">
        <v>175.5</v>
      </c>
      <c r="E840">
        <v>175.5</v>
      </c>
      <c r="F840">
        <v>1209500</v>
      </c>
    </row>
    <row r="841" spans="1:6">
      <c r="A841" s="32">
        <v>42585</v>
      </c>
      <c r="B841">
        <v>174.5</v>
      </c>
      <c r="C841">
        <v>177.5</v>
      </c>
      <c r="D841">
        <v>174.5</v>
      </c>
      <c r="E841">
        <v>176.5</v>
      </c>
      <c r="F841">
        <v>865100</v>
      </c>
    </row>
    <row r="842" spans="1:6">
      <c r="A842" s="32">
        <v>42584</v>
      </c>
      <c r="B842">
        <v>175.5</v>
      </c>
      <c r="C842">
        <v>177</v>
      </c>
      <c r="D842">
        <v>175</v>
      </c>
      <c r="E842">
        <v>175.5</v>
      </c>
      <c r="F842">
        <v>2412500</v>
      </c>
    </row>
    <row r="843" spans="1:6">
      <c r="A843" s="32">
        <v>42583</v>
      </c>
      <c r="B843">
        <v>182.5</v>
      </c>
      <c r="C843">
        <v>183.5</v>
      </c>
      <c r="D843">
        <v>177</v>
      </c>
      <c r="E843">
        <v>177.5</v>
      </c>
      <c r="F843">
        <v>5057600</v>
      </c>
    </row>
    <row r="844" spans="1:6">
      <c r="A844" s="32">
        <v>42580</v>
      </c>
      <c r="B844">
        <v>186.5</v>
      </c>
      <c r="C844">
        <v>187</v>
      </c>
      <c r="D844">
        <v>184</v>
      </c>
      <c r="E844">
        <v>184</v>
      </c>
      <c r="F844">
        <v>907900</v>
      </c>
    </row>
    <row r="845" spans="1:6">
      <c r="A845" s="32">
        <v>42579</v>
      </c>
      <c r="B845">
        <v>187</v>
      </c>
      <c r="C845">
        <v>187</v>
      </c>
      <c r="D845">
        <v>185</v>
      </c>
      <c r="E845">
        <v>186.5</v>
      </c>
      <c r="F845">
        <v>1003300</v>
      </c>
    </row>
    <row r="846" spans="1:6">
      <c r="A846" s="32">
        <v>42578</v>
      </c>
      <c r="B846">
        <v>185.5</v>
      </c>
      <c r="C846">
        <v>188.5</v>
      </c>
      <c r="D846">
        <v>185.5</v>
      </c>
      <c r="E846">
        <v>186.5</v>
      </c>
      <c r="F846">
        <v>639900</v>
      </c>
    </row>
    <row r="847" spans="1:6">
      <c r="A847" s="32">
        <v>42577</v>
      </c>
      <c r="B847">
        <v>187.5</v>
      </c>
      <c r="C847">
        <v>188.5</v>
      </c>
      <c r="D847">
        <v>185.5</v>
      </c>
      <c r="E847">
        <v>185.5</v>
      </c>
      <c r="F847">
        <v>791000</v>
      </c>
    </row>
    <row r="848" spans="1:6">
      <c r="A848" s="32">
        <v>42576</v>
      </c>
      <c r="B848">
        <v>190</v>
      </c>
      <c r="C848">
        <v>190</v>
      </c>
      <c r="D848">
        <v>187.5</v>
      </c>
      <c r="E848">
        <v>187.5</v>
      </c>
      <c r="F848">
        <v>1284600</v>
      </c>
    </row>
    <row r="849" spans="1:6">
      <c r="A849" s="32">
        <v>42573</v>
      </c>
      <c r="B849">
        <v>191</v>
      </c>
      <c r="C849">
        <v>192</v>
      </c>
      <c r="D849">
        <v>189</v>
      </c>
      <c r="E849">
        <v>190.5</v>
      </c>
      <c r="F849">
        <v>912400</v>
      </c>
    </row>
    <row r="850" spans="1:6">
      <c r="A850" s="32">
        <v>42572</v>
      </c>
      <c r="B850">
        <v>188</v>
      </c>
      <c r="C850">
        <v>193</v>
      </c>
      <c r="D850">
        <v>187.5</v>
      </c>
      <c r="E850">
        <v>191.5</v>
      </c>
      <c r="F850">
        <v>2507600</v>
      </c>
    </row>
    <row r="851" spans="1:6">
      <c r="A851" s="32">
        <v>42571</v>
      </c>
      <c r="B851">
        <v>182.5</v>
      </c>
      <c r="C851">
        <v>187.5</v>
      </c>
      <c r="D851">
        <v>182</v>
      </c>
      <c r="E851">
        <v>187</v>
      </c>
      <c r="F851">
        <v>2421800</v>
      </c>
    </row>
    <row r="852" spans="1:6">
      <c r="A852" s="32">
        <v>42566</v>
      </c>
      <c r="B852">
        <v>182</v>
      </c>
      <c r="C852">
        <v>183</v>
      </c>
      <c r="D852">
        <v>181.5</v>
      </c>
      <c r="E852">
        <v>182.5</v>
      </c>
      <c r="F852">
        <v>1174900</v>
      </c>
    </row>
    <row r="853" spans="1:6">
      <c r="A853" s="32">
        <v>42565</v>
      </c>
      <c r="B853">
        <v>180.5</v>
      </c>
      <c r="C853">
        <v>183</v>
      </c>
      <c r="D853">
        <v>180</v>
      </c>
      <c r="E853">
        <v>182</v>
      </c>
      <c r="F853">
        <v>1456900</v>
      </c>
    </row>
    <row r="854" spans="1:6">
      <c r="A854" s="32">
        <v>42564</v>
      </c>
      <c r="B854">
        <v>182.5</v>
      </c>
      <c r="C854">
        <v>183</v>
      </c>
      <c r="D854">
        <v>180.5</v>
      </c>
      <c r="E854">
        <v>181.5</v>
      </c>
      <c r="F854">
        <v>1999300</v>
      </c>
    </row>
    <row r="855" spans="1:6">
      <c r="A855" s="32">
        <v>42563</v>
      </c>
      <c r="B855">
        <v>184.5</v>
      </c>
      <c r="C855">
        <v>185</v>
      </c>
      <c r="D855">
        <v>182</v>
      </c>
      <c r="E855">
        <v>183</v>
      </c>
      <c r="F855">
        <v>1024500</v>
      </c>
    </row>
    <row r="856" spans="1:6">
      <c r="A856" s="32">
        <v>42562</v>
      </c>
      <c r="B856">
        <v>184</v>
      </c>
      <c r="C856">
        <v>185</v>
      </c>
      <c r="D856">
        <v>183</v>
      </c>
      <c r="E856">
        <v>184.5</v>
      </c>
      <c r="F856">
        <v>776400</v>
      </c>
    </row>
    <row r="857" spans="1:6">
      <c r="A857" s="32">
        <v>42559</v>
      </c>
      <c r="B857">
        <v>183.5</v>
      </c>
      <c r="C857">
        <v>183.5</v>
      </c>
      <c r="D857">
        <v>182</v>
      </c>
      <c r="E857">
        <v>182.5</v>
      </c>
      <c r="F857">
        <v>423300</v>
      </c>
    </row>
    <row r="858" spans="1:6">
      <c r="A858" s="32">
        <v>42558</v>
      </c>
      <c r="B858">
        <v>184</v>
      </c>
      <c r="C858">
        <v>184</v>
      </c>
      <c r="D858">
        <v>182.5</v>
      </c>
      <c r="E858">
        <v>183</v>
      </c>
      <c r="F858">
        <v>781200</v>
      </c>
    </row>
    <row r="859" spans="1:6">
      <c r="A859" s="32">
        <v>42557</v>
      </c>
      <c r="B859">
        <v>183.5</v>
      </c>
      <c r="C859">
        <v>184.5</v>
      </c>
      <c r="D859">
        <v>182.5</v>
      </c>
      <c r="E859">
        <v>183</v>
      </c>
      <c r="F859">
        <v>1264000</v>
      </c>
    </row>
    <row r="860" spans="1:6">
      <c r="A860" s="32">
        <v>42556</v>
      </c>
      <c r="B860">
        <v>186.5</v>
      </c>
      <c r="C860">
        <v>186.5</v>
      </c>
      <c r="D860">
        <v>184</v>
      </c>
      <c r="E860">
        <v>185</v>
      </c>
      <c r="F860">
        <v>666600</v>
      </c>
    </row>
    <row r="861" spans="1:6">
      <c r="A861" s="32">
        <v>42555</v>
      </c>
      <c r="B861">
        <v>183.5</v>
      </c>
      <c r="C861">
        <v>188</v>
      </c>
      <c r="D861">
        <v>182.5</v>
      </c>
      <c r="E861">
        <v>186.5</v>
      </c>
      <c r="F861">
        <v>1436900</v>
      </c>
    </row>
    <row r="862" spans="1:6">
      <c r="A862" s="32">
        <v>42551</v>
      </c>
      <c r="B862">
        <v>184</v>
      </c>
      <c r="C862">
        <v>184.5</v>
      </c>
      <c r="D862">
        <v>182.5</v>
      </c>
      <c r="E862">
        <v>182.5</v>
      </c>
      <c r="F862">
        <v>1339400</v>
      </c>
    </row>
    <row r="863" spans="1:6">
      <c r="A863" s="32">
        <v>42550</v>
      </c>
      <c r="B863">
        <v>183.5</v>
      </c>
      <c r="C863">
        <v>185</v>
      </c>
      <c r="D863">
        <v>182</v>
      </c>
      <c r="E863">
        <v>183</v>
      </c>
      <c r="F863">
        <v>1242600</v>
      </c>
    </row>
    <row r="864" spans="1:6">
      <c r="A864" s="32">
        <v>42549</v>
      </c>
      <c r="B864">
        <v>182</v>
      </c>
      <c r="C864">
        <v>183.5</v>
      </c>
      <c r="D864">
        <v>181.5</v>
      </c>
      <c r="E864">
        <v>183</v>
      </c>
      <c r="F864">
        <v>701400</v>
      </c>
    </row>
    <row r="865" spans="1:6">
      <c r="A865" s="32">
        <v>42548</v>
      </c>
      <c r="B865">
        <v>181.5</v>
      </c>
      <c r="C865">
        <v>183.5</v>
      </c>
      <c r="D865">
        <v>180.5</v>
      </c>
      <c r="E865">
        <v>183</v>
      </c>
      <c r="F865">
        <v>809800</v>
      </c>
    </row>
    <row r="866" spans="1:6">
      <c r="A866" s="32">
        <v>42545</v>
      </c>
      <c r="B866">
        <v>181</v>
      </c>
      <c r="C866">
        <v>182.5</v>
      </c>
      <c r="D866">
        <v>179</v>
      </c>
      <c r="E866">
        <v>182.5</v>
      </c>
      <c r="F866">
        <v>1636800</v>
      </c>
    </row>
    <row r="867" spans="1:6">
      <c r="A867" s="32">
        <v>42544</v>
      </c>
      <c r="B867">
        <v>183</v>
      </c>
      <c r="C867">
        <v>184</v>
      </c>
      <c r="D867">
        <v>182</v>
      </c>
      <c r="E867">
        <v>184</v>
      </c>
      <c r="F867">
        <v>770100</v>
      </c>
    </row>
    <row r="868" spans="1:6">
      <c r="A868" s="32">
        <v>42543</v>
      </c>
      <c r="B868">
        <v>183.5</v>
      </c>
      <c r="C868">
        <v>184.5</v>
      </c>
      <c r="D868">
        <v>181</v>
      </c>
      <c r="E868">
        <v>181.5</v>
      </c>
      <c r="F868">
        <v>826000</v>
      </c>
    </row>
    <row r="869" spans="1:6">
      <c r="A869" s="32">
        <v>42542</v>
      </c>
      <c r="B869">
        <v>181</v>
      </c>
      <c r="C869">
        <v>185.5</v>
      </c>
      <c r="D869">
        <v>180.5</v>
      </c>
      <c r="E869">
        <v>183</v>
      </c>
      <c r="F869">
        <v>1696700</v>
      </c>
    </row>
    <row r="870" spans="1:6">
      <c r="A870" s="32">
        <v>42541</v>
      </c>
      <c r="B870">
        <v>183</v>
      </c>
      <c r="C870">
        <v>183.5</v>
      </c>
      <c r="D870">
        <v>180.5</v>
      </c>
      <c r="E870">
        <v>181</v>
      </c>
      <c r="F870">
        <v>1052900</v>
      </c>
    </row>
    <row r="871" spans="1:6">
      <c r="A871" s="32">
        <v>42538</v>
      </c>
      <c r="B871">
        <v>182.5</v>
      </c>
      <c r="C871">
        <v>184.5</v>
      </c>
      <c r="D871">
        <v>182.5</v>
      </c>
      <c r="E871">
        <v>183</v>
      </c>
      <c r="F871">
        <v>1236500</v>
      </c>
    </row>
    <row r="872" spans="1:6">
      <c r="A872" s="32">
        <v>42537</v>
      </c>
      <c r="B872">
        <v>186.5</v>
      </c>
      <c r="C872">
        <v>187</v>
      </c>
      <c r="D872">
        <v>182</v>
      </c>
      <c r="E872">
        <v>182.5</v>
      </c>
      <c r="F872">
        <v>849100</v>
      </c>
    </row>
    <row r="873" spans="1:6">
      <c r="A873" s="32">
        <v>42536</v>
      </c>
      <c r="B873">
        <v>186</v>
      </c>
      <c r="C873">
        <v>187</v>
      </c>
      <c r="D873">
        <v>184.5</v>
      </c>
      <c r="E873">
        <v>186.5</v>
      </c>
      <c r="F873">
        <v>1057300</v>
      </c>
    </row>
    <row r="874" spans="1:6">
      <c r="A874" s="32">
        <v>42535</v>
      </c>
      <c r="B874">
        <v>185</v>
      </c>
      <c r="C874">
        <v>186.5</v>
      </c>
      <c r="D874">
        <v>184</v>
      </c>
      <c r="E874">
        <v>185</v>
      </c>
      <c r="F874">
        <v>755100</v>
      </c>
    </row>
    <row r="875" spans="1:6">
      <c r="A875" s="32">
        <v>42534</v>
      </c>
      <c r="B875">
        <v>186.5</v>
      </c>
      <c r="C875">
        <v>187</v>
      </c>
      <c r="D875">
        <v>184</v>
      </c>
      <c r="E875">
        <v>185</v>
      </c>
      <c r="F875">
        <v>1671600</v>
      </c>
    </row>
    <row r="876" spans="1:6">
      <c r="A876" s="32">
        <v>42531</v>
      </c>
      <c r="B876">
        <v>188</v>
      </c>
      <c r="C876">
        <v>188</v>
      </c>
      <c r="D876">
        <v>186</v>
      </c>
      <c r="E876">
        <v>187</v>
      </c>
      <c r="F876">
        <v>1143600</v>
      </c>
    </row>
    <row r="877" spans="1:6">
      <c r="A877" s="32">
        <v>42530</v>
      </c>
      <c r="B877">
        <v>190</v>
      </c>
      <c r="C877">
        <v>191.5</v>
      </c>
      <c r="D877">
        <v>188</v>
      </c>
      <c r="E877">
        <v>188</v>
      </c>
      <c r="F877">
        <v>1565300</v>
      </c>
    </row>
    <row r="878" spans="1:6">
      <c r="A878" s="32">
        <v>42529</v>
      </c>
      <c r="B878">
        <v>194</v>
      </c>
      <c r="C878">
        <v>194</v>
      </c>
      <c r="D878">
        <v>191</v>
      </c>
      <c r="E878">
        <v>192.5</v>
      </c>
      <c r="F878">
        <v>891900</v>
      </c>
    </row>
    <row r="879" spans="1:6">
      <c r="A879" s="32">
        <v>42528</v>
      </c>
      <c r="B879">
        <v>192.5</v>
      </c>
      <c r="C879">
        <v>195</v>
      </c>
      <c r="D879">
        <v>192.5</v>
      </c>
      <c r="E879">
        <v>194.5</v>
      </c>
      <c r="F879">
        <v>1570500</v>
      </c>
    </row>
    <row r="880" spans="1:6">
      <c r="A880" s="32">
        <v>42527</v>
      </c>
      <c r="B880">
        <v>194</v>
      </c>
      <c r="C880">
        <v>194.5</v>
      </c>
      <c r="D880">
        <v>192</v>
      </c>
      <c r="E880">
        <v>192.5</v>
      </c>
      <c r="F880">
        <v>614600</v>
      </c>
    </row>
    <row r="881" spans="1:6">
      <c r="A881" s="32">
        <v>42524</v>
      </c>
      <c r="B881">
        <v>190</v>
      </c>
      <c r="C881">
        <v>193.5</v>
      </c>
      <c r="D881">
        <v>189</v>
      </c>
      <c r="E881">
        <v>193.5</v>
      </c>
      <c r="F881">
        <v>2101900</v>
      </c>
    </row>
    <row r="882" spans="1:6">
      <c r="A882" s="32">
        <v>42523</v>
      </c>
      <c r="B882">
        <v>193</v>
      </c>
      <c r="C882">
        <v>194</v>
      </c>
      <c r="D882">
        <v>189</v>
      </c>
      <c r="E882">
        <v>189</v>
      </c>
      <c r="F882">
        <v>2031300</v>
      </c>
    </row>
    <row r="883" spans="1:6">
      <c r="A883" s="32">
        <v>42522</v>
      </c>
      <c r="B883">
        <v>196</v>
      </c>
      <c r="C883">
        <v>196.5</v>
      </c>
      <c r="D883">
        <v>191.5</v>
      </c>
      <c r="E883">
        <v>193</v>
      </c>
      <c r="F883">
        <v>1419700</v>
      </c>
    </row>
    <row r="884" spans="1:6">
      <c r="A884" s="32">
        <v>42521</v>
      </c>
      <c r="B884">
        <v>193.5</v>
      </c>
      <c r="C884">
        <v>197</v>
      </c>
      <c r="D884">
        <v>191.5</v>
      </c>
      <c r="E884">
        <v>197</v>
      </c>
      <c r="F884">
        <v>6222000</v>
      </c>
    </row>
    <row r="885" spans="1:6">
      <c r="A885" s="32">
        <v>42520</v>
      </c>
      <c r="B885">
        <v>193.5</v>
      </c>
      <c r="C885">
        <v>195</v>
      </c>
      <c r="D885">
        <v>191.5</v>
      </c>
      <c r="E885">
        <v>193.5</v>
      </c>
      <c r="F885">
        <v>1268100</v>
      </c>
    </row>
    <row r="886" spans="1:6">
      <c r="A886" s="32">
        <v>42517</v>
      </c>
      <c r="B886">
        <v>189</v>
      </c>
      <c r="C886">
        <v>192</v>
      </c>
      <c r="D886">
        <v>189</v>
      </c>
      <c r="E886">
        <v>191.5</v>
      </c>
      <c r="F886">
        <v>1797600</v>
      </c>
    </row>
    <row r="887" spans="1:6">
      <c r="A887" s="32">
        <v>42516</v>
      </c>
      <c r="B887">
        <v>190.5</v>
      </c>
      <c r="C887">
        <v>190.5</v>
      </c>
      <c r="D887">
        <v>188</v>
      </c>
      <c r="E887">
        <v>189</v>
      </c>
      <c r="F887">
        <v>973400</v>
      </c>
    </row>
    <row r="888" spans="1:6">
      <c r="A888" s="32">
        <v>42515</v>
      </c>
      <c r="B888">
        <v>189</v>
      </c>
      <c r="C888">
        <v>191</v>
      </c>
      <c r="D888">
        <v>189</v>
      </c>
      <c r="E888">
        <v>189.5</v>
      </c>
      <c r="F888">
        <v>1349900</v>
      </c>
    </row>
    <row r="889" spans="1:6">
      <c r="A889" s="32">
        <v>42514</v>
      </c>
      <c r="B889">
        <v>189</v>
      </c>
      <c r="C889">
        <v>191</v>
      </c>
      <c r="D889">
        <v>186</v>
      </c>
      <c r="E889">
        <v>188</v>
      </c>
      <c r="F889">
        <v>1972200</v>
      </c>
    </row>
    <row r="890" spans="1:6">
      <c r="A890" s="32">
        <v>42513</v>
      </c>
      <c r="B890">
        <v>187</v>
      </c>
      <c r="C890">
        <v>191</v>
      </c>
      <c r="D890">
        <v>187</v>
      </c>
      <c r="E890">
        <v>189</v>
      </c>
      <c r="F890">
        <v>3909300</v>
      </c>
    </row>
    <row r="891" spans="1:6">
      <c r="A891" s="32">
        <v>42509</v>
      </c>
      <c r="B891">
        <v>191.5</v>
      </c>
      <c r="C891">
        <v>191.5</v>
      </c>
      <c r="D891">
        <v>184</v>
      </c>
      <c r="E891">
        <v>186.5</v>
      </c>
      <c r="F891">
        <v>3342600</v>
      </c>
    </row>
    <row r="892" spans="1:6">
      <c r="A892" s="32">
        <v>42508</v>
      </c>
      <c r="B892">
        <v>194.5</v>
      </c>
      <c r="C892">
        <v>195</v>
      </c>
      <c r="D892">
        <v>190</v>
      </c>
      <c r="E892">
        <v>192</v>
      </c>
      <c r="F892">
        <v>2084500</v>
      </c>
    </row>
    <row r="893" spans="1:6">
      <c r="A893" s="32">
        <v>42507</v>
      </c>
      <c r="B893">
        <v>197.5</v>
      </c>
      <c r="C893">
        <v>198</v>
      </c>
      <c r="D893">
        <v>194</v>
      </c>
      <c r="E893">
        <v>194.5</v>
      </c>
      <c r="F893">
        <v>1995400</v>
      </c>
    </row>
    <row r="894" spans="1:6">
      <c r="A894" s="32">
        <v>42506</v>
      </c>
      <c r="B894">
        <v>197.5</v>
      </c>
      <c r="C894">
        <v>199</v>
      </c>
      <c r="D894">
        <v>196.5</v>
      </c>
      <c r="E894">
        <v>196.5</v>
      </c>
      <c r="F894">
        <v>699100</v>
      </c>
    </row>
    <row r="895" spans="1:6">
      <c r="A895" s="32">
        <v>42503</v>
      </c>
      <c r="B895">
        <v>199</v>
      </c>
      <c r="C895">
        <v>199.5</v>
      </c>
      <c r="D895">
        <v>197</v>
      </c>
      <c r="E895">
        <v>197</v>
      </c>
      <c r="F895">
        <v>2481500</v>
      </c>
    </row>
    <row r="896" spans="1:6">
      <c r="A896" s="32">
        <v>42502</v>
      </c>
      <c r="B896">
        <v>198</v>
      </c>
      <c r="C896">
        <v>200</v>
      </c>
      <c r="D896">
        <v>197.5</v>
      </c>
      <c r="E896">
        <v>199.5</v>
      </c>
      <c r="F896">
        <v>1100400</v>
      </c>
    </row>
    <row r="897" spans="1:6">
      <c r="A897" s="32">
        <v>42501</v>
      </c>
      <c r="B897">
        <v>201</v>
      </c>
      <c r="C897">
        <v>202</v>
      </c>
      <c r="D897">
        <v>198.5</v>
      </c>
      <c r="E897">
        <v>198.5</v>
      </c>
      <c r="F897">
        <v>1582800</v>
      </c>
    </row>
    <row r="898" spans="1:6">
      <c r="A898" s="32">
        <v>42500</v>
      </c>
      <c r="B898">
        <v>203</v>
      </c>
      <c r="C898">
        <v>204</v>
      </c>
      <c r="D898">
        <v>201</v>
      </c>
      <c r="E898">
        <v>201</v>
      </c>
      <c r="F898">
        <v>1525500</v>
      </c>
    </row>
    <row r="899" spans="1:6">
      <c r="A899" s="32">
        <v>42499</v>
      </c>
      <c r="B899">
        <v>201</v>
      </c>
      <c r="C899">
        <v>204</v>
      </c>
      <c r="D899">
        <v>200</v>
      </c>
      <c r="E899">
        <v>204</v>
      </c>
      <c r="F899">
        <v>1526000</v>
      </c>
    </row>
    <row r="900" spans="1:6">
      <c r="A900" s="32">
        <v>42494</v>
      </c>
      <c r="B900">
        <v>200</v>
      </c>
      <c r="C900">
        <v>201</v>
      </c>
      <c r="D900">
        <v>200</v>
      </c>
      <c r="E900">
        <v>201</v>
      </c>
      <c r="F900">
        <v>625100</v>
      </c>
    </row>
    <row r="901" spans="1:6">
      <c r="A901" s="32">
        <v>42493</v>
      </c>
      <c r="B901">
        <v>202</v>
      </c>
      <c r="C901">
        <v>203</v>
      </c>
      <c r="D901">
        <v>199.5</v>
      </c>
      <c r="E901">
        <v>201</v>
      </c>
      <c r="F901">
        <v>1338100</v>
      </c>
    </row>
    <row r="902" spans="1:6">
      <c r="A902" s="32">
        <v>42489</v>
      </c>
      <c r="B902">
        <v>200</v>
      </c>
      <c r="C902">
        <v>203</v>
      </c>
      <c r="D902">
        <v>199</v>
      </c>
      <c r="E902">
        <v>203</v>
      </c>
      <c r="F902">
        <v>2184700</v>
      </c>
    </row>
    <row r="903" spans="1:6">
      <c r="A903" s="32">
        <v>42488</v>
      </c>
      <c r="B903">
        <v>204</v>
      </c>
      <c r="C903">
        <v>204</v>
      </c>
      <c r="D903">
        <v>200</v>
      </c>
      <c r="E903">
        <v>201</v>
      </c>
      <c r="F903">
        <v>1348800</v>
      </c>
    </row>
    <row r="904" spans="1:6">
      <c r="A904" s="32">
        <v>42487</v>
      </c>
      <c r="B904">
        <v>204</v>
      </c>
      <c r="C904">
        <v>205</v>
      </c>
      <c r="D904">
        <v>201</v>
      </c>
      <c r="E904">
        <v>204</v>
      </c>
      <c r="F904">
        <v>897000</v>
      </c>
    </row>
    <row r="905" spans="1:6">
      <c r="A905" s="32">
        <v>42486</v>
      </c>
      <c r="B905">
        <v>202</v>
      </c>
      <c r="C905">
        <v>206</v>
      </c>
      <c r="D905">
        <v>202</v>
      </c>
      <c r="E905">
        <v>204</v>
      </c>
      <c r="F905">
        <v>949900</v>
      </c>
    </row>
    <row r="906" spans="1:6">
      <c r="A906" s="32">
        <v>42485</v>
      </c>
      <c r="B906">
        <v>203</v>
      </c>
      <c r="C906">
        <v>204</v>
      </c>
      <c r="D906">
        <v>201</v>
      </c>
      <c r="E906">
        <v>201</v>
      </c>
      <c r="F906">
        <v>1609500</v>
      </c>
    </row>
    <row r="907" spans="1:6">
      <c r="A907" s="32">
        <v>42482</v>
      </c>
      <c r="B907">
        <v>208</v>
      </c>
      <c r="C907">
        <v>209</v>
      </c>
      <c r="D907">
        <v>204</v>
      </c>
      <c r="E907">
        <v>204</v>
      </c>
      <c r="F907">
        <v>1658000</v>
      </c>
    </row>
    <row r="908" spans="1:6">
      <c r="A908" s="32">
        <v>42481</v>
      </c>
      <c r="B908">
        <v>209</v>
      </c>
      <c r="C908">
        <v>209</v>
      </c>
      <c r="D908">
        <v>207</v>
      </c>
      <c r="E908">
        <v>208</v>
      </c>
      <c r="F908">
        <v>652300</v>
      </c>
    </row>
    <row r="909" spans="1:6">
      <c r="A909" s="32">
        <v>42480</v>
      </c>
      <c r="B909">
        <v>210</v>
      </c>
      <c r="C909">
        <v>210</v>
      </c>
      <c r="D909">
        <v>205</v>
      </c>
      <c r="E909">
        <v>207</v>
      </c>
      <c r="F909">
        <v>1853100</v>
      </c>
    </row>
    <row r="910" spans="1:6">
      <c r="A910" s="32">
        <v>42479</v>
      </c>
      <c r="B910">
        <v>204</v>
      </c>
      <c r="C910">
        <v>212</v>
      </c>
      <c r="D910">
        <v>204</v>
      </c>
      <c r="E910">
        <v>210</v>
      </c>
      <c r="F910">
        <v>3670000</v>
      </c>
    </row>
    <row r="911" spans="1:6">
      <c r="A911" s="32">
        <v>42478</v>
      </c>
      <c r="B911">
        <v>204</v>
      </c>
      <c r="C911">
        <v>205</v>
      </c>
      <c r="D911">
        <v>202</v>
      </c>
      <c r="E911">
        <v>204</v>
      </c>
      <c r="F911">
        <v>1898700</v>
      </c>
    </row>
    <row r="912" spans="1:6">
      <c r="A912" s="32">
        <v>42472</v>
      </c>
      <c r="B912">
        <v>199.5</v>
      </c>
      <c r="C912">
        <v>204</v>
      </c>
      <c r="D912">
        <v>199</v>
      </c>
      <c r="E912">
        <v>201</v>
      </c>
      <c r="F912">
        <v>1369300</v>
      </c>
    </row>
    <row r="913" spans="1:6">
      <c r="A913" s="32">
        <v>42471</v>
      </c>
      <c r="B913">
        <v>198.5</v>
      </c>
      <c r="C913">
        <v>201</v>
      </c>
      <c r="D913">
        <v>198</v>
      </c>
      <c r="E913">
        <v>199.5</v>
      </c>
      <c r="F913">
        <v>2410300</v>
      </c>
    </row>
    <row r="914" spans="1:6">
      <c r="A914" s="32">
        <v>42468</v>
      </c>
      <c r="B914">
        <v>206</v>
      </c>
      <c r="C914">
        <v>206</v>
      </c>
      <c r="D914">
        <v>197.5</v>
      </c>
      <c r="E914">
        <v>198.5</v>
      </c>
      <c r="F914">
        <v>6081200</v>
      </c>
    </row>
    <row r="915" spans="1:6">
      <c r="A915" s="32">
        <v>42467</v>
      </c>
      <c r="B915">
        <v>207</v>
      </c>
      <c r="C915">
        <v>209</v>
      </c>
      <c r="D915">
        <v>205</v>
      </c>
      <c r="E915">
        <v>205</v>
      </c>
      <c r="F915">
        <v>2055700</v>
      </c>
    </row>
    <row r="916" spans="1:6">
      <c r="A916" s="32">
        <v>42465</v>
      </c>
      <c r="B916">
        <v>206</v>
      </c>
      <c r="C916">
        <v>209</v>
      </c>
      <c r="D916">
        <v>206</v>
      </c>
      <c r="E916">
        <v>207</v>
      </c>
      <c r="F916">
        <v>1817100</v>
      </c>
    </row>
    <row r="917" spans="1:6">
      <c r="A917" s="32">
        <v>42464</v>
      </c>
      <c r="B917">
        <v>208</v>
      </c>
      <c r="C917">
        <v>210</v>
      </c>
      <c r="D917">
        <v>206</v>
      </c>
      <c r="E917">
        <v>207</v>
      </c>
      <c r="F917">
        <v>1185100</v>
      </c>
    </row>
    <row r="918" spans="1:6">
      <c r="A918" s="32">
        <v>42461</v>
      </c>
      <c r="B918">
        <v>210</v>
      </c>
      <c r="C918">
        <v>210</v>
      </c>
      <c r="D918">
        <v>206</v>
      </c>
      <c r="E918">
        <v>208</v>
      </c>
      <c r="F918">
        <v>2795700</v>
      </c>
    </row>
    <row r="919" spans="1:6">
      <c r="A919" s="32">
        <v>42460</v>
      </c>
      <c r="B919">
        <v>211</v>
      </c>
      <c r="C919">
        <v>212</v>
      </c>
      <c r="D919">
        <v>209</v>
      </c>
      <c r="E919">
        <v>212</v>
      </c>
      <c r="F919">
        <v>1692200</v>
      </c>
    </row>
    <row r="920" spans="1:6">
      <c r="A920" s="32">
        <v>42459</v>
      </c>
      <c r="B920">
        <v>208</v>
      </c>
      <c r="C920">
        <v>212</v>
      </c>
      <c r="D920">
        <v>208</v>
      </c>
      <c r="E920">
        <v>211</v>
      </c>
      <c r="F920">
        <v>3850500</v>
      </c>
    </row>
    <row r="921" spans="1:6">
      <c r="A921" s="32">
        <v>42458</v>
      </c>
      <c r="B921">
        <v>205</v>
      </c>
      <c r="C921">
        <v>209</v>
      </c>
      <c r="D921">
        <v>205</v>
      </c>
      <c r="E921">
        <v>207</v>
      </c>
      <c r="F921">
        <v>1234100</v>
      </c>
    </row>
    <row r="922" spans="1:6">
      <c r="A922" s="32">
        <v>42457</v>
      </c>
      <c r="B922">
        <v>209</v>
      </c>
      <c r="C922">
        <v>210</v>
      </c>
      <c r="D922">
        <v>204</v>
      </c>
      <c r="E922">
        <v>205</v>
      </c>
      <c r="F922">
        <v>3691600</v>
      </c>
    </row>
    <row r="923" spans="1:6">
      <c r="A923" s="32">
        <v>42454</v>
      </c>
      <c r="B923">
        <v>213</v>
      </c>
      <c r="C923">
        <v>214</v>
      </c>
      <c r="D923">
        <v>207</v>
      </c>
      <c r="E923">
        <v>208</v>
      </c>
      <c r="F923">
        <v>2951300</v>
      </c>
    </row>
    <row r="924" spans="1:6">
      <c r="A924" s="32">
        <v>42453</v>
      </c>
      <c r="B924">
        <v>211</v>
      </c>
      <c r="C924">
        <v>215</v>
      </c>
      <c r="D924">
        <v>210</v>
      </c>
      <c r="E924">
        <v>214</v>
      </c>
      <c r="F924">
        <v>2950000</v>
      </c>
    </row>
    <row r="925" spans="1:6">
      <c r="A925" s="32">
        <v>42452</v>
      </c>
      <c r="B925">
        <v>209</v>
      </c>
      <c r="C925">
        <v>212</v>
      </c>
      <c r="D925">
        <v>207</v>
      </c>
      <c r="E925">
        <v>211</v>
      </c>
      <c r="F925">
        <v>1705900</v>
      </c>
    </row>
    <row r="926" spans="1:6">
      <c r="A926" s="32">
        <v>42451</v>
      </c>
      <c r="B926">
        <v>210</v>
      </c>
      <c r="C926">
        <v>210</v>
      </c>
      <c r="D926">
        <v>207</v>
      </c>
      <c r="E926">
        <v>209</v>
      </c>
      <c r="F926">
        <v>1241600</v>
      </c>
    </row>
    <row r="927" spans="1:6">
      <c r="A927" s="32">
        <v>42450</v>
      </c>
      <c r="B927">
        <v>212</v>
      </c>
      <c r="C927">
        <v>214</v>
      </c>
      <c r="D927">
        <v>209</v>
      </c>
      <c r="E927">
        <v>210</v>
      </c>
      <c r="F927">
        <v>2483800</v>
      </c>
    </row>
    <row r="928" spans="1:6">
      <c r="A928" s="32">
        <v>42447</v>
      </c>
      <c r="B928">
        <v>207</v>
      </c>
      <c r="C928">
        <v>210</v>
      </c>
      <c r="D928">
        <v>207</v>
      </c>
      <c r="E928">
        <v>210</v>
      </c>
      <c r="F928">
        <v>1850300</v>
      </c>
    </row>
    <row r="929" spans="1:6">
      <c r="A929" s="32">
        <v>42446</v>
      </c>
      <c r="B929">
        <v>210</v>
      </c>
      <c r="C929">
        <v>211</v>
      </c>
      <c r="D929">
        <v>205</v>
      </c>
      <c r="E929">
        <v>206</v>
      </c>
      <c r="F929">
        <v>3260900</v>
      </c>
    </row>
    <row r="930" spans="1:6">
      <c r="A930" s="32">
        <v>42445</v>
      </c>
      <c r="B930">
        <v>209</v>
      </c>
      <c r="C930">
        <v>212</v>
      </c>
      <c r="D930">
        <v>208</v>
      </c>
      <c r="E930">
        <v>211</v>
      </c>
      <c r="F930">
        <v>1611900</v>
      </c>
    </row>
    <row r="931" spans="1:6">
      <c r="A931" s="32">
        <v>42444</v>
      </c>
      <c r="B931">
        <v>210</v>
      </c>
      <c r="C931">
        <v>212</v>
      </c>
      <c r="D931">
        <v>208</v>
      </c>
      <c r="E931">
        <v>208</v>
      </c>
      <c r="F931">
        <v>2094400</v>
      </c>
    </row>
    <row r="932" spans="1:6">
      <c r="A932" s="32">
        <v>42443</v>
      </c>
      <c r="B932">
        <v>211</v>
      </c>
      <c r="C932">
        <v>214</v>
      </c>
      <c r="D932">
        <v>210</v>
      </c>
      <c r="E932">
        <v>213</v>
      </c>
      <c r="F932">
        <v>1550400</v>
      </c>
    </row>
    <row r="933" spans="1:6">
      <c r="A933" s="32">
        <v>42440</v>
      </c>
      <c r="B933">
        <v>206</v>
      </c>
      <c r="C933">
        <v>212</v>
      </c>
      <c r="D933">
        <v>206</v>
      </c>
      <c r="E933">
        <v>209</v>
      </c>
      <c r="F933">
        <v>1989400</v>
      </c>
    </row>
    <row r="934" spans="1:6">
      <c r="A934" s="32">
        <v>42439</v>
      </c>
      <c r="B934">
        <v>208</v>
      </c>
      <c r="C934">
        <v>208</v>
      </c>
      <c r="D934">
        <v>205</v>
      </c>
      <c r="E934">
        <v>206</v>
      </c>
      <c r="F934">
        <v>2504000</v>
      </c>
    </row>
    <row r="935" spans="1:6">
      <c r="A935" s="32">
        <v>42438</v>
      </c>
      <c r="B935">
        <v>206</v>
      </c>
      <c r="C935">
        <v>209</v>
      </c>
      <c r="D935">
        <v>205</v>
      </c>
      <c r="E935">
        <v>209</v>
      </c>
      <c r="F935">
        <v>4023000</v>
      </c>
    </row>
    <row r="936" spans="1:6">
      <c r="A936" s="32">
        <v>42437</v>
      </c>
      <c r="B936">
        <v>211</v>
      </c>
      <c r="C936">
        <v>212</v>
      </c>
      <c r="D936">
        <v>207</v>
      </c>
      <c r="E936">
        <v>208</v>
      </c>
      <c r="F936">
        <v>3898700</v>
      </c>
    </row>
    <row r="937" spans="1:6">
      <c r="A937" s="32">
        <v>42436</v>
      </c>
      <c r="B937">
        <v>213</v>
      </c>
      <c r="C937">
        <v>216</v>
      </c>
      <c r="D937">
        <v>213</v>
      </c>
      <c r="E937">
        <v>214</v>
      </c>
      <c r="F937">
        <v>1533700</v>
      </c>
    </row>
    <row r="938" spans="1:6">
      <c r="A938" s="32">
        <v>42433</v>
      </c>
      <c r="B938">
        <v>221</v>
      </c>
      <c r="C938">
        <v>221</v>
      </c>
      <c r="D938">
        <v>211</v>
      </c>
      <c r="E938">
        <v>212</v>
      </c>
      <c r="F938">
        <v>4708200</v>
      </c>
    </row>
    <row r="939" spans="1:6">
      <c r="A939" s="32">
        <v>42432</v>
      </c>
      <c r="B939">
        <v>230</v>
      </c>
      <c r="C939">
        <v>231</v>
      </c>
      <c r="D939">
        <v>221</v>
      </c>
      <c r="E939">
        <v>224</v>
      </c>
      <c r="F939">
        <v>2078300</v>
      </c>
    </row>
    <row r="940" spans="1:6">
      <c r="A940" s="32">
        <v>42431</v>
      </c>
      <c r="B940">
        <v>221</v>
      </c>
      <c r="C940">
        <v>230</v>
      </c>
      <c r="D940">
        <v>220</v>
      </c>
      <c r="E940">
        <v>230</v>
      </c>
      <c r="F940">
        <v>3311400</v>
      </c>
    </row>
    <row r="941" spans="1:6">
      <c r="A941" s="32">
        <v>42430</v>
      </c>
      <c r="B941">
        <v>217</v>
      </c>
      <c r="C941">
        <v>220</v>
      </c>
      <c r="D941">
        <v>216</v>
      </c>
      <c r="E941">
        <v>219</v>
      </c>
      <c r="F941">
        <v>1472800</v>
      </c>
    </row>
    <row r="942" spans="1:6">
      <c r="A942" s="32">
        <v>42429</v>
      </c>
      <c r="B942">
        <v>217</v>
      </c>
      <c r="C942">
        <v>217</v>
      </c>
      <c r="D942">
        <v>214</v>
      </c>
      <c r="E942">
        <v>217</v>
      </c>
      <c r="F942">
        <v>1215600</v>
      </c>
    </row>
    <row r="943" spans="1:6">
      <c r="A943" s="32">
        <v>42426</v>
      </c>
      <c r="B943">
        <v>213</v>
      </c>
      <c r="C943">
        <v>219</v>
      </c>
      <c r="D943">
        <v>212</v>
      </c>
      <c r="E943">
        <v>217</v>
      </c>
      <c r="F943">
        <v>1829600</v>
      </c>
    </row>
    <row r="944" spans="1:6">
      <c r="A944" s="32">
        <v>42425</v>
      </c>
      <c r="B944">
        <v>211</v>
      </c>
      <c r="C944">
        <v>214</v>
      </c>
      <c r="D944">
        <v>210</v>
      </c>
      <c r="E944">
        <v>211</v>
      </c>
      <c r="F944">
        <v>1442800</v>
      </c>
    </row>
    <row r="945" spans="1:6">
      <c r="A945" s="32">
        <v>42424</v>
      </c>
      <c r="B945">
        <v>205</v>
      </c>
      <c r="C945">
        <v>211</v>
      </c>
      <c r="D945">
        <v>205</v>
      </c>
      <c r="E945">
        <v>209</v>
      </c>
      <c r="F945">
        <v>1350600</v>
      </c>
    </row>
    <row r="946" spans="1:6">
      <c r="A946" s="32">
        <v>42423</v>
      </c>
      <c r="B946">
        <v>212</v>
      </c>
      <c r="C946">
        <v>213</v>
      </c>
      <c r="D946">
        <v>207</v>
      </c>
      <c r="E946">
        <v>207</v>
      </c>
      <c r="F946">
        <v>3149900</v>
      </c>
    </row>
    <row r="947" spans="1:6">
      <c r="A947" s="32">
        <v>42419</v>
      </c>
      <c r="B947">
        <v>212</v>
      </c>
      <c r="C947">
        <v>215</v>
      </c>
      <c r="D947">
        <v>211</v>
      </c>
      <c r="E947">
        <v>215</v>
      </c>
      <c r="F947">
        <v>1389600</v>
      </c>
    </row>
    <row r="948" spans="1:6">
      <c r="A948" s="32">
        <v>42418</v>
      </c>
      <c r="B948">
        <v>208</v>
      </c>
      <c r="C948">
        <v>213</v>
      </c>
      <c r="D948">
        <v>208</v>
      </c>
      <c r="E948">
        <v>213</v>
      </c>
      <c r="F948">
        <v>2127300</v>
      </c>
    </row>
    <row r="949" spans="1:6">
      <c r="A949" s="32">
        <v>42417</v>
      </c>
      <c r="B949">
        <v>209</v>
      </c>
      <c r="C949">
        <v>210</v>
      </c>
      <c r="D949">
        <v>205</v>
      </c>
      <c r="E949">
        <v>207</v>
      </c>
      <c r="F949">
        <v>1427500</v>
      </c>
    </row>
    <row r="950" spans="1:6">
      <c r="A950" s="32">
        <v>42416</v>
      </c>
      <c r="B950">
        <v>213</v>
      </c>
      <c r="C950">
        <v>215</v>
      </c>
      <c r="D950">
        <v>209</v>
      </c>
      <c r="E950">
        <v>210</v>
      </c>
      <c r="F950">
        <v>1655000</v>
      </c>
    </row>
    <row r="951" spans="1:6">
      <c r="A951" s="32">
        <v>42415</v>
      </c>
      <c r="B951">
        <v>217</v>
      </c>
      <c r="C951">
        <v>218</v>
      </c>
      <c r="D951">
        <v>213</v>
      </c>
      <c r="E951">
        <v>214</v>
      </c>
      <c r="F951">
        <v>1090100</v>
      </c>
    </row>
    <row r="952" spans="1:6">
      <c r="A952" s="32">
        <v>42412</v>
      </c>
      <c r="B952">
        <v>218</v>
      </c>
      <c r="C952">
        <v>222</v>
      </c>
      <c r="D952">
        <v>216</v>
      </c>
      <c r="E952">
        <v>216</v>
      </c>
      <c r="F952">
        <v>1021100</v>
      </c>
    </row>
    <row r="953" spans="1:6">
      <c r="A953" s="32">
        <v>42411</v>
      </c>
      <c r="B953">
        <v>220</v>
      </c>
      <c r="C953">
        <v>225</v>
      </c>
      <c r="D953">
        <v>219</v>
      </c>
      <c r="E953">
        <v>219</v>
      </c>
      <c r="F953">
        <v>769100</v>
      </c>
    </row>
    <row r="954" spans="1:6">
      <c r="A954" s="32">
        <v>42410</v>
      </c>
      <c r="B954">
        <v>221</v>
      </c>
      <c r="C954">
        <v>223</v>
      </c>
      <c r="D954">
        <v>220</v>
      </c>
      <c r="E954">
        <v>221</v>
      </c>
      <c r="F954">
        <v>260000</v>
      </c>
    </row>
    <row r="955" spans="1:6">
      <c r="A955" s="32">
        <v>42409</v>
      </c>
      <c r="B955">
        <v>222</v>
      </c>
      <c r="C955">
        <v>223</v>
      </c>
      <c r="D955">
        <v>221</v>
      </c>
      <c r="E955">
        <v>222</v>
      </c>
      <c r="F955">
        <v>279800</v>
      </c>
    </row>
    <row r="956" spans="1:6">
      <c r="A956" s="32">
        <v>42408</v>
      </c>
      <c r="B956">
        <v>222</v>
      </c>
      <c r="C956">
        <v>226</v>
      </c>
      <c r="D956">
        <v>221</v>
      </c>
      <c r="E956">
        <v>223</v>
      </c>
      <c r="F956">
        <v>364700</v>
      </c>
    </row>
    <row r="957" spans="1:6">
      <c r="A957" s="32">
        <v>42405</v>
      </c>
      <c r="B957">
        <v>226</v>
      </c>
      <c r="C957">
        <v>227</v>
      </c>
      <c r="D957">
        <v>221</v>
      </c>
      <c r="E957">
        <v>222</v>
      </c>
      <c r="F957">
        <v>964800</v>
      </c>
    </row>
    <row r="958" spans="1:6">
      <c r="A958" s="32">
        <v>42404</v>
      </c>
      <c r="B958">
        <v>227</v>
      </c>
      <c r="C958">
        <v>227</v>
      </c>
      <c r="D958">
        <v>220</v>
      </c>
      <c r="E958">
        <v>223</v>
      </c>
      <c r="F958">
        <v>1150700</v>
      </c>
    </row>
    <row r="959" spans="1:6">
      <c r="A959" s="32">
        <v>42403</v>
      </c>
      <c r="B959">
        <v>227</v>
      </c>
      <c r="C959">
        <v>227</v>
      </c>
      <c r="D959">
        <v>223</v>
      </c>
      <c r="E959">
        <v>225</v>
      </c>
      <c r="F959">
        <v>972900</v>
      </c>
    </row>
    <row r="960" spans="1:6">
      <c r="A960" s="32">
        <v>42402</v>
      </c>
      <c r="B960">
        <v>227</v>
      </c>
      <c r="C960">
        <v>232</v>
      </c>
      <c r="D960">
        <v>226</v>
      </c>
      <c r="E960">
        <v>227</v>
      </c>
      <c r="F960">
        <v>2397200</v>
      </c>
    </row>
    <row r="961" spans="1:6">
      <c r="A961" s="32">
        <v>42401</v>
      </c>
      <c r="B961">
        <v>222</v>
      </c>
      <c r="C961">
        <v>228</v>
      </c>
      <c r="D961">
        <v>221</v>
      </c>
      <c r="E961">
        <v>226</v>
      </c>
      <c r="F961">
        <v>1621200</v>
      </c>
    </row>
    <row r="962" spans="1:6">
      <c r="A962" s="32">
        <v>42398</v>
      </c>
      <c r="B962">
        <v>222</v>
      </c>
      <c r="C962">
        <v>223</v>
      </c>
      <c r="D962">
        <v>218</v>
      </c>
      <c r="E962">
        <v>220</v>
      </c>
      <c r="F962">
        <v>988500</v>
      </c>
    </row>
    <row r="963" spans="1:6">
      <c r="A963" s="32">
        <v>42397</v>
      </c>
      <c r="B963">
        <v>220</v>
      </c>
      <c r="C963">
        <v>222</v>
      </c>
      <c r="D963">
        <v>219</v>
      </c>
      <c r="E963">
        <v>222</v>
      </c>
      <c r="F963">
        <v>873200</v>
      </c>
    </row>
    <row r="964" spans="1:6">
      <c r="A964" s="32">
        <v>42396</v>
      </c>
      <c r="B964">
        <v>222</v>
      </c>
      <c r="C964">
        <v>224</v>
      </c>
      <c r="D964">
        <v>219</v>
      </c>
      <c r="E964">
        <v>219</v>
      </c>
      <c r="F964">
        <v>1065700</v>
      </c>
    </row>
    <row r="965" spans="1:6">
      <c r="A965" s="32">
        <v>42395</v>
      </c>
      <c r="B965">
        <v>221</v>
      </c>
      <c r="C965">
        <v>225</v>
      </c>
      <c r="D965">
        <v>220</v>
      </c>
      <c r="E965">
        <v>224</v>
      </c>
      <c r="F965">
        <v>560000</v>
      </c>
    </row>
    <row r="966" spans="1:6">
      <c r="A966" s="32">
        <v>42394</v>
      </c>
      <c r="B966">
        <v>219</v>
      </c>
      <c r="C966">
        <v>223</v>
      </c>
      <c r="D966">
        <v>218</v>
      </c>
      <c r="E966">
        <v>221</v>
      </c>
      <c r="F966">
        <v>669500</v>
      </c>
    </row>
    <row r="967" spans="1:6">
      <c r="A967" s="32">
        <v>42391</v>
      </c>
      <c r="B967">
        <v>218</v>
      </c>
      <c r="C967">
        <v>222</v>
      </c>
      <c r="D967">
        <v>216</v>
      </c>
      <c r="E967">
        <v>221</v>
      </c>
      <c r="F967">
        <v>1355400</v>
      </c>
    </row>
    <row r="968" spans="1:6">
      <c r="A968" s="32">
        <v>42390</v>
      </c>
      <c r="B968">
        <v>214</v>
      </c>
      <c r="C968">
        <v>216</v>
      </c>
      <c r="D968">
        <v>210</v>
      </c>
      <c r="E968">
        <v>214</v>
      </c>
      <c r="F968">
        <v>1813000</v>
      </c>
    </row>
    <row r="969" spans="1:6">
      <c r="A969" s="32">
        <v>42389</v>
      </c>
      <c r="B969">
        <v>215</v>
      </c>
      <c r="C969">
        <v>218</v>
      </c>
      <c r="D969">
        <v>208</v>
      </c>
      <c r="E969">
        <v>210</v>
      </c>
      <c r="F969">
        <v>1923900</v>
      </c>
    </row>
    <row r="970" spans="1:6">
      <c r="A970" s="32">
        <v>42388</v>
      </c>
      <c r="B970">
        <v>224</v>
      </c>
      <c r="C970">
        <v>224</v>
      </c>
      <c r="D970">
        <v>216</v>
      </c>
      <c r="E970">
        <v>216</v>
      </c>
      <c r="F970">
        <v>1835600</v>
      </c>
    </row>
    <row r="971" spans="1:6">
      <c r="A971" s="32">
        <v>42387</v>
      </c>
      <c r="B971">
        <v>222</v>
      </c>
      <c r="C971">
        <v>225</v>
      </c>
      <c r="D971">
        <v>220</v>
      </c>
      <c r="E971">
        <v>225</v>
      </c>
      <c r="F971">
        <v>1057000</v>
      </c>
    </row>
    <row r="972" spans="1:6">
      <c r="A972" s="32">
        <v>42384</v>
      </c>
      <c r="B972">
        <v>221</v>
      </c>
      <c r="C972">
        <v>228</v>
      </c>
      <c r="D972">
        <v>221</v>
      </c>
      <c r="E972">
        <v>226</v>
      </c>
      <c r="F972">
        <v>1737300</v>
      </c>
    </row>
    <row r="973" spans="1:6">
      <c r="A973" s="32">
        <v>42383</v>
      </c>
      <c r="B973">
        <v>222</v>
      </c>
      <c r="C973">
        <v>223</v>
      </c>
      <c r="D973">
        <v>218</v>
      </c>
      <c r="E973">
        <v>220</v>
      </c>
      <c r="F973">
        <v>1027000</v>
      </c>
    </row>
    <row r="974" spans="1:6">
      <c r="A974" s="32">
        <v>42382</v>
      </c>
      <c r="B974">
        <v>225</v>
      </c>
      <c r="C974">
        <v>226</v>
      </c>
      <c r="D974">
        <v>221</v>
      </c>
      <c r="E974">
        <v>224</v>
      </c>
      <c r="F974">
        <v>1950800</v>
      </c>
    </row>
    <row r="975" spans="1:6">
      <c r="A975" s="32">
        <v>42381</v>
      </c>
      <c r="B975">
        <v>216</v>
      </c>
      <c r="C975">
        <v>221</v>
      </c>
      <c r="D975">
        <v>214</v>
      </c>
      <c r="E975">
        <v>221</v>
      </c>
      <c r="F975">
        <v>1944900</v>
      </c>
    </row>
    <row r="976" spans="1:6">
      <c r="A976" s="32">
        <v>42380</v>
      </c>
      <c r="B976">
        <v>215</v>
      </c>
      <c r="C976">
        <v>217</v>
      </c>
      <c r="D976">
        <v>212</v>
      </c>
      <c r="E976">
        <v>214</v>
      </c>
      <c r="F976">
        <v>946900</v>
      </c>
    </row>
    <row r="977" spans="1:6">
      <c r="A977" s="32">
        <v>42377</v>
      </c>
      <c r="B977">
        <v>214</v>
      </c>
      <c r="C977">
        <v>218</v>
      </c>
      <c r="D977">
        <v>213</v>
      </c>
      <c r="E977">
        <v>217</v>
      </c>
      <c r="F977">
        <v>1388600</v>
      </c>
    </row>
    <row r="978" spans="1:6">
      <c r="A978" s="32">
        <v>42376</v>
      </c>
      <c r="B978">
        <v>219</v>
      </c>
      <c r="C978">
        <v>220</v>
      </c>
      <c r="D978">
        <v>212</v>
      </c>
      <c r="E978">
        <v>212</v>
      </c>
      <c r="F978">
        <v>1782200</v>
      </c>
    </row>
    <row r="979" spans="1:6">
      <c r="A979" s="32">
        <v>42375</v>
      </c>
      <c r="B979">
        <v>217</v>
      </c>
      <c r="C979">
        <v>222</v>
      </c>
      <c r="D979">
        <v>217</v>
      </c>
      <c r="E979">
        <v>220</v>
      </c>
      <c r="F979">
        <v>1818300</v>
      </c>
    </row>
    <row r="980" spans="1:6">
      <c r="A980" s="32">
        <v>42374</v>
      </c>
      <c r="B980">
        <v>207</v>
      </c>
      <c r="C980">
        <v>217</v>
      </c>
      <c r="D980">
        <v>206</v>
      </c>
      <c r="E980">
        <v>216</v>
      </c>
      <c r="F980">
        <v>1545500</v>
      </c>
    </row>
    <row r="981" spans="1:6">
      <c r="A981" s="32">
        <v>42373</v>
      </c>
      <c r="B981">
        <v>211</v>
      </c>
      <c r="C981">
        <v>213</v>
      </c>
      <c r="D981">
        <v>206</v>
      </c>
      <c r="E981">
        <v>206</v>
      </c>
      <c r="F981">
        <v>1404600</v>
      </c>
    </row>
    <row r="982" spans="1:6">
      <c r="A982" s="32">
        <v>42368</v>
      </c>
      <c r="B982">
        <v>208</v>
      </c>
      <c r="C982">
        <v>213</v>
      </c>
      <c r="D982">
        <v>207</v>
      </c>
      <c r="E982">
        <v>211</v>
      </c>
      <c r="F982">
        <v>1815400</v>
      </c>
    </row>
    <row r="983" spans="1:6">
      <c r="A983" s="32">
        <v>42367</v>
      </c>
      <c r="B983">
        <v>207</v>
      </c>
      <c r="C983">
        <v>210</v>
      </c>
      <c r="D983">
        <v>206</v>
      </c>
      <c r="E983">
        <v>209</v>
      </c>
      <c r="F983">
        <v>1081800</v>
      </c>
    </row>
    <row r="984" spans="1:6">
      <c r="A984" s="32">
        <v>42366</v>
      </c>
      <c r="B984">
        <v>203</v>
      </c>
      <c r="C984">
        <v>210</v>
      </c>
      <c r="D984">
        <v>201</v>
      </c>
      <c r="E984">
        <v>210</v>
      </c>
      <c r="F984">
        <v>1030800</v>
      </c>
    </row>
    <row r="985" spans="1:6">
      <c r="A985" s="32">
        <v>42363</v>
      </c>
      <c r="B985">
        <v>198.5</v>
      </c>
      <c r="C985">
        <v>203</v>
      </c>
      <c r="D985">
        <v>198</v>
      </c>
      <c r="E985">
        <v>202</v>
      </c>
      <c r="F985">
        <v>1025800</v>
      </c>
    </row>
    <row r="986" spans="1:6">
      <c r="A986" s="32">
        <v>42362</v>
      </c>
      <c r="B986">
        <v>201</v>
      </c>
      <c r="C986">
        <v>201</v>
      </c>
      <c r="D986">
        <v>197.5</v>
      </c>
      <c r="E986">
        <v>198</v>
      </c>
      <c r="F986">
        <v>1612000</v>
      </c>
    </row>
    <row r="987" spans="1:6">
      <c r="A987" s="32">
        <v>42361</v>
      </c>
      <c r="B987">
        <v>200</v>
      </c>
      <c r="C987">
        <v>204</v>
      </c>
      <c r="D987">
        <v>199.5</v>
      </c>
      <c r="E987">
        <v>200</v>
      </c>
      <c r="F987">
        <v>1254900</v>
      </c>
    </row>
    <row r="988" spans="1:6">
      <c r="A988" s="32">
        <v>42360</v>
      </c>
      <c r="B988">
        <v>202</v>
      </c>
      <c r="C988">
        <v>202</v>
      </c>
      <c r="D988">
        <v>200</v>
      </c>
      <c r="E988">
        <v>201</v>
      </c>
      <c r="F988">
        <v>1200200</v>
      </c>
    </row>
    <row r="989" spans="1:6">
      <c r="A989" s="32">
        <v>42359</v>
      </c>
      <c r="B989">
        <v>202</v>
      </c>
      <c r="C989">
        <v>204</v>
      </c>
      <c r="D989">
        <v>201</v>
      </c>
      <c r="E989">
        <v>201</v>
      </c>
      <c r="F989">
        <v>2372400</v>
      </c>
    </row>
    <row r="990" spans="1:6">
      <c r="A990" s="32">
        <v>42356</v>
      </c>
      <c r="B990">
        <v>204</v>
      </c>
      <c r="C990">
        <v>204</v>
      </c>
      <c r="D990">
        <v>200</v>
      </c>
      <c r="E990">
        <v>201</v>
      </c>
      <c r="F990">
        <v>1763100</v>
      </c>
    </row>
    <row r="991" spans="1:6">
      <c r="A991" s="32">
        <v>42355</v>
      </c>
      <c r="B991">
        <v>205</v>
      </c>
      <c r="C991">
        <v>206</v>
      </c>
      <c r="D991">
        <v>202</v>
      </c>
      <c r="E991">
        <v>204</v>
      </c>
      <c r="F991">
        <v>1050200</v>
      </c>
    </row>
    <row r="992" spans="1:6">
      <c r="A992" s="32">
        <v>42354</v>
      </c>
      <c r="B992">
        <v>205</v>
      </c>
      <c r="C992">
        <v>207</v>
      </c>
      <c r="D992">
        <v>203</v>
      </c>
      <c r="E992">
        <v>205</v>
      </c>
      <c r="F992">
        <v>816300</v>
      </c>
    </row>
    <row r="993" spans="1:6">
      <c r="A993" s="32">
        <v>42353</v>
      </c>
      <c r="B993">
        <v>204</v>
      </c>
      <c r="C993">
        <v>206</v>
      </c>
      <c r="D993">
        <v>203</v>
      </c>
      <c r="E993">
        <v>205</v>
      </c>
      <c r="F993">
        <v>1260700</v>
      </c>
    </row>
    <row r="994" spans="1:6">
      <c r="A994" s="32">
        <v>42352</v>
      </c>
      <c r="B994">
        <v>209</v>
      </c>
      <c r="C994">
        <v>209</v>
      </c>
      <c r="D994">
        <v>203</v>
      </c>
      <c r="E994">
        <v>205</v>
      </c>
      <c r="F994">
        <v>1691900</v>
      </c>
    </row>
    <row r="995" spans="1:6">
      <c r="A995" s="32">
        <v>42349</v>
      </c>
      <c r="B995">
        <v>205</v>
      </c>
      <c r="C995">
        <v>210</v>
      </c>
      <c r="D995">
        <v>204</v>
      </c>
      <c r="E995">
        <v>208</v>
      </c>
      <c r="F995">
        <v>1815000</v>
      </c>
    </row>
    <row r="996" spans="1:6">
      <c r="A996" s="32">
        <v>42347</v>
      </c>
      <c r="B996">
        <v>204</v>
      </c>
      <c r="C996">
        <v>207</v>
      </c>
      <c r="D996">
        <v>204</v>
      </c>
      <c r="E996">
        <v>204</v>
      </c>
      <c r="F996">
        <v>1237900</v>
      </c>
    </row>
    <row r="997" spans="1:6">
      <c r="A997" s="32">
        <v>42346</v>
      </c>
      <c r="B997">
        <v>210</v>
      </c>
      <c r="C997">
        <v>213</v>
      </c>
      <c r="D997">
        <v>204</v>
      </c>
      <c r="E997">
        <v>204</v>
      </c>
      <c r="F997">
        <v>1297300</v>
      </c>
    </row>
    <row r="998" spans="1:6">
      <c r="A998" s="32">
        <v>42342</v>
      </c>
      <c r="B998">
        <v>216</v>
      </c>
      <c r="C998">
        <v>217</v>
      </c>
      <c r="D998">
        <v>212</v>
      </c>
      <c r="E998">
        <v>212</v>
      </c>
      <c r="F998">
        <v>647600</v>
      </c>
    </row>
    <row r="999" spans="1:6">
      <c r="A999" s="32">
        <v>42341</v>
      </c>
      <c r="B999">
        <v>215</v>
      </c>
      <c r="C999">
        <v>218</v>
      </c>
      <c r="D999">
        <v>214</v>
      </c>
      <c r="E999">
        <v>218</v>
      </c>
      <c r="F999">
        <v>566900</v>
      </c>
    </row>
    <row r="1000" spans="1:6">
      <c r="A1000" s="32">
        <v>42340</v>
      </c>
      <c r="B1000">
        <v>219</v>
      </c>
      <c r="C1000">
        <v>222</v>
      </c>
      <c r="D1000">
        <v>215</v>
      </c>
      <c r="E1000">
        <v>215</v>
      </c>
      <c r="F1000">
        <v>1033700</v>
      </c>
    </row>
    <row r="1001" spans="1:6">
      <c r="A1001" s="32">
        <v>42339</v>
      </c>
      <c r="B1001">
        <v>222</v>
      </c>
      <c r="C1001">
        <v>223</v>
      </c>
      <c r="D1001">
        <v>217</v>
      </c>
      <c r="E1001">
        <v>220</v>
      </c>
      <c r="F1001">
        <v>1356100</v>
      </c>
    </row>
    <row r="1002" spans="1:6">
      <c r="A1002" s="32">
        <v>42338</v>
      </c>
      <c r="B1002">
        <v>211</v>
      </c>
      <c r="C1002">
        <v>221</v>
      </c>
      <c r="D1002">
        <v>210</v>
      </c>
      <c r="E1002">
        <v>221</v>
      </c>
      <c r="F1002">
        <v>2604700</v>
      </c>
    </row>
    <row r="1003" spans="1:6">
      <c r="A1003" s="32">
        <v>42335</v>
      </c>
      <c r="B1003">
        <v>214</v>
      </c>
      <c r="C1003">
        <v>218</v>
      </c>
      <c r="D1003">
        <v>213</v>
      </c>
      <c r="E1003">
        <v>213</v>
      </c>
      <c r="F1003">
        <v>490800</v>
      </c>
    </row>
    <row r="1004" spans="1:6">
      <c r="A1004" s="32">
        <v>42334</v>
      </c>
      <c r="B1004">
        <v>221</v>
      </c>
      <c r="C1004">
        <v>222</v>
      </c>
      <c r="D1004">
        <v>214</v>
      </c>
      <c r="E1004">
        <v>215</v>
      </c>
      <c r="F1004">
        <v>955100</v>
      </c>
    </row>
    <row r="1005" spans="1:6">
      <c r="A1005" s="32">
        <v>42333</v>
      </c>
      <c r="B1005">
        <v>218</v>
      </c>
      <c r="C1005">
        <v>220</v>
      </c>
      <c r="D1005">
        <v>217</v>
      </c>
      <c r="E1005">
        <v>220</v>
      </c>
      <c r="F1005">
        <v>613900</v>
      </c>
    </row>
    <row r="1006" spans="1:6">
      <c r="A1006" s="32">
        <v>42332</v>
      </c>
      <c r="B1006">
        <v>218</v>
      </c>
      <c r="C1006">
        <v>221</v>
      </c>
      <c r="D1006">
        <v>216</v>
      </c>
      <c r="E1006">
        <v>218</v>
      </c>
      <c r="F1006">
        <v>1452500</v>
      </c>
    </row>
    <row r="1007" spans="1:6">
      <c r="A1007" s="32">
        <v>42331</v>
      </c>
      <c r="B1007">
        <v>212</v>
      </c>
      <c r="C1007">
        <v>218</v>
      </c>
      <c r="D1007">
        <v>212</v>
      </c>
      <c r="E1007">
        <v>217</v>
      </c>
      <c r="F1007">
        <v>1216500</v>
      </c>
    </row>
    <row r="1008" spans="1:6">
      <c r="A1008" s="32">
        <v>42328</v>
      </c>
      <c r="B1008">
        <v>208</v>
      </c>
      <c r="C1008">
        <v>214</v>
      </c>
      <c r="D1008">
        <v>207</v>
      </c>
      <c r="E1008">
        <v>211</v>
      </c>
      <c r="F1008">
        <v>1858000</v>
      </c>
    </row>
    <row r="1009" spans="1:6">
      <c r="A1009" s="32">
        <v>42327</v>
      </c>
      <c r="B1009">
        <v>205</v>
      </c>
      <c r="C1009">
        <v>208</v>
      </c>
      <c r="D1009">
        <v>203</v>
      </c>
      <c r="E1009">
        <v>206</v>
      </c>
      <c r="F1009">
        <v>1434600</v>
      </c>
    </row>
    <row r="1010" spans="1:6">
      <c r="A1010" s="32">
        <v>42326</v>
      </c>
      <c r="B1010">
        <v>205</v>
      </c>
      <c r="C1010">
        <v>207</v>
      </c>
      <c r="D1010">
        <v>201</v>
      </c>
      <c r="E1010">
        <v>202</v>
      </c>
      <c r="F1010">
        <v>1581500</v>
      </c>
    </row>
    <row r="1011" spans="1:6">
      <c r="A1011" s="32">
        <v>42325</v>
      </c>
      <c r="B1011">
        <v>211</v>
      </c>
      <c r="C1011">
        <v>214</v>
      </c>
      <c r="D1011">
        <v>205</v>
      </c>
      <c r="E1011">
        <v>205</v>
      </c>
      <c r="F1011">
        <v>1478100</v>
      </c>
    </row>
    <row r="1012" spans="1:6">
      <c r="A1012" s="32">
        <v>42324</v>
      </c>
      <c r="B1012">
        <v>207</v>
      </c>
      <c r="C1012">
        <v>211</v>
      </c>
      <c r="D1012">
        <v>204</v>
      </c>
      <c r="E1012">
        <v>211</v>
      </c>
      <c r="F1012">
        <v>998300</v>
      </c>
    </row>
    <row r="1013" spans="1:6">
      <c r="A1013" s="32">
        <v>42321</v>
      </c>
      <c r="B1013">
        <v>201</v>
      </c>
      <c r="C1013">
        <v>210</v>
      </c>
      <c r="D1013">
        <v>200</v>
      </c>
      <c r="E1013">
        <v>208</v>
      </c>
      <c r="F1013">
        <v>855900</v>
      </c>
    </row>
    <row r="1014" spans="1:6">
      <c r="A1014" s="32">
        <v>42320</v>
      </c>
      <c r="B1014">
        <v>206</v>
      </c>
      <c r="C1014">
        <v>206</v>
      </c>
      <c r="D1014">
        <v>203</v>
      </c>
      <c r="E1014">
        <v>203</v>
      </c>
      <c r="F1014">
        <v>477400</v>
      </c>
    </row>
    <row r="1015" spans="1:6">
      <c r="A1015" s="32">
        <v>42319</v>
      </c>
      <c r="B1015">
        <v>198.5</v>
      </c>
      <c r="C1015">
        <v>208</v>
      </c>
      <c r="D1015">
        <v>196</v>
      </c>
      <c r="E1015">
        <v>206</v>
      </c>
      <c r="F1015">
        <v>2498900</v>
      </c>
    </row>
    <row r="1016" spans="1:6">
      <c r="A1016" s="32">
        <v>42318</v>
      </c>
      <c r="B1016">
        <v>205</v>
      </c>
      <c r="C1016">
        <v>205</v>
      </c>
      <c r="D1016">
        <v>199.5</v>
      </c>
      <c r="E1016">
        <v>199.5</v>
      </c>
      <c r="F1016">
        <v>1788500</v>
      </c>
    </row>
    <row r="1017" spans="1:6">
      <c r="A1017" s="32">
        <v>42317</v>
      </c>
      <c r="B1017">
        <v>212</v>
      </c>
      <c r="C1017">
        <v>213</v>
      </c>
      <c r="D1017">
        <v>204</v>
      </c>
      <c r="E1017">
        <v>207</v>
      </c>
      <c r="F1017">
        <v>1463000</v>
      </c>
    </row>
    <row r="1018" spans="1:6">
      <c r="A1018" s="32">
        <v>42314</v>
      </c>
      <c r="B1018">
        <v>214</v>
      </c>
      <c r="C1018">
        <v>215</v>
      </c>
      <c r="D1018">
        <v>212</v>
      </c>
      <c r="E1018">
        <v>213</v>
      </c>
      <c r="F1018">
        <v>950800</v>
      </c>
    </row>
    <row r="1019" spans="1:6">
      <c r="A1019" s="32">
        <v>42313</v>
      </c>
      <c r="B1019">
        <v>214</v>
      </c>
      <c r="C1019">
        <v>217</v>
      </c>
      <c r="D1019">
        <v>213</v>
      </c>
      <c r="E1019">
        <v>214</v>
      </c>
      <c r="F1019">
        <v>868300</v>
      </c>
    </row>
    <row r="1020" spans="1:6">
      <c r="A1020" s="32">
        <v>42312</v>
      </c>
      <c r="B1020">
        <v>214</v>
      </c>
      <c r="C1020">
        <v>216</v>
      </c>
      <c r="D1020">
        <v>214</v>
      </c>
      <c r="E1020">
        <v>214</v>
      </c>
      <c r="F1020">
        <v>1167500</v>
      </c>
    </row>
    <row r="1021" spans="1:6">
      <c r="A1021" s="32">
        <v>42311</v>
      </c>
      <c r="B1021">
        <v>214</v>
      </c>
      <c r="C1021">
        <v>217</v>
      </c>
      <c r="D1021">
        <v>213</v>
      </c>
      <c r="E1021">
        <v>214</v>
      </c>
      <c r="F1021">
        <v>1501500</v>
      </c>
    </row>
    <row r="1022" spans="1:6">
      <c r="A1022" s="32">
        <v>42310</v>
      </c>
      <c r="B1022">
        <v>217</v>
      </c>
      <c r="C1022">
        <v>217</v>
      </c>
      <c r="D1022">
        <v>213</v>
      </c>
      <c r="E1022">
        <v>214</v>
      </c>
      <c r="F1022">
        <v>650400</v>
      </c>
    </row>
    <row r="1023" spans="1:6">
      <c r="A1023" s="32">
        <v>42307</v>
      </c>
      <c r="B1023">
        <v>213</v>
      </c>
      <c r="C1023">
        <v>218</v>
      </c>
      <c r="D1023">
        <v>212</v>
      </c>
      <c r="E1023">
        <v>216</v>
      </c>
      <c r="F1023">
        <v>1088600</v>
      </c>
    </row>
    <row r="1024" spans="1:6">
      <c r="A1024" s="32">
        <v>42306</v>
      </c>
      <c r="B1024">
        <v>215</v>
      </c>
      <c r="C1024">
        <v>216</v>
      </c>
      <c r="D1024">
        <v>212</v>
      </c>
      <c r="E1024">
        <v>214</v>
      </c>
      <c r="F1024">
        <v>1092100</v>
      </c>
    </row>
    <row r="1025" spans="1:6">
      <c r="A1025" s="32">
        <v>42305</v>
      </c>
      <c r="B1025">
        <v>218</v>
      </c>
      <c r="C1025">
        <v>220</v>
      </c>
      <c r="D1025">
        <v>216</v>
      </c>
      <c r="E1025">
        <v>217</v>
      </c>
      <c r="F1025">
        <v>1054800</v>
      </c>
    </row>
    <row r="1026" spans="1:6">
      <c r="A1026" s="32">
        <v>42304</v>
      </c>
      <c r="B1026">
        <v>220</v>
      </c>
      <c r="C1026">
        <v>222</v>
      </c>
      <c r="D1026">
        <v>218</v>
      </c>
      <c r="E1026">
        <v>218</v>
      </c>
      <c r="F1026">
        <v>775400</v>
      </c>
    </row>
    <row r="1027" spans="1:6">
      <c r="A1027" s="32">
        <v>42303</v>
      </c>
      <c r="B1027">
        <v>222</v>
      </c>
      <c r="C1027">
        <v>223</v>
      </c>
      <c r="D1027">
        <v>220</v>
      </c>
      <c r="E1027">
        <v>220</v>
      </c>
      <c r="F1027">
        <v>1216100</v>
      </c>
    </row>
    <row r="1028" spans="1:6">
      <c r="A1028" s="32">
        <v>42299</v>
      </c>
      <c r="B1028">
        <v>220</v>
      </c>
      <c r="C1028">
        <v>223</v>
      </c>
      <c r="D1028">
        <v>219</v>
      </c>
      <c r="E1028">
        <v>220</v>
      </c>
      <c r="F1028">
        <v>617600</v>
      </c>
    </row>
    <row r="1029" spans="1:6">
      <c r="A1029" s="32">
        <v>42298</v>
      </c>
      <c r="B1029">
        <v>223</v>
      </c>
      <c r="C1029">
        <v>223</v>
      </c>
      <c r="D1029">
        <v>220</v>
      </c>
      <c r="E1029">
        <v>220</v>
      </c>
      <c r="F1029">
        <v>595100</v>
      </c>
    </row>
    <row r="1030" spans="1:6">
      <c r="A1030" s="32">
        <v>42297</v>
      </c>
      <c r="B1030">
        <v>217</v>
      </c>
      <c r="C1030">
        <v>223</v>
      </c>
      <c r="D1030">
        <v>216</v>
      </c>
      <c r="E1030">
        <v>221</v>
      </c>
      <c r="F1030">
        <v>2082000</v>
      </c>
    </row>
    <row r="1031" spans="1:6">
      <c r="A1031" s="32">
        <v>42296</v>
      </c>
      <c r="B1031">
        <v>217</v>
      </c>
      <c r="C1031">
        <v>221</v>
      </c>
      <c r="D1031">
        <v>216</v>
      </c>
      <c r="E1031">
        <v>216</v>
      </c>
      <c r="F1031">
        <v>1558400</v>
      </c>
    </row>
    <row r="1032" spans="1:6">
      <c r="A1032" s="32">
        <v>42293</v>
      </c>
      <c r="B1032">
        <v>229</v>
      </c>
      <c r="C1032">
        <v>230</v>
      </c>
      <c r="D1032">
        <v>217</v>
      </c>
      <c r="E1032">
        <v>217</v>
      </c>
      <c r="F1032">
        <v>4563400</v>
      </c>
    </row>
    <row r="1033" spans="1:6">
      <c r="A1033" s="32">
        <v>42292</v>
      </c>
      <c r="B1033">
        <v>227</v>
      </c>
      <c r="C1033">
        <v>230</v>
      </c>
      <c r="D1033">
        <v>227</v>
      </c>
      <c r="E1033">
        <v>227</v>
      </c>
      <c r="F1033">
        <v>1521500</v>
      </c>
    </row>
    <row r="1034" spans="1:6">
      <c r="A1034" s="32">
        <v>42291</v>
      </c>
      <c r="B1034">
        <v>229</v>
      </c>
      <c r="C1034">
        <v>233</v>
      </c>
      <c r="D1034">
        <v>225</v>
      </c>
      <c r="E1034">
        <v>225</v>
      </c>
      <c r="F1034">
        <v>805600</v>
      </c>
    </row>
    <row r="1035" spans="1:6">
      <c r="A1035" s="32">
        <v>42290</v>
      </c>
      <c r="B1035">
        <v>232</v>
      </c>
      <c r="C1035">
        <v>235</v>
      </c>
      <c r="D1035">
        <v>229</v>
      </c>
      <c r="E1035">
        <v>229</v>
      </c>
      <c r="F1035">
        <v>1136900</v>
      </c>
    </row>
    <row r="1036" spans="1:6">
      <c r="A1036" s="32">
        <v>42289</v>
      </c>
      <c r="B1036">
        <v>231</v>
      </c>
      <c r="C1036">
        <v>235</v>
      </c>
      <c r="D1036">
        <v>229</v>
      </c>
      <c r="E1036">
        <v>235</v>
      </c>
      <c r="F1036">
        <v>1199000</v>
      </c>
    </row>
    <row r="1037" spans="1:6">
      <c r="A1037" s="32">
        <v>42286</v>
      </c>
      <c r="B1037">
        <v>234</v>
      </c>
      <c r="C1037">
        <v>236</v>
      </c>
      <c r="D1037">
        <v>231</v>
      </c>
      <c r="E1037">
        <v>232</v>
      </c>
      <c r="F1037">
        <v>833300</v>
      </c>
    </row>
    <row r="1038" spans="1:6">
      <c r="A1038" s="32">
        <v>42285</v>
      </c>
      <c r="B1038">
        <v>234</v>
      </c>
      <c r="C1038">
        <v>237</v>
      </c>
      <c r="D1038">
        <v>231</v>
      </c>
      <c r="E1038">
        <v>231</v>
      </c>
      <c r="F1038">
        <v>1324600</v>
      </c>
    </row>
    <row r="1039" spans="1:6">
      <c r="A1039" s="32">
        <v>42284</v>
      </c>
      <c r="B1039">
        <v>231</v>
      </c>
      <c r="C1039">
        <v>235</v>
      </c>
      <c r="D1039">
        <v>229</v>
      </c>
      <c r="E1039">
        <v>235</v>
      </c>
      <c r="F1039">
        <v>1003800</v>
      </c>
    </row>
    <row r="1040" spans="1:6">
      <c r="A1040" s="32">
        <v>42283</v>
      </c>
      <c r="B1040">
        <v>227</v>
      </c>
      <c r="C1040">
        <v>232</v>
      </c>
      <c r="D1040">
        <v>227</v>
      </c>
      <c r="E1040">
        <v>231</v>
      </c>
      <c r="F1040">
        <v>1573600</v>
      </c>
    </row>
    <row r="1041" spans="1:6">
      <c r="A1041" s="32">
        <v>42282</v>
      </c>
      <c r="B1041">
        <v>226</v>
      </c>
      <c r="C1041">
        <v>230</v>
      </c>
      <c r="D1041">
        <v>223</v>
      </c>
      <c r="E1041">
        <v>228</v>
      </c>
      <c r="F1041">
        <v>1357600</v>
      </c>
    </row>
    <row r="1042" spans="1:6">
      <c r="A1042" s="32">
        <v>42279</v>
      </c>
      <c r="B1042">
        <v>222</v>
      </c>
      <c r="C1042">
        <v>226</v>
      </c>
      <c r="D1042">
        <v>220</v>
      </c>
      <c r="E1042">
        <v>222</v>
      </c>
      <c r="F1042">
        <v>1522200</v>
      </c>
    </row>
    <row r="1043" spans="1:6">
      <c r="A1043" s="32">
        <v>42278</v>
      </c>
      <c r="B1043">
        <v>218</v>
      </c>
      <c r="C1043">
        <v>221</v>
      </c>
      <c r="D1043">
        <v>217</v>
      </c>
      <c r="E1043">
        <v>221</v>
      </c>
      <c r="F1043">
        <v>948100</v>
      </c>
    </row>
    <row r="1044" spans="1:6">
      <c r="A1044" s="32">
        <v>42277</v>
      </c>
      <c r="B1044">
        <v>220</v>
      </c>
      <c r="C1044">
        <v>222</v>
      </c>
      <c r="D1044">
        <v>216</v>
      </c>
      <c r="E1044">
        <v>216</v>
      </c>
      <c r="F1044">
        <v>1643000</v>
      </c>
    </row>
    <row r="1045" spans="1:6">
      <c r="A1045" s="32">
        <v>42276</v>
      </c>
      <c r="B1045">
        <v>215</v>
      </c>
      <c r="C1045">
        <v>221</v>
      </c>
      <c r="D1045">
        <v>213</v>
      </c>
      <c r="E1045">
        <v>217</v>
      </c>
      <c r="F1045">
        <v>1407500</v>
      </c>
    </row>
    <row r="1046" spans="1:6">
      <c r="A1046" s="32">
        <v>42275</v>
      </c>
      <c r="B1046">
        <v>212</v>
      </c>
      <c r="C1046">
        <v>218</v>
      </c>
      <c r="D1046">
        <v>212</v>
      </c>
      <c r="E1046">
        <v>214</v>
      </c>
      <c r="F1046">
        <v>1732800</v>
      </c>
    </row>
    <row r="1047" spans="1:6">
      <c r="A1047" s="32">
        <v>42272</v>
      </c>
      <c r="B1047">
        <v>213</v>
      </c>
      <c r="C1047">
        <v>223</v>
      </c>
      <c r="D1047">
        <v>212</v>
      </c>
      <c r="E1047">
        <v>217</v>
      </c>
      <c r="F1047">
        <v>4107100</v>
      </c>
    </row>
    <row r="1048" spans="1:6">
      <c r="A1048" s="32">
        <v>42271</v>
      </c>
      <c r="B1048">
        <v>215</v>
      </c>
      <c r="C1048">
        <v>216</v>
      </c>
      <c r="D1048">
        <v>211</v>
      </c>
      <c r="E1048">
        <v>212</v>
      </c>
      <c r="F1048">
        <v>2641700</v>
      </c>
    </row>
    <row r="1049" spans="1:6">
      <c r="A1049" s="32">
        <v>42270</v>
      </c>
      <c r="B1049">
        <v>219</v>
      </c>
      <c r="C1049">
        <v>220</v>
      </c>
      <c r="D1049">
        <v>211</v>
      </c>
      <c r="E1049">
        <v>217</v>
      </c>
      <c r="F1049">
        <v>2730400</v>
      </c>
    </row>
    <row r="1050" spans="1:6">
      <c r="A1050" s="32">
        <v>42269</v>
      </c>
      <c r="B1050">
        <v>229</v>
      </c>
      <c r="C1050">
        <v>229</v>
      </c>
      <c r="D1050">
        <v>218</v>
      </c>
      <c r="E1050">
        <v>220</v>
      </c>
      <c r="F1050">
        <v>2587800</v>
      </c>
    </row>
    <row r="1051" spans="1:6">
      <c r="A1051" s="32">
        <v>42268</v>
      </c>
      <c r="B1051">
        <v>228</v>
      </c>
      <c r="C1051">
        <v>229</v>
      </c>
      <c r="D1051">
        <v>224</v>
      </c>
      <c r="E1051">
        <v>228</v>
      </c>
      <c r="F1051">
        <v>1197700</v>
      </c>
    </row>
    <row r="1052" spans="1:6">
      <c r="A1052" s="32">
        <v>42265</v>
      </c>
      <c r="B1052">
        <v>237</v>
      </c>
      <c r="C1052">
        <v>239</v>
      </c>
      <c r="D1052">
        <v>229</v>
      </c>
      <c r="E1052">
        <v>229</v>
      </c>
      <c r="F1052">
        <v>7130200</v>
      </c>
    </row>
    <row r="1053" spans="1:6">
      <c r="A1053" s="32">
        <v>42264</v>
      </c>
      <c r="B1053">
        <v>235</v>
      </c>
      <c r="C1053">
        <v>239</v>
      </c>
      <c r="D1053">
        <v>234</v>
      </c>
      <c r="E1053">
        <v>237</v>
      </c>
      <c r="F1053">
        <v>1705500</v>
      </c>
    </row>
    <row r="1054" spans="1:6">
      <c r="A1054" s="32">
        <v>42263</v>
      </c>
      <c r="B1054">
        <v>236</v>
      </c>
      <c r="C1054">
        <v>236</v>
      </c>
      <c r="D1054">
        <v>233</v>
      </c>
      <c r="E1054">
        <v>235</v>
      </c>
      <c r="F1054">
        <v>1448800</v>
      </c>
    </row>
    <row r="1055" spans="1:6">
      <c r="A1055" s="32">
        <v>42262</v>
      </c>
      <c r="B1055">
        <v>235</v>
      </c>
      <c r="C1055">
        <v>240</v>
      </c>
      <c r="D1055">
        <v>233</v>
      </c>
      <c r="E1055">
        <v>233</v>
      </c>
      <c r="F1055">
        <v>1680600</v>
      </c>
    </row>
    <row r="1056" spans="1:6">
      <c r="A1056" s="32">
        <v>42261</v>
      </c>
      <c r="B1056">
        <v>235</v>
      </c>
      <c r="C1056">
        <v>237</v>
      </c>
      <c r="D1056">
        <v>232</v>
      </c>
      <c r="E1056">
        <v>235</v>
      </c>
      <c r="F1056">
        <v>1423600</v>
      </c>
    </row>
    <row r="1057" spans="1:6">
      <c r="A1057" s="32">
        <v>42258</v>
      </c>
      <c r="B1057">
        <v>238</v>
      </c>
      <c r="C1057">
        <v>244</v>
      </c>
      <c r="D1057">
        <v>232</v>
      </c>
      <c r="E1057">
        <v>233</v>
      </c>
      <c r="F1057">
        <v>1621800</v>
      </c>
    </row>
    <row r="1058" spans="1:6">
      <c r="A1058" s="32">
        <v>42257</v>
      </c>
      <c r="B1058">
        <v>242</v>
      </c>
      <c r="C1058">
        <v>242</v>
      </c>
      <c r="D1058">
        <v>237</v>
      </c>
      <c r="E1058">
        <v>239</v>
      </c>
      <c r="F1058">
        <v>1355600</v>
      </c>
    </row>
    <row r="1059" spans="1:6">
      <c r="A1059" s="32">
        <v>42256</v>
      </c>
      <c r="B1059">
        <v>253</v>
      </c>
      <c r="C1059">
        <v>253</v>
      </c>
      <c r="D1059">
        <v>243</v>
      </c>
      <c r="E1059">
        <v>243</v>
      </c>
      <c r="F1059">
        <v>1505500</v>
      </c>
    </row>
    <row r="1060" spans="1:6">
      <c r="A1060" s="32">
        <v>42255</v>
      </c>
      <c r="B1060">
        <v>241</v>
      </c>
      <c r="C1060">
        <v>250</v>
      </c>
      <c r="D1060">
        <v>236</v>
      </c>
      <c r="E1060">
        <v>250</v>
      </c>
      <c r="F1060">
        <v>1925700</v>
      </c>
    </row>
    <row r="1061" spans="1:6">
      <c r="A1061" s="32">
        <v>42254</v>
      </c>
      <c r="B1061">
        <v>242</v>
      </c>
      <c r="C1061">
        <v>247</v>
      </c>
      <c r="D1061">
        <v>240</v>
      </c>
      <c r="E1061">
        <v>240</v>
      </c>
      <c r="F1061">
        <v>1219600</v>
      </c>
    </row>
    <row r="1062" spans="1:6">
      <c r="A1062" s="32">
        <v>42251</v>
      </c>
      <c r="B1062">
        <v>249</v>
      </c>
      <c r="C1062">
        <v>258</v>
      </c>
      <c r="D1062">
        <v>242</v>
      </c>
      <c r="E1062">
        <v>243</v>
      </c>
      <c r="F1062">
        <v>2905400</v>
      </c>
    </row>
    <row r="1063" spans="1:6">
      <c r="A1063" s="32">
        <v>42250</v>
      </c>
      <c r="B1063">
        <v>245</v>
      </c>
      <c r="C1063">
        <v>260</v>
      </c>
      <c r="D1063">
        <v>245</v>
      </c>
      <c r="E1063">
        <v>253</v>
      </c>
      <c r="F1063">
        <v>3385600</v>
      </c>
    </row>
    <row r="1064" spans="1:6">
      <c r="A1064" s="32">
        <v>42249</v>
      </c>
      <c r="B1064">
        <v>228</v>
      </c>
      <c r="C1064">
        <v>238</v>
      </c>
      <c r="D1064">
        <v>227</v>
      </c>
      <c r="E1064">
        <v>238</v>
      </c>
      <c r="F1064">
        <v>1800700</v>
      </c>
    </row>
    <row r="1065" spans="1:6">
      <c r="A1065" s="32">
        <v>42248</v>
      </c>
      <c r="B1065">
        <v>229</v>
      </c>
      <c r="C1065">
        <v>232</v>
      </c>
      <c r="D1065">
        <v>223</v>
      </c>
      <c r="E1065">
        <v>226</v>
      </c>
      <c r="F1065">
        <v>1332500</v>
      </c>
    </row>
    <row r="1066" spans="1:6">
      <c r="A1066" s="32">
        <v>42247</v>
      </c>
      <c r="B1066">
        <v>222</v>
      </c>
      <c r="C1066">
        <v>231</v>
      </c>
      <c r="D1066">
        <v>218</v>
      </c>
      <c r="E1066">
        <v>231</v>
      </c>
      <c r="F1066">
        <v>2347400</v>
      </c>
    </row>
    <row r="1067" spans="1:6">
      <c r="A1067" s="32">
        <v>42244</v>
      </c>
      <c r="B1067">
        <v>225</v>
      </c>
      <c r="C1067">
        <v>226</v>
      </c>
      <c r="D1067">
        <v>220</v>
      </c>
      <c r="E1067">
        <v>222</v>
      </c>
      <c r="F1067">
        <v>822800</v>
      </c>
    </row>
    <row r="1068" spans="1:6">
      <c r="A1068" s="32">
        <v>42243</v>
      </c>
      <c r="B1068">
        <v>230</v>
      </c>
      <c r="C1068">
        <v>230</v>
      </c>
      <c r="D1068">
        <v>223</v>
      </c>
      <c r="E1068">
        <v>223</v>
      </c>
      <c r="F1068">
        <v>1407900</v>
      </c>
    </row>
    <row r="1069" spans="1:6">
      <c r="A1069" s="32">
        <v>42242</v>
      </c>
      <c r="B1069">
        <v>223</v>
      </c>
      <c r="C1069">
        <v>230</v>
      </c>
      <c r="D1069">
        <v>223</v>
      </c>
      <c r="E1069">
        <v>227</v>
      </c>
      <c r="F1069">
        <v>1580400</v>
      </c>
    </row>
    <row r="1070" spans="1:6">
      <c r="A1070" s="32">
        <v>42241</v>
      </c>
      <c r="B1070">
        <v>216</v>
      </c>
      <c r="C1070">
        <v>228</v>
      </c>
      <c r="D1070">
        <v>213</v>
      </c>
      <c r="E1070">
        <v>228</v>
      </c>
      <c r="F1070">
        <v>2407300</v>
      </c>
    </row>
    <row r="1071" spans="1:6">
      <c r="A1071" s="32">
        <v>42240</v>
      </c>
      <c r="B1071">
        <v>227</v>
      </c>
      <c r="C1071">
        <v>233</v>
      </c>
      <c r="D1071">
        <v>208</v>
      </c>
      <c r="E1071">
        <v>213</v>
      </c>
      <c r="F1071">
        <v>3169700</v>
      </c>
    </row>
    <row r="1072" spans="1:6">
      <c r="A1072" s="32">
        <v>42237</v>
      </c>
      <c r="B1072">
        <v>224</v>
      </c>
      <c r="C1072">
        <v>233</v>
      </c>
      <c r="D1072">
        <v>222</v>
      </c>
      <c r="E1072">
        <v>230</v>
      </c>
      <c r="F1072">
        <v>2051300</v>
      </c>
    </row>
    <row r="1073" spans="1:6">
      <c r="A1073" s="32">
        <v>42236</v>
      </c>
      <c r="B1073">
        <v>222</v>
      </c>
      <c r="C1073">
        <v>229</v>
      </c>
      <c r="D1073">
        <v>219</v>
      </c>
      <c r="E1073">
        <v>225</v>
      </c>
      <c r="F1073">
        <v>1506400</v>
      </c>
    </row>
    <row r="1074" spans="1:6">
      <c r="A1074" s="32">
        <v>42235</v>
      </c>
      <c r="B1074">
        <v>216</v>
      </c>
      <c r="C1074">
        <v>225</v>
      </c>
      <c r="D1074">
        <v>213</v>
      </c>
      <c r="E1074">
        <v>220</v>
      </c>
      <c r="F1074">
        <v>1969300</v>
      </c>
    </row>
    <row r="1075" spans="1:6">
      <c r="A1075" s="32">
        <v>42234</v>
      </c>
      <c r="B1075">
        <v>219</v>
      </c>
      <c r="C1075">
        <v>222</v>
      </c>
      <c r="D1075">
        <v>212</v>
      </c>
      <c r="E1075">
        <v>215</v>
      </c>
      <c r="F1075">
        <v>3038100</v>
      </c>
    </row>
    <row r="1076" spans="1:6">
      <c r="A1076" s="32">
        <v>42233</v>
      </c>
      <c r="B1076">
        <v>220</v>
      </c>
      <c r="C1076">
        <v>230</v>
      </c>
      <c r="D1076">
        <v>218</v>
      </c>
      <c r="E1076">
        <v>223</v>
      </c>
      <c r="F1076">
        <v>1525800</v>
      </c>
    </row>
    <row r="1077" spans="1:6">
      <c r="A1077" s="32">
        <v>42230</v>
      </c>
      <c r="B1077">
        <v>212</v>
      </c>
      <c r="C1077">
        <v>225</v>
      </c>
      <c r="D1077">
        <v>211</v>
      </c>
      <c r="E1077">
        <v>222</v>
      </c>
      <c r="F1077">
        <v>2436100</v>
      </c>
    </row>
    <row r="1078" spans="1:6">
      <c r="A1078" s="32">
        <v>42229</v>
      </c>
      <c r="B1078">
        <v>204</v>
      </c>
      <c r="C1078">
        <v>209</v>
      </c>
      <c r="D1078">
        <v>202</v>
      </c>
      <c r="E1078">
        <v>208</v>
      </c>
      <c r="F1078">
        <v>939300</v>
      </c>
    </row>
    <row r="1079" spans="1:6">
      <c r="A1079" s="32">
        <v>42227</v>
      </c>
      <c r="B1079">
        <v>207</v>
      </c>
      <c r="C1079">
        <v>211</v>
      </c>
      <c r="D1079">
        <v>204</v>
      </c>
      <c r="E1079">
        <v>206</v>
      </c>
      <c r="F1079">
        <v>475000</v>
      </c>
    </row>
    <row r="1080" spans="1:6">
      <c r="A1080" s="32">
        <v>42226</v>
      </c>
      <c r="B1080">
        <v>207</v>
      </c>
      <c r="C1080">
        <v>208</v>
      </c>
      <c r="D1080">
        <v>204</v>
      </c>
      <c r="E1080">
        <v>207</v>
      </c>
      <c r="F1080">
        <v>484700</v>
      </c>
    </row>
    <row r="1081" spans="1:6">
      <c r="A1081" s="32">
        <v>42223</v>
      </c>
      <c r="B1081">
        <v>206</v>
      </c>
      <c r="C1081">
        <v>208</v>
      </c>
      <c r="D1081">
        <v>205</v>
      </c>
      <c r="E1081">
        <v>207</v>
      </c>
      <c r="F1081">
        <v>201600</v>
      </c>
    </row>
    <row r="1082" spans="1:6">
      <c r="A1082" s="32">
        <v>42222</v>
      </c>
      <c r="B1082">
        <v>203</v>
      </c>
      <c r="C1082">
        <v>211</v>
      </c>
      <c r="D1082">
        <v>201</v>
      </c>
      <c r="E1082">
        <v>208</v>
      </c>
      <c r="F1082">
        <v>1014400</v>
      </c>
    </row>
    <row r="1083" spans="1:6">
      <c r="A1083" s="32">
        <v>42221</v>
      </c>
      <c r="B1083">
        <v>199.5</v>
      </c>
      <c r="C1083">
        <v>204</v>
      </c>
      <c r="D1083">
        <v>199.5</v>
      </c>
      <c r="E1083">
        <v>203</v>
      </c>
      <c r="F1083">
        <v>1138800</v>
      </c>
    </row>
    <row r="1084" spans="1:6">
      <c r="A1084" s="32">
        <v>42220</v>
      </c>
      <c r="B1084">
        <v>200</v>
      </c>
      <c r="C1084">
        <v>202</v>
      </c>
      <c r="D1084">
        <v>197</v>
      </c>
      <c r="E1084">
        <v>198.5</v>
      </c>
      <c r="F1084">
        <v>980800</v>
      </c>
    </row>
    <row r="1085" spans="1:6">
      <c r="A1085" s="32">
        <v>42219</v>
      </c>
      <c r="B1085">
        <v>203</v>
      </c>
      <c r="C1085">
        <v>205</v>
      </c>
      <c r="D1085">
        <v>200</v>
      </c>
      <c r="E1085">
        <v>202</v>
      </c>
      <c r="F1085">
        <v>374300</v>
      </c>
    </row>
    <row r="1086" spans="1:6">
      <c r="A1086" s="32">
        <v>42216</v>
      </c>
      <c r="B1086">
        <v>201</v>
      </c>
      <c r="C1086">
        <v>204</v>
      </c>
      <c r="D1086">
        <v>198</v>
      </c>
      <c r="E1086">
        <v>204</v>
      </c>
      <c r="F1086">
        <v>1043300</v>
      </c>
    </row>
    <row r="1087" spans="1:6">
      <c r="A1087" s="32">
        <v>42214</v>
      </c>
      <c r="B1087">
        <v>196.5</v>
      </c>
      <c r="C1087">
        <v>199.5</v>
      </c>
      <c r="D1087">
        <v>196.5</v>
      </c>
      <c r="E1087">
        <v>199.5</v>
      </c>
      <c r="F1087">
        <v>528300</v>
      </c>
    </row>
    <row r="1088" spans="1:6">
      <c r="A1088" s="32">
        <v>42213</v>
      </c>
      <c r="B1088">
        <v>201</v>
      </c>
      <c r="C1088">
        <v>201</v>
      </c>
      <c r="D1088">
        <v>195.5</v>
      </c>
      <c r="E1088">
        <v>196</v>
      </c>
      <c r="F1088">
        <v>632800</v>
      </c>
    </row>
    <row r="1089" spans="1:6">
      <c r="A1089" s="32">
        <v>42212</v>
      </c>
      <c r="B1089">
        <v>197</v>
      </c>
      <c r="C1089">
        <v>201</v>
      </c>
      <c r="D1089">
        <v>196.5</v>
      </c>
      <c r="E1089">
        <v>197</v>
      </c>
      <c r="F1089">
        <v>733100</v>
      </c>
    </row>
    <row r="1090" spans="1:6">
      <c r="A1090" s="32">
        <v>42209</v>
      </c>
      <c r="B1090">
        <v>196</v>
      </c>
      <c r="C1090">
        <v>202</v>
      </c>
      <c r="D1090">
        <v>195</v>
      </c>
      <c r="E1090">
        <v>199</v>
      </c>
      <c r="F1090">
        <v>738500</v>
      </c>
    </row>
    <row r="1091" spans="1:6">
      <c r="A1091" s="32">
        <v>42208</v>
      </c>
      <c r="B1091">
        <v>201</v>
      </c>
      <c r="C1091">
        <v>205</v>
      </c>
      <c r="D1091">
        <v>194.5</v>
      </c>
      <c r="E1091">
        <v>196</v>
      </c>
      <c r="F1091">
        <v>1060100</v>
      </c>
    </row>
    <row r="1092" spans="1:6">
      <c r="A1092" s="32">
        <v>42207</v>
      </c>
      <c r="B1092">
        <v>194.5</v>
      </c>
      <c r="C1092">
        <v>202</v>
      </c>
      <c r="D1092">
        <v>193.5</v>
      </c>
      <c r="E1092">
        <v>201</v>
      </c>
      <c r="F1092">
        <v>769600</v>
      </c>
    </row>
    <row r="1093" spans="1:6">
      <c r="A1093" s="32">
        <v>42206</v>
      </c>
      <c r="B1093">
        <v>196</v>
      </c>
      <c r="C1093">
        <v>198</v>
      </c>
      <c r="D1093">
        <v>193</v>
      </c>
      <c r="E1093">
        <v>195</v>
      </c>
      <c r="F1093">
        <v>518100</v>
      </c>
    </row>
    <row r="1094" spans="1:6">
      <c r="A1094" s="32">
        <v>42205</v>
      </c>
      <c r="B1094">
        <v>198.5</v>
      </c>
      <c r="C1094">
        <v>201</v>
      </c>
      <c r="D1094">
        <v>193</v>
      </c>
      <c r="E1094">
        <v>195</v>
      </c>
      <c r="F1094">
        <v>783500</v>
      </c>
    </row>
    <row r="1095" spans="1:6">
      <c r="A1095" s="32">
        <v>42202</v>
      </c>
      <c r="B1095">
        <v>200</v>
      </c>
      <c r="C1095">
        <v>201</v>
      </c>
      <c r="D1095">
        <v>198</v>
      </c>
      <c r="E1095">
        <v>201</v>
      </c>
      <c r="F1095">
        <v>641800</v>
      </c>
    </row>
    <row r="1096" spans="1:6">
      <c r="A1096" s="32">
        <v>42201</v>
      </c>
      <c r="B1096">
        <v>203</v>
      </c>
      <c r="C1096">
        <v>203</v>
      </c>
      <c r="D1096">
        <v>197</v>
      </c>
      <c r="E1096">
        <v>197</v>
      </c>
      <c r="F1096">
        <v>543700</v>
      </c>
    </row>
    <row r="1097" spans="1:6">
      <c r="A1097" s="32">
        <v>42200</v>
      </c>
      <c r="B1097">
        <v>206</v>
      </c>
      <c r="C1097">
        <v>208</v>
      </c>
      <c r="D1097">
        <v>199</v>
      </c>
      <c r="E1097">
        <v>202</v>
      </c>
      <c r="F1097">
        <v>988100</v>
      </c>
    </row>
    <row r="1098" spans="1:6">
      <c r="A1098" s="32">
        <v>42199</v>
      </c>
      <c r="B1098">
        <v>200</v>
      </c>
      <c r="C1098">
        <v>208</v>
      </c>
      <c r="D1098">
        <v>200</v>
      </c>
      <c r="E1098">
        <v>206</v>
      </c>
      <c r="F1098">
        <v>779700</v>
      </c>
    </row>
    <row r="1099" spans="1:6">
      <c r="A1099" s="32">
        <v>42198</v>
      </c>
      <c r="B1099">
        <v>198.5</v>
      </c>
      <c r="C1099">
        <v>201</v>
      </c>
      <c r="D1099">
        <v>197.5</v>
      </c>
      <c r="E1099">
        <v>200</v>
      </c>
      <c r="F1099">
        <v>581200</v>
      </c>
    </row>
    <row r="1100" spans="1:6">
      <c r="A1100" s="32">
        <v>42195</v>
      </c>
      <c r="B1100">
        <v>197</v>
      </c>
      <c r="C1100">
        <v>199.5</v>
      </c>
      <c r="D1100">
        <v>195.5</v>
      </c>
      <c r="E1100">
        <v>197</v>
      </c>
      <c r="F1100">
        <v>459000</v>
      </c>
    </row>
    <row r="1101" spans="1:6">
      <c r="A1101" s="32">
        <v>42194</v>
      </c>
      <c r="B1101">
        <v>195</v>
      </c>
      <c r="C1101">
        <v>201</v>
      </c>
      <c r="D1101">
        <v>193.5</v>
      </c>
      <c r="E1101">
        <v>196</v>
      </c>
      <c r="F1101">
        <v>1221900</v>
      </c>
    </row>
    <row r="1102" spans="1:6">
      <c r="A1102" s="32">
        <v>42193</v>
      </c>
      <c r="B1102">
        <v>187.5</v>
      </c>
      <c r="C1102">
        <v>196.5</v>
      </c>
      <c r="D1102">
        <v>186</v>
      </c>
      <c r="E1102">
        <v>195</v>
      </c>
      <c r="F1102">
        <v>1378700</v>
      </c>
    </row>
    <row r="1103" spans="1:6">
      <c r="A1103" s="32">
        <v>42192</v>
      </c>
      <c r="B1103">
        <v>188.5</v>
      </c>
      <c r="C1103">
        <v>188.5</v>
      </c>
      <c r="D1103">
        <v>186</v>
      </c>
      <c r="E1103">
        <v>188.5</v>
      </c>
      <c r="F1103">
        <v>764400</v>
      </c>
    </row>
    <row r="1104" spans="1:6">
      <c r="A1104" s="32">
        <v>42191</v>
      </c>
      <c r="B1104">
        <v>184</v>
      </c>
      <c r="C1104">
        <v>186.5</v>
      </c>
      <c r="D1104">
        <v>184</v>
      </c>
      <c r="E1104">
        <v>186.5</v>
      </c>
      <c r="F1104">
        <v>420300</v>
      </c>
    </row>
    <row r="1105" spans="1:6">
      <c r="A1105" s="32">
        <v>42188</v>
      </c>
      <c r="B1105">
        <v>187.5</v>
      </c>
      <c r="C1105">
        <v>188.5</v>
      </c>
      <c r="D1105">
        <v>185</v>
      </c>
      <c r="E1105">
        <v>186</v>
      </c>
      <c r="F1105">
        <v>396300</v>
      </c>
    </row>
    <row r="1106" spans="1:6">
      <c r="A1106" s="32">
        <v>42187</v>
      </c>
      <c r="B1106">
        <v>189</v>
      </c>
      <c r="C1106">
        <v>190</v>
      </c>
      <c r="D1106">
        <v>187</v>
      </c>
      <c r="E1106">
        <v>188.5</v>
      </c>
      <c r="F1106">
        <v>892900</v>
      </c>
    </row>
    <row r="1107" spans="1:6">
      <c r="A1107" s="32">
        <v>42185</v>
      </c>
      <c r="B1107">
        <v>184.5</v>
      </c>
      <c r="C1107">
        <v>189</v>
      </c>
      <c r="D1107">
        <v>184</v>
      </c>
      <c r="E1107">
        <v>187</v>
      </c>
      <c r="F1107">
        <v>1612600</v>
      </c>
    </row>
    <row r="1108" spans="1:6">
      <c r="A1108" s="32">
        <v>42184</v>
      </c>
      <c r="B1108">
        <v>179.5</v>
      </c>
      <c r="C1108">
        <v>184.5</v>
      </c>
      <c r="D1108">
        <v>179</v>
      </c>
      <c r="E1108">
        <v>183</v>
      </c>
      <c r="F1108">
        <v>1426600</v>
      </c>
    </row>
    <row r="1109" spans="1:6">
      <c r="A1109" s="32">
        <v>42181</v>
      </c>
      <c r="B1109">
        <v>179.5</v>
      </c>
      <c r="C1109">
        <v>182</v>
      </c>
      <c r="D1109">
        <v>179.5</v>
      </c>
      <c r="E1109">
        <v>182</v>
      </c>
      <c r="F1109">
        <v>1259500</v>
      </c>
    </row>
    <row r="1110" spans="1:6">
      <c r="A1110" s="32">
        <v>42180</v>
      </c>
      <c r="B1110">
        <v>179</v>
      </c>
      <c r="C1110">
        <v>180</v>
      </c>
      <c r="D1110">
        <v>178</v>
      </c>
      <c r="E1110">
        <v>178.5</v>
      </c>
      <c r="F1110">
        <v>1597600</v>
      </c>
    </row>
    <row r="1111" spans="1:6">
      <c r="A1111" s="32">
        <v>42179</v>
      </c>
      <c r="B1111">
        <v>178.5</v>
      </c>
      <c r="C1111">
        <v>180</v>
      </c>
      <c r="D1111">
        <v>177.5</v>
      </c>
      <c r="E1111">
        <v>178</v>
      </c>
      <c r="F1111">
        <v>977600</v>
      </c>
    </row>
    <row r="1112" spans="1:6">
      <c r="A1112" s="32">
        <v>42178</v>
      </c>
      <c r="B1112">
        <v>181.5</v>
      </c>
      <c r="C1112">
        <v>182</v>
      </c>
      <c r="D1112">
        <v>177.5</v>
      </c>
      <c r="E1112">
        <v>178</v>
      </c>
      <c r="F1112">
        <v>1116600</v>
      </c>
    </row>
    <row r="1113" spans="1:6">
      <c r="A1113" s="32">
        <v>42177</v>
      </c>
      <c r="B1113">
        <v>180.5</v>
      </c>
      <c r="C1113">
        <v>182</v>
      </c>
      <c r="D1113">
        <v>178.5</v>
      </c>
      <c r="E1113">
        <v>179.5</v>
      </c>
      <c r="F1113">
        <v>1813700</v>
      </c>
    </row>
    <row r="1114" spans="1:6">
      <c r="A1114" s="32">
        <v>42174</v>
      </c>
      <c r="B1114">
        <v>184</v>
      </c>
      <c r="C1114">
        <v>184</v>
      </c>
      <c r="D1114">
        <v>176.5</v>
      </c>
      <c r="E1114">
        <v>178.5</v>
      </c>
      <c r="F1114">
        <v>4450400</v>
      </c>
    </row>
    <row r="1115" spans="1:6">
      <c r="A1115" s="32">
        <v>42173</v>
      </c>
      <c r="B1115">
        <v>184.5</v>
      </c>
      <c r="C1115">
        <v>190.5</v>
      </c>
      <c r="D1115">
        <v>183.5</v>
      </c>
      <c r="E1115">
        <v>190</v>
      </c>
      <c r="F1115">
        <v>1483700</v>
      </c>
    </row>
    <row r="1116" spans="1:6">
      <c r="A1116" s="32">
        <v>42172</v>
      </c>
      <c r="B1116">
        <v>181</v>
      </c>
      <c r="C1116">
        <v>183.5</v>
      </c>
      <c r="D1116">
        <v>181</v>
      </c>
      <c r="E1116">
        <v>182</v>
      </c>
      <c r="F1116">
        <v>756500</v>
      </c>
    </row>
    <row r="1117" spans="1:6">
      <c r="A1117" s="32">
        <v>42171</v>
      </c>
      <c r="B1117">
        <v>182</v>
      </c>
      <c r="C1117">
        <v>184</v>
      </c>
      <c r="D1117">
        <v>180.5</v>
      </c>
      <c r="E1117">
        <v>181.5</v>
      </c>
      <c r="F1117">
        <v>728800</v>
      </c>
    </row>
    <row r="1118" spans="1:6">
      <c r="A1118" s="32">
        <v>42170</v>
      </c>
      <c r="B1118">
        <v>188.5</v>
      </c>
      <c r="C1118">
        <v>189.5</v>
      </c>
      <c r="D1118">
        <v>183.5</v>
      </c>
      <c r="E1118">
        <v>183.5</v>
      </c>
      <c r="F1118">
        <v>498600</v>
      </c>
    </row>
    <row r="1119" spans="1:6">
      <c r="A1119" s="32">
        <v>42167</v>
      </c>
      <c r="B1119">
        <v>190</v>
      </c>
      <c r="C1119">
        <v>190</v>
      </c>
      <c r="D1119">
        <v>184</v>
      </c>
      <c r="E1119">
        <v>188.5</v>
      </c>
      <c r="F1119">
        <v>571100</v>
      </c>
    </row>
    <row r="1120" spans="1:6">
      <c r="A1120" s="32">
        <v>42166</v>
      </c>
      <c r="B1120">
        <v>185.5</v>
      </c>
      <c r="C1120">
        <v>190.5</v>
      </c>
      <c r="D1120">
        <v>185.5</v>
      </c>
      <c r="E1120">
        <v>190.5</v>
      </c>
      <c r="F1120">
        <v>911600</v>
      </c>
    </row>
    <row r="1121" spans="1:6">
      <c r="A1121" s="32">
        <v>42165</v>
      </c>
      <c r="B1121">
        <v>180.5</v>
      </c>
      <c r="C1121">
        <v>187</v>
      </c>
      <c r="D1121">
        <v>179</v>
      </c>
      <c r="E1121">
        <v>184</v>
      </c>
      <c r="F1121">
        <v>929300</v>
      </c>
    </row>
    <row r="1122" spans="1:6">
      <c r="A1122" s="32">
        <v>42164</v>
      </c>
      <c r="B1122">
        <v>180.5</v>
      </c>
      <c r="C1122">
        <v>181</v>
      </c>
      <c r="D1122">
        <v>178.5</v>
      </c>
      <c r="E1122">
        <v>180</v>
      </c>
      <c r="F1122">
        <v>483100</v>
      </c>
    </row>
    <row r="1123" spans="1:6">
      <c r="A1123" s="32">
        <v>42163</v>
      </c>
      <c r="B1123">
        <v>178</v>
      </c>
      <c r="C1123">
        <v>182.5</v>
      </c>
      <c r="D1123">
        <v>177.5</v>
      </c>
      <c r="E1123">
        <v>179</v>
      </c>
      <c r="F1123">
        <v>598000</v>
      </c>
    </row>
    <row r="1124" spans="1:6">
      <c r="A1124" s="32">
        <v>42160</v>
      </c>
      <c r="B1124">
        <v>183.5</v>
      </c>
      <c r="C1124">
        <v>184</v>
      </c>
      <c r="D1124">
        <v>177</v>
      </c>
      <c r="E1124">
        <v>180.5</v>
      </c>
      <c r="F1124">
        <v>548900</v>
      </c>
    </row>
    <row r="1125" spans="1:6">
      <c r="A1125" s="32">
        <v>42159</v>
      </c>
      <c r="B1125">
        <v>179</v>
      </c>
      <c r="C1125">
        <v>182.5</v>
      </c>
      <c r="D1125">
        <v>178</v>
      </c>
      <c r="E1125">
        <v>182</v>
      </c>
      <c r="F1125">
        <v>1093500</v>
      </c>
    </row>
    <row r="1126" spans="1:6">
      <c r="A1126" s="32">
        <v>42158</v>
      </c>
      <c r="B1126">
        <v>174.5</v>
      </c>
      <c r="C1126">
        <v>178</v>
      </c>
      <c r="D1126">
        <v>173</v>
      </c>
      <c r="E1126">
        <v>177.5</v>
      </c>
      <c r="F1126">
        <v>576400</v>
      </c>
    </row>
    <row r="1127" spans="1:6">
      <c r="A1127" s="32">
        <v>42157</v>
      </c>
      <c r="B1127">
        <v>169.5</v>
      </c>
      <c r="C1127">
        <v>174</v>
      </c>
      <c r="D1127">
        <v>168.5</v>
      </c>
      <c r="E1127">
        <v>172</v>
      </c>
      <c r="F1127">
        <v>963100</v>
      </c>
    </row>
    <row r="1128" spans="1:6">
      <c r="A1128" s="32">
        <v>42153</v>
      </c>
      <c r="B1128">
        <v>170.5</v>
      </c>
      <c r="C1128">
        <v>174.5</v>
      </c>
      <c r="D1128">
        <v>170.5</v>
      </c>
      <c r="E1128">
        <v>174</v>
      </c>
      <c r="F1128">
        <v>1316900</v>
      </c>
    </row>
    <row r="1129" spans="1:6">
      <c r="A1129" s="32">
        <v>42152</v>
      </c>
      <c r="B1129">
        <v>173.5</v>
      </c>
      <c r="C1129">
        <v>175</v>
      </c>
      <c r="D1129">
        <v>170</v>
      </c>
      <c r="E1129">
        <v>171.5</v>
      </c>
      <c r="F1129">
        <v>845000</v>
      </c>
    </row>
    <row r="1130" spans="1:6">
      <c r="A1130" s="32">
        <v>42151</v>
      </c>
      <c r="B1130">
        <v>172.5</v>
      </c>
      <c r="C1130">
        <v>176</v>
      </c>
      <c r="D1130">
        <v>172</v>
      </c>
      <c r="E1130">
        <v>173.5</v>
      </c>
      <c r="F1130">
        <v>881000</v>
      </c>
    </row>
    <row r="1131" spans="1:6">
      <c r="A1131" s="32">
        <v>42150</v>
      </c>
      <c r="B1131">
        <v>177.5</v>
      </c>
      <c r="C1131">
        <v>180</v>
      </c>
      <c r="D1131">
        <v>171</v>
      </c>
      <c r="E1131">
        <v>172</v>
      </c>
      <c r="F1131">
        <v>736300</v>
      </c>
    </row>
    <row r="1132" spans="1:6">
      <c r="A1132" s="32">
        <v>42149</v>
      </c>
      <c r="B1132">
        <v>179</v>
      </c>
      <c r="C1132">
        <v>181</v>
      </c>
      <c r="D1132">
        <v>176.5</v>
      </c>
      <c r="E1132">
        <v>180</v>
      </c>
      <c r="F1132">
        <v>535100</v>
      </c>
    </row>
    <row r="1133" spans="1:6">
      <c r="A1133" s="32">
        <v>42146</v>
      </c>
      <c r="B1133">
        <v>186</v>
      </c>
      <c r="C1133">
        <v>186</v>
      </c>
      <c r="D1133">
        <v>180</v>
      </c>
      <c r="E1133">
        <v>180.5</v>
      </c>
      <c r="F1133">
        <v>599000</v>
      </c>
    </row>
    <row r="1134" spans="1:6">
      <c r="A1134" s="32">
        <v>42145</v>
      </c>
      <c r="B1134">
        <v>187.5</v>
      </c>
      <c r="C1134">
        <v>190</v>
      </c>
      <c r="D1134">
        <v>184</v>
      </c>
      <c r="E1134">
        <v>186</v>
      </c>
      <c r="F1134">
        <v>409800</v>
      </c>
    </row>
    <row r="1135" spans="1:6">
      <c r="A1135" s="32">
        <v>42144</v>
      </c>
      <c r="B1135">
        <v>181.5</v>
      </c>
      <c r="C1135">
        <v>192.5</v>
      </c>
      <c r="D1135">
        <v>178.5</v>
      </c>
      <c r="E1135">
        <v>190</v>
      </c>
      <c r="F1135">
        <v>1141700</v>
      </c>
    </row>
    <row r="1136" spans="1:6">
      <c r="A1136" s="32">
        <v>42143</v>
      </c>
      <c r="B1136">
        <v>178.5</v>
      </c>
      <c r="C1136">
        <v>182.5</v>
      </c>
      <c r="D1136">
        <v>176.5</v>
      </c>
      <c r="E1136">
        <v>181</v>
      </c>
      <c r="F1136">
        <v>848300</v>
      </c>
    </row>
    <row r="1137" spans="1:6">
      <c r="A1137" s="32">
        <v>42142</v>
      </c>
      <c r="B1137">
        <v>176.5</v>
      </c>
      <c r="C1137">
        <v>181</v>
      </c>
      <c r="D1137">
        <v>176</v>
      </c>
      <c r="E1137">
        <v>176.5</v>
      </c>
      <c r="F1137">
        <v>320000</v>
      </c>
    </row>
    <row r="1138" spans="1:6">
      <c r="A1138" s="32">
        <v>42139</v>
      </c>
      <c r="B1138">
        <v>180</v>
      </c>
      <c r="C1138">
        <v>182.5</v>
      </c>
      <c r="D1138">
        <v>176</v>
      </c>
      <c r="E1138">
        <v>176</v>
      </c>
      <c r="F1138">
        <v>467700</v>
      </c>
    </row>
    <row r="1139" spans="1:6">
      <c r="A1139" s="32">
        <v>42138</v>
      </c>
      <c r="B1139">
        <v>182.5</v>
      </c>
      <c r="C1139">
        <v>182.5</v>
      </c>
      <c r="D1139">
        <v>178</v>
      </c>
      <c r="E1139">
        <v>181</v>
      </c>
      <c r="F1139">
        <v>526800</v>
      </c>
    </row>
    <row r="1140" spans="1:6">
      <c r="A1140" s="32">
        <v>42137</v>
      </c>
      <c r="B1140">
        <v>183</v>
      </c>
      <c r="C1140">
        <v>186.5</v>
      </c>
      <c r="D1140">
        <v>180</v>
      </c>
      <c r="E1140">
        <v>183</v>
      </c>
      <c r="F1140">
        <v>399300</v>
      </c>
    </row>
    <row r="1141" spans="1:6">
      <c r="A1141" s="32">
        <v>42136</v>
      </c>
      <c r="B1141">
        <v>180</v>
      </c>
      <c r="C1141">
        <v>180</v>
      </c>
      <c r="D1141">
        <v>174</v>
      </c>
      <c r="E1141">
        <v>180</v>
      </c>
      <c r="F1141">
        <v>1066500</v>
      </c>
    </row>
    <row r="1142" spans="1:6">
      <c r="A1142" s="32">
        <v>42135</v>
      </c>
      <c r="B1142">
        <v>192</v>
      </c>
      <c r="C1142">
        <v>192</v>
      </c>
      <c r="D1142">
        <v>179.5</v>
      </c>
      <c r="E1142">
        <v>179.5</v>
      </c>
      <c r="F1142">
        <v>1200200</v>
      </c>
    </row>
    <row r="1143" spans="1:6">
      <c r="A1143" s="32">
        <v>42132</v>
      </c>
      <c r="B1143">
        <v>180</v>
      </c>
      <c r="C1143">
        <v>192.5</v>
      </c>
      <c r="D1143">
        <v>180</v>
      </c>
      <c r="E1143">
        <v>188.5</v>
      </c>
      <c r="F1143">
        <v>2066100</v>
      </c>
    </row>
    <row r="1144" spans="1:6">
      <c r="A1144" s="32">
        <v>42131</v>
      </c>
      <c r="B1144">
        <v>170</v>
      </c>
      <c r="C1144">
        <v>180</v>
      </c>
      <c r="D1144">
        <v>170</v>
      </c>
      <c r="E1144">
        <v>176.5</v>
      </c>
      <c r="F1144">
        <v>1819300</v>
      </c>
    </row>
    <row r="1145" spans="1:6">
      <c r="A1145" s="32">
        <v>42130</v>
      </c>
      <c r="B1145">
        <v>164</v>
      </c>
      <c r="C1145">
        <v>169</v>
      </c>
      <c r="D1145">
        <v>159.5</v>
      </c>
      <c r="E1145">
        <v>168</v>
      </c>
      <c r="F1145">
        <v>1461200</v>
      </c>
    </row>
    <row r="1146" spans="1:6">
      <c r="A1146" s="32">
        <v>42124</v>
      </c>
      <c r="B1146">
        <v>161.5</v>
      </c>
      <c r="C1146">
        <v>162</v>
      </c>
      <c r="D1146">
        <v>158.5</v>
      </c>
      <c r="E1146">
        <v>160.5</v>
      </c>
      <c r="F1146">
        <v>991400</v>
      </c>
    </row>
    <row r="1147" spans="1:6">
      <c r="A1147" s="32">
        <v>42123</v>
      </c>
      <c r="B1147">
        <v>155</v>
      </c>
      <c r="C1147">
        <v>160</v>
      </c>
      <c r="D1147">
        <v>154.5</v>
      </c>
      <c r="E1147">
        <v>159</v>
      </c>
      <c r="F1147">
        <v>1055200</v>
      </c>
    </row>
    <row r="1148" spans="1:6">
      <c r="A1148" s="32">
        <v>42122</v>
      </c>
      <c r="B1148">
        <v>155</v>
      </c>
      <c r="C1148">
        <v>157.5</v>
      </c>
      <c r="D1148">
        <v>154.5</v>
      </c>
      <c r="E1148">
        <v>157.5</v>
      </c>
      <c r="F1148">
        <v>733800</v>
      </c>
    </row>
    <row r="1149" spans="1:6">
      <c r="A1149" s="32">
        <v>42121</v>
      </c>
      <c r="B1149">
        <v>154</v>
      </c>
      <c r="C1149">
        <v>156</v>
      </c>
      <c r="D1149">
        <v>153</v>
      </c>
      <c r="E1149">
        <v>156</v>
      </c>
      <c r="F1149">
        <v>837600</v>
      </c>
    </row>
    <row r="1150" spans="1:6">
      <c r="A1150" s="32">
        <v>42118</v>
      </c>
      <c r="B1150">
        <v>154.5</v>
      </c>
      <c r="C1150">
        <v>154.5</v>
      </c>
      <c r="D1150">
        <v>151.5</v>
      </c>
      <c r="E1150">
        <v>152.5</v>
      </c>
      <c r="F1150">
        <v>524100</v>
      </c>
    </row>
    <row r="1151" spans="1:6">
      <c r="A1151" s="32">
        <v>42117</v>
      </c>
      <c r="B1151">
        <v>151</v>
      </c>
      <c r="C1151">
        <v>155</v>
      </c>
      <c r="D1151">
        <v>151</v>
      </c>
      <c r="E1151">
        <v>153</v>
      </c>
      <c r="F1151">
        <v>576600</v>
      </c>
    </row>
    <row r="1152" spans="1:6">
      <c r="A1152" s="32">
        <v>42116</v>
      </c>
      <c r="B1152">
        <v>152.5</v>
      </c>
      <c r="C1152">
        <v>153.5</v>
      </c>
      <c r="D1152">
        <v>151</v>
      </c>
      <c r="E1152">
        <v>151</v>
      </c>
      <c r="F1152">
        <v>542100</v>
      </c>
    </row>
    <row r="1153" spans="1:6">
      <c r="A1153" s="32">
        <v>42115</v>
      </c>
      <c r="B1153">
        <v>153.5</v>
      </c>
      <c r="C1153">
        <v>155</v>
      </c>
      <c r="D1153">
        <v>152.5</v>
      </c>
      <c r="E1153">
        <v>152.5</v>
      </c>
      <c r="F1153">
        <v>196100</v>
      </c>
    </row>
    <row r="1154" spans="1:6">
      <c r="A1154" s="32">
        <v>42114</v>
      </c>
      <c r="B1154">
        <v>154.5</v>
      </c>
      <c r="C1154">
        <v>155</v>
      </c>
      <c r="D1154">
        <v>153</v>
      </c>
      <c r="E1154">
        <v>153</v>
      </c>
      <c r="F1154">
        <v>297100</v>
      </c>
    </row>
    <row r="1155" spans="1:6">
      <c r="A1155" s="32">
        <v>42111</v>
      </c>
      <c r="B1155">
        <v>156</v>
      </c>
      <c r="C1155">
        <v>156.5</v>
      </c>
      <c r="D1155">
        <v>153.5</v>
      </c>
      <c r="E1155">
        <v>153.5</v>
      </c>
      <c r="F1155">
        <v>443500</v>
      </c>
    </row>
    <row r="1156" spans="1:6">
      <c r="A1156" s="32">
        <v>42110</v>
      </c>
      <c r="B1156">
        <v>152.5</v>
      </c>
      <c r="C1156">
        <v>155</v>
      </c>
      <c r="D1156">
        <v>151.5</v>
      </c>
      <c r="E1156">
        <v>155</v>
      </c>
      <c r="F1156">
        <v>543700</v>
      </c>
    </row>
    <row r="1157" spans="1:6">
      <c r="A1157" s="32">
        <v>42104</v>
      </c>
      <c r="B1157">
        <v>153</v>
      </c>
      <c r="C1157">
        <v>154</v>
      </c>
      <c r="D1157">
        <v>151</v>
      </c>
      <c r="E1157">
        <v>152</v>
      </c>
      <c r="F1157">
        <v>460700</v>
      </c>
    </row>
    <row r="1158" spans="1:6">
      <c r="A1158" s="32">
        <v>42103</v>
      </c>
      <c r="B1158">
        <v>156</v>
      </c>
      <c r="C1158">
        <v>156</v>
      </c>
      <c r="D1158">
        <v>152</v>
      </c>
      <c r="E1158">
        <v>153.5</v>
      </c>
      <c r="F1158">
        <v>294500</v>
      </c>
    </row>
    <row r="1159" spans="1:6">
      <c r="A1159" s="32">
        <v>42102</v>
      </c>
      <c r="B1159">
        <v>158</v>
      </c>
      <c r="C1159">
        <v>158.5</v>
      </c>
      <c r="D1159">
        <v>154</v>
      </c>
      <c r="E1159">
        <v>155</v>
      </c>
      <c r="F1159">
        <v>397300</v>
      </c>
    </row>
    <row r="1160" spans="1:6">
      <c r="A1160" s="32">
        <v>42101</v>
      </c>
      <c r="B1160">
        <v>159.5</v>
      </c>
      <c r="C1160">
        <v>159.5</v>
      </c>
      <c r="D1160">
        <v>157.5</v>
      </c>
      <c r="E1160">
        <v>157.5</v>
      </c>
      <c r="F1160">
        <v>402100</v>
      </c>
    </row>
    <row r="1161" spans="1:6">
      <c r="A1161" s="32">
        <v>42097</v>
      </c>
      <c r="B1161">
        <v>159.5</v>
      </c>
      <c r="C1161">
        <v>159.5</v>
      </c>
      <c r="D1161">
        <v>156</v>
      </c>
      <c r="E1161">
        <v>157</v>
      </c>
      <c r="F1161">
        <v>231600</v>
      </c>
    </row>
    <row r="1162" spans="1:6">
      <c r="A1162" s="32">
        <v>42096</v>
      </c>
      <c r="B1162">
        <v>158</v>
      </c>
      <c r="C1162">
        <v>159</v>
      </c>
      <c r="D1162">
        <v>155</v>
      </c>
      <c r="E1162">
        <v>155.5</v>
      </c>
      <c r="F1162">
        <v>351900</v>
      </c>
    </row>
    <row r="1163" spans="1:6">
      <c r="A1163" s="32">
        <v>42095</v>
      </c>
      <c r="B1163">
        <v>153</v>
      </c>
      <c r="C1163">
        <v>157.5</v>
      </c>
      <c r="D1163">
        <v>150</v>
      </c>
      <c r="E1163">
        <v>157.5</v>
      </c>
      <c r="F1163">
        <v>609100</v>
      </c>
    </row>
    <row r="1164" spans="1:6">
      <c r="A1164" s="32">
        <v>42094</v>
      </c>
      <c r="B1164">
        <v>149</v>
      </c>
      <c r="C1164">
        <v>153.5</v>
      </c>
      <c r="D1164">
        <v>148</v>
      </c>
      <c r="E1164">
        <v>152</v>
      </c>
      <c r="F1164">
        <v>919500</v>
      </c>
    </row>
    <row r="1165" spans="1:6">
      <c r="A1165" s="32">
        <v>42093</v>
      </c>
      <c r="B1165">
        <v>150.5</v>
      </c>
      <c r="C1165">
        <v>151</v>
      </c>
      <c r="D1165">
        <v>147</v>
      </c>
      <c r="E1165">
        <v>147</v>
      </c>
      <c r="F1165">
        <v>521100</v>
      </c>
    </row>
    <row r="1166" spans="1:6">
      <c r="A1166" s="32">
        <v>42090</v>
      </c>
      <c r="B1166">
        <v>150</v>
      </c>
      <c r="C1166">
        <v>150</v>
      </c>
      <c r="D1166">
        <v>147.5</v>
      </c>
      <c r="E1166">
        <v>149</v>
      </c>
      <c r="F1166">
        <v>377800</v>
      </c>
    </row>
    <row r="1167" spans="1:6">
      <c r="A1167" s="32">
        <v>42089</v>
      </c>
      <c r="B1167">
        <v>150</v>
      </c>
      <c r="C1167">
        <v>151</v>
      </c>
      <c r="D1167">
        <v>147.5</v>
      </c>
      <c r="E1167">
        <v>147.5</v>
      </c>
      <c r="F1167">
        <v>362100</v>
      </c>
    </row>
    <row r="1168" spans="1:6">
      <c r="A1168" s="32">
        <v>42088</v>
      </c>
      <c r="B1168">
        <v>152</v>
      </c>
      <c r="C1168">
        <v>153</v>
      </c>
      <c r="D1168">
        <v>149.5</v>
      </c>
      <c r="E1168">
        <v>152.5</v>
      </c>
      <c r="F1168">
        <v>418900</v>
      </c>
    </row>
    <row r="1169" spans="1:6">
      <c r="A1169" s="32">
        <v>42087</v>
      </c>
      <c r="B1169">
        <v>150</v>
      </c>
      <c r="C1169">
        <v>150.5</v>
      </c>
      <c r="D1169">
        <v>149</v>
      </c>
      <c r="E1169">
        <v>150.5</v>
      </c>
      <c r="F1169">
        <v>497900</v>
      </c>
    </row>
    <row r="1170" spans="1:6">
      <c r="A1170" s="32">
        <v>42086</v>
      </c>
      <c r="B1170">
        <v>151</v>
      </c>
      <c r="C1170">
        <v>152.5</v>
      </c>
      <c r="D1170">
        <v>148.5</v>
      </c>
      <c r="E1170">
        <v>148.5</v>
      </c>
      <c r="F1170">
        <v>326100</v>
      </c>
    </row>
    <row r="1171" spans="1:6">
      <c r="A1171" s="32">
        <v>42083</v>
      </c>
      <c r="B1171">
        <v>149</v>
      </c>
      <c r="C1171">
        <v>149.5</v>
      </c>
      <c r="D1171">
        <v>147.5</v>
      </c>
      <c r="E1171">
        <v>149</v>
      </c>
      <c r="F1171">
        <v>569200</v>
      </c>
    </row>
    <row r="1172" spans="1:6">
      <c r="A1172" s="32">
        <v>42082</v>
      </c>
      <c r="B1172">
        <v>149.5</v>
      </c>
      <c r="C1172">
        <v>150</v>
      </c>
      <c r="D1172">
        <v>146.5</v>
      </c>
      <c r="E1172">
        <v>148</v>
      </c>
      <c r="F1172">
        <v>376600</v>
      </c>
    </row>
    <row r="1173" spans="1:6">
      <c r="A1173" s="32">
        <v>42081</v>
      </c>
      <c r="B1173">
        <v>144</v>
      </c>
      <c r="C1173">
        <v>148.5</v>
      </c>
      <c r="D1173">
        <v>143</v>
      </c>
      <c r="E1173">
        <v>148.5</v>
      </c>
      <c r="F1173">
        <v>1368000</v>
      </c>
    </row>
    <row r="1174" spans="1:6">
      <c r="A1174" s="32">
        <v>42080</v>
      </c>
      <c r="B1174">
        <v>144</v>
      </c>
      <c r="C1174">
        <v>145.5</v>
      </c>
      <c r="D1174">
        <v>142</v>
      </c>
      <c r="E1174">
        <v>142</v>
      </c>
      <c r="F1174">
        <v>444300</v>
      </c>
    </row>
    <row r="1175" spans="1:6">
      <c r="A1175" s="32">
        <v>42079</v>
      </c>
      <c r="B1175">
        <v>144</v>
      </c>
      <c r="C1175">
        <v>145</v>
      </c>
      <c r="D1175">
        <v>142.5</v>
      </c>
      <c r="E1175">
        <v>143</v>
      </c>
      <c r="F1175">
        <v>487000</v>
      </c>
    </row>
    <row r="1176" spans="1:6">
      <c r="A1176" s="32">
        <v>42076</v>
      </c>
      <c r="B1176">
        <v>149</v>
      </c>
      <c r="C1176">
        <v>149</v>
      </c>
      <c r="D1176">
        <v>145.5</v>
      </c>
      <c r="E1176">
        <v>145.5</v>
      </c>
      <c r="F1176">
        <v>509700</v>
      </c>
    </row>
    <row r="1177" spans="1:6">
      <c r="A1177" s="32">
        <v>42075</v>
      </c>
      <c r="B1177">
        <v>149</v>
      </c>
      <c r="C1177">
        <v>150</v>
      </c>
      <c r="D1177">
        <v>145.5</v>
      </c>
      <c r="E1177">
        <v>148</v>
      </c>
      <c r="F1177">
        <v>655000</v>
      </c>
    </row>
    <row r="1178" spans="1:6">
      <c r="A1178" s="32">
        <v>42074</v>
      </c>
      <c r="B1178">
        <v>150.5</v>
      </c>
      <c r="C1178">
        <v>153.5</v>
      </c>
      <c r="D1178">
        <v>147.5</v>
      </c>
      <c r="E1178">
        <v>149</v>
      </c>
      <c r="F1178">
        <v>1196800</v>
      </c>
    </row>
    <row r="1179" spans="1:6">
      <c r="A1179" s="32">
        <v>42073</v>
      </c>
      <c r="B1179">
        <v>149.5</v>
      </c>
      <c r="C1179">
        <v>156.5</v>
      </c>
      <c r="D1179">
        <v>149</v>
      </c>
      <c r="E1179">
        <v>154</v>
      </c>
      <c r="F1179">
        <v>870100</v>
      </c>
    </row>
    <row r="1180" spans="1:6">
      <c r="A1180" s="32">
        <v>42072</v>
      </c>
      <c r="B1180">
        <v>151.5</v>
      </c>
      <c r="C1180">
        <v>153</v>
      </c>
      <c r="D1180">
        <v>151</v>
      </c>
      <c r="E1180">
        <v>151</v>
      </c>
      <c r="F1180">
        <v>482700</v>
      </c>
    </row>
    <row r="1181" spans="1:6">
      <c r="A1181" s="32">
        <v>42069</v>
      </c>
      <c r="B1181">
        <v>151</v>
      </c>
      <c r="C1181">
        <v>152</v>
      </c>
      <c r="D1181">
        <v>151</v>
      </c>
      <c r="E1181">
        <v>152</v>
      </c>
      <c r="F1181">
        <v>629100</v>
      </c>
    </row>
    <row r="1182" spans="1:6">
      <c r="A1182" s="32">
        <v>42068</v>
      </c>
      <c r="B1182">
        <v>155</v>
      </c>
      <c r="C1182">
        <v>157</v>
      </c>
      <c r="D1182">
        <v>151</v>
      </c>
      <c r="E1182">
        <v>151.5</v>
      </c>
      <c r="F1182">
        <v>1498700</v>
      </c>
    </row>
    <row r="1183" spans="1:6">
      <c r="A1183" s="32">
        <v>42066</v>
      </c>
      <c r="B1183">
        <v>157</v>
      </c>
      <c r="C1183">
        <v>157</v>
      </c>
      <c r="D1183">
        <v>153.5</v>
      </c>
      <c r="E1183">
        <v>155</v>
      </c>
      <c r="F1183">
        <v>755600</v>
      </c>
    </row>
    <row r="1184" spans="1:6">
      <c r="A1184" s="32">
        <v>42065</v>
      </c>
      <c r="B1184">
        <v>154</v>
      </c>
      <c r="C1184">
        <v>159.5</v>
      </c>
      <c r="D1184">
        <v>151</v>
      </c>
      <c r="E1184">
        <v>158.5</v>
      </c>
      <c r="F1184">
        <v>1117900</v>
      </c>
    </row>
    <row r="1185" spans="1:6">
      <c r="A1185" s="32">
        <v>42062</v>
      </c>
      <c r="B1185">
        <v>155.5</v>
      </c>
      <c r="C1185">
        <v>155.5</v>
      </c>
      <c r="D1185">
        <v>153</v>
      </c>
      <c r="E1185">
        <v>155.5</v>
      </c>
      <c r="F1185">
        <v>628400</v>
      </c>
    </row>
    <row r="1186" spans="1:6">
      <c r="A1186" s="32">
        <v>42061</v>
      </c>
      <c r="B1186">
        <v>156</v>
      </c>
      <c r="C1186">
        <v>156</v>
      </c>
      <c r="D1186">
        <v>153.5</v>
      </c>
      <c r="E1186">
        <v>155</v>
      </c>
      <c r="F1186">
        <v>554700</v>
      </c>
    </row>
    <row r="1187" spans="1:6">
      <c r="A1187" s="32">
        <v>42060</v>
      </c>
      <c r="B1187">
        <v>157.5</v>
      </c>
      <c r="C1187">
        <v>158.5</v>
      </c>
      <c r="D1187">
        <v>156</v>
      </c>
      <c r="E1187">
        <v>156.5</v>
      </c>
      <c r="F1187">
        <v>353500</v>
      </c>
    </row>
    <row r="1188" spans="1:6">
      <c r="A1188" s="32">
        <v>42059</v>
      </c>
      <c r="B1188">
        <v>156.5</v>
      </c>
      <c r="C1188">
        <v>157.5</v>
      </c>
      <c r="D1188">
        <v>155.5</v>
      </c>
      <c r="E1188">
        <v>156.5</v>
      </c>
      <c r="F1188">
        <v>370400</v>
      </c>
    </row>
    <row r="1189" spans="1:6">
      <c r="A1189" s="32">
        <v>42058</v>
      </c>
      <c r="B1189">
        <v>158</v>
      </c>
      <c r="C1189">
        <v>159.5</v>
      </c>
      <c r="D1189">
        <v>156</v>
      </c>
      <c r="E1189">
        <v>156.5</v>
      </c>
      <c r="F1189">
        <v>392300</v>
      </c>
    </row>
    <row r="1190" spans="1:6">
      <c r="A1190" s="32">
        <v>42055</v>
      </c>
      <c r="B1190">
        <v>157.5</v>
      </c>
      <c r="C1190">
        <v>159</v>
      </c>
      <c r="D1190">
        <v>157</v>
      </c>
      <c r="E1190">
        <v>158</v>
      </c>
      <c r="F1190">
        <v>170400</v>
      </c>
    </row>
    <row r="1191" spans="1:6">
      <c r="A1191" s="32">
        <v>42054</v>
      </c>
      <c r="B1191">
        <v>158.5</v>
      </c>
      <c r="C1191">
        <v>159</v>
      </c>
      <c r="D1191">
        <v>156</v>
      </c>
      <c r="E1191">
        <v>156</v>
      </c>
      <c r="F1191">
        <v>131900</v>
      </c>
    </row>
    <row r="1192" spans="1:6">
      <c r="A1192" s="32">
        <v>42053</v>
      </c>
      <c r="B1192">
        <v>157</v>
      </c>
      <c r="C1192">
        <v>158.5</v>
      </c>
      <c r="D1192">
        <v>156.5</v>
      </c>
      <c r="E1192">
        <v>158.5</v>
      </c>
      <c r="F1192">
        <v>175100</v>
      </c>
    </row>
    <row r="1193" spans="1:6">
      <c r="A1193" s="32">
        <v>42052</v>
      </c>
      <c r="B1193">
        <v>158</v>
      </c>
      <c r="C1193">
        <v>158</v>
      </c>
      <c r="D1193">
        <v>155</v>
      </c>
      <c r="E1193">
        <v>155.5</v>
      </c>
      <c r="F1193">
        <v>404100</v>
      </c>
    </row>
    <row r="1194" spans="1:6">
      <c r="A1194" s="32">
        <v>42051</v>
      </c>
      <c r="B1194">
        <v>156.5</v>
      </c>
      <c r="C1194">
        <v>159</v>
      </c>
      <c r="D1194">
        <v>156.5</v>
      </c>
      <c r="E1194">
        <v>158.5</v>
      </c>
      <c r="F1194">
        <v>192100</v>
      </c>
    </row>
    <row r="1195" spans="1:6">
      <c r="A1195" s="32">
        <v>42048</v>
      </c>
      <c r="B1195">
        <v>160</v>
      </c>
      <c r="C1195">
        <v>160</v>
      </c>
      <c r="D1195">
        <v>156</v>
      </c>
      <c r="E1195">
        <v>159</v>
      </c>
      <c r="F1195">
        <v>391900</v>
      </c>
    </row>
    <row r="1196" spans="1:6">
      <c r="A1196" s="32">
        <v>42047</v>
      </c>
      <c r="B1196">
        <v>155</v>
      </c>
      <c r="C1196">
        <v>159.5</v>
      </c>
      <c r="D1196">
        <v>154.5</v>
      </c>
      <c r="E1196">
        <v>159.5</v>
      </c>
      <c r="F1196">
        <v>464600</v>
      </c>
    </row>
    <row r="1197" spans="1:6">
      <c r="A1197" s="32">
        <v>42046</v>
      </c>
      <c r="B1197">
        <v>152.5</v>
      </c>
      <c r="C1197">
        <v>155</v>
      </c>
      <c r="D1197">
        <v>151</v>
      </c>
      <c r="E1197">
        <v>155</v>
      </c>
      <c r="F1197">
        <v>549300</v>
      </c>
    </row>
    <row r="1198" spans="1:6">
      <c r="A1198" s="32">
        <v>42045</v>
      </c>
      <c r="B1198">
        <v>154</v>
      </c>
      <c r="C1198">
        <v>155</v>
      </c>
      <c r="D1198">
        <v>152.5</v>
      </c>
      <c r="E1198">
        <v>152.5</v>
      </c>
      <c r="F1198">
        <v>763600</v>
      </c>
    </row>
    <row r="1199" spans="1:6">
      <c r="A1199" s="32">
        <v>42044</v>
      </c>
      <c r="B1199">
        <v>158</v>
      </c>
      <c r="C1199">
        <v>158.5</v>
      </c>
      <c r="D1199">
        <v>155</v>
      </c>
      <c r="E1199">
        <v>155.5</v>
      </c>
      <c r="F1199">
        <v>761500</v>
      </c>
    </row>
    <row r="1200" spans="1:6">
      <c r="A1200" s="32">
        <v>42041</v>
      </c>
      <c r="B1200">
        <v>157</v>
      </c>
      <c r="C1200">
        <v>160.5</v>
      </c>
      <c r="D1200">
        <v>157</v>
      </c>
      <c r="E1200">
        <v>158</v>
      </c>
      <c r="F1200">
        <v>706100</v>
      </c>
    </row>
    <row r="1201" spans="1:6">
      <c r="A1201" s="32">
        <v>42040</v>
      </c>
      <c r="B1201">
        <v>158</v>
      </c>
      <c r="C1201">
        <v>160</v>
      </c>
      <c r="D1201">
        <v>156</v>
      </c>
      <c r="E1201">
        <v>157</v>
      </c>
      <c r="F1201">
        <v>910500</v>
      </c>
    </row>
    <row r="1202" spans="1:6">
      <c r="A1202" s="32">
        <v>42039</v>
      </c>
      <c r="B1202">
        <v>161</v>
      </c>
      <c r="C1202">
        <v>162</v>
      </c>
      <c r="D1202">
        <v>159</v>
      </c>
      <c r="E1202">
        <v>159.5</v>
      </c>
      <c r="F1202">
        <v>422000</v>
      </c>
    </row>
    <row r="1203" spans="1:6">
      <c r="A1203" s="32">
        <v>42038</v>
      </c>
      <c r="B1203">
        <v>159</v>
      </c>
      <c r="C1203">
        <v>160</v>
      </c>
      <c r="D1203">
        <v>158.5</v>
      </c>
      <c r="E1203">
        <v>159</v>
      </c>
      <c r="F1203">
        <v>305100</v>
      </c>
    </row>
    <row r="1204" spans="1:6">
      <c r="A1204" s="32">
        <v>42037</v>
      </c>
      <c r="B1204">
        <v>157</v>
      </c>
      <c r="C1204">
        <v>158.5</v>
      </c>
      <c r="D1204">
        <v>155</v>
      </c>
      <c r="E1204">
        <v>158</v>
      </c>
      <c r="F1204">
        <v>642800</v>
      </c>
    </row>
    <row r="1205" spans="1:6">
      <c r="A1205" s="32">
        <v>42034</v>
      </c>
      <c r="B1205">
        <v>160.5</v>
      </c>
      <c r="C1205">
        <v>161.5</v>
      </c>
      <c r="D1205">
        <v>155</v>
      </c>
      <c r="E1205">
        <v>156</v>
      </c>
      <c r="F1205">
        <v>729100</v>
      </c>
    </row>
    <row r="1206" spans="1:6">
      <c r="A1206" s="32">
        <v>42033</v>
      </c>
      <c r="B1206">
        <v>161</v>
      </c>
      <c r="C1206">
        <v>164</v>
      </c>
      <c r="D1206">
        <v>159</v>
      </c>
      <c r="E1206">
        <v>160.5</v>
      </c>
      <c r="F1206">
        <v>706700</v>
      </c>
    </row>
    <row r="1207" spans="1:6">
      <c r="A1207" s="32">
        <v>42032</v>
      </c>
      <c r="B1207">
        <v>159</v>
      </c>
      <c r="C1207">
        <v>162.5</v>
      </c>
      <c r="D1207">
        <v>157.5</v>
      </c>
      <c r="E1207">
        <v>159.5</v>
      </c>
      <c r="F1207">
        <v>423600</v>
      </c>
    </row>
    <row r="1208" spans="1:6">
      <c r="A1208" s="32">
        <v>42031</v>
      </c>
      <c r="B1208">
        <v>163.5</v>
      </c>
      <c r="C1208">
        <v>163.5</v>
      </c>
      <c r="D1208">
        <v>157</v>
      </c>
      <c r="E1208">
        <v>159</v>
      </c>
      <c r="F1208">
        <v>485000</v>
      </c>
    </row>
    <row r="1209" spans="1:6">
      <c r="A1209" s="32">
        <v>42030</v>
      </c>
      <c r="B1209">
        <v>160</v>
      </c>
      <c r="C1209">
        <v>164.5</v>
      </c>
      <c r="D1209">
        <v>160</v>
      </c>
      <c r="E1209">
        <v>164.5</v>
      </c>
      <c r="F1209">
        <v>676800</v>
      </c>
    </row>
    <row r="1210" spans="1:6">
      <c r="A1210" s="32">
        <v>42027</v>
      </c>
      <c r="B1210">
        <v>150</v>
      </c>
      <c r="C1210">
        <v>160</v>
      </c>
      <c r="D1210">
        <v>149</v>
      </c>
      <c r="E1210">
        <v>159.5</v>
      </c>
      <c r="F1210">
        <v>1098400</v>
      </c>
    </row>
    <row r="1211" spans="1:6">
      <c r="A1211" s="32">
        <v>42026</v>
      </c>
      <c r="B1211">
        <v>150</v>
      </c>
      <c r="C1211">
        <v>150</v>
      </c>
      <c r="D1211">
        <v>148.5</v>
      </c>
      <c r="E1211">
        <v>150</v>
      </c>
      <c r="F1211">
        <v>531200</v>
      </c>
    </row>
    <row r="1212" spans="1:6">
      <c r="A1212" s="32">
        <v>42025</v>
      </c>
      <c r="B1212">
        <v>147.5</v>
      </c>
      <c r="C1212">
        <v>148</v>
      </c>
      <c r="D1212">
        <v>145.5</v>
      </c>
      <c r="E1212">
        <v>147.5</v>
      </c>
      <c r="F1212">
        <v>463400</v>
      </c>
    </row>
    <row r="1213" spans="1:6">
      <c r="A1213" s="32">
        <v>42024</v>
      </c>
      <c r="B1213">
        <v>144</v>
      </c>
      <c r="C1213">
        <v>147</v>
      </c>
      <c r="D1213">
        <v>143.5</v>
      </c>
      <c r="E1213">
        <v>146.5</v>
      </c>
      <c r="F1213">
        <v>744300</v>
      </c>
    </row>
    <row r="1214" spans="1:6">
      <c r="A1214" s="32">
        <v>42023</v>
      </c>
      <c r="B1214">
        <v>140.5</v>
      </c>
      <c r="C1214">
        <v>143</v>
      </c>
      <c r="D1214">
        <v>139</v>
      </c>
      <c r="E1214">
        <v>143</v>
      </c>
      <c r="F1214">
        <v>713400</v>
      </c>
    </row>
    <row r="1215" spans="1:6">
      <c r="A1215" s="32">
        <v>42020</v>
      </c>
      <c r="B1215">
        <v>138</v>
      </c>
      <c r="C1215">
        <v>142</v>
      </c>
      <c r="D1215">
        <v>137.5</v>
      </c>
      <c r="E1215">
        <v>140</v>
      </c>
      <c r="F1215">
        <v>793200</v>
      </c>
    </row>
    <row r="1216" spans="1:6">
      <c r="A1216" s="32">
        <v>42019</v>
      </c>
      <c r="B1216">
        <v>141</v>
      </c>
      <c r="C1216">
        <v>141</v>
      </c>
      <c r="D1216">
        <v>138</v>
      </c>
      <c r="E1216">
        <v>139</v>
      </c>
      <c r="F1216">
        <v>528700</v>
      </c>
    </row>
    <row r="1217" spans="1:6">
      <c r="A1217" s="32">
        <v>42018</v>
      </c>
      <c r="B1217">
        <v>141</v>
      </c>
      <c r="C1217">
        <v>141.5</v>
      </c>
      <c r="D1217">
        <v>138.5</v>
      </c>
      <c r="E1217">
        <v>138.5</v>
      </c>
      <c r="F1217">
        <v>702100</v>
      </c>
    </row>
    <row r="1218" spans="1:6">
      <c r="A1218" s="32">
        <v>42017</v>
      </c>
      <c r="B1218">
        <v>139.5</v>
      </c>
      <c r="C1218">
        <v>140.5</v>
      </c>
      <c r="D1218">
        <v>138</v>
      </c>
      <c r="E1218">
        <v>139.5</v>
      </c>
      <c r="F1218">
        <v>624900</v>
      </c>
    </row>
    <row r="1219" spans="1:6">
      <c r="A1219" s="32">
        <v>42016</v>
      </c>
      <c r="B1219">
        <v>141</v>
      </c>
      <c r="C1219">
        <v>141</v>
      </c>
      <c r="D1219">
        <v>139.5</v>
      </c>
      <c r="E1219">
        <v>139.5</v>
      </c>
      <c r="F1219">
        <v>404400</v>
      </c>
    </row>
    <row r="1220" spans="1:6">
      <c r="A1220" s="32">
        <v>42013</v>
      </c>
      <c r="B1220">
        <v>141.5</v>
      </c>
      <c r="C1220">
        <v>141.5</v>
      </c>
      <c r="D1220">
        <v>138.5</v>
      </c>
      <c r="E1220">
        <v>138.5</v>
      </c>
      <c r="F1220">
        <v>694000</v>
      </c>
    </row>
    <row r="1221" spans="1:6">
      <c r="A1221" s="32">
        <v>42012</v>
      </c>
      <c r="B1221">
        <v>141</v>
      </c>
      <c r="C1221">
        <v>141.5</v>
      </c>
      <c r="D1221">
        <v>139.5</v>
      </c>
      <c r="E1221">
        <v>140.5</v>
      </c>
      <c r="F1221">
        <v>257500</v>
      </c>
    </row>
    <row r="1222" spans="1:6">
      <c r="A1222" s="32">
        <v>42011</v>
      </c>
      <c r="B1222">
        <v>140.5</v>
      </c>
      <c r="C1222">
        <v>140.5</v>
      </c>
      <c r="D1222">
        <v>138</v>
      </c>
      <c r="E1222">
        <v>139.5</v>
      </c>
      <c r="F1222">
        <v>434500</v>
      </c>
    </row>
    <row r="1223" spans="1:6">
      <c r="A1223" s="32">
        <v>42010</v>
      </c>
      <c r="B1223">
        <v>137.5</v>
      </c>
      <c r="C1223">
        <v>139.5</v>
      </c>
      <c r="D1223">
        <v>137</v>
      </c>
      <c r="E1223">
        <v>139.5</v>
      </c>
      <c r="F1223">
        <v>399500</v>
      </c>
    </row>
    <row r="1224" spans="1:6">
      <c r="A1224" s="32">
        <v>42009</v>
      </c>
      <c r="B1224">
        <v>137</v>
      </c>
      <c r="C1224">
        <v>139</v>
      </c>
      <c r="D1224">
        <v>137</v>
      </c>
      <c r="E1224">
        <v>138.5</v>
      </c>
      <c r="F1224">
        <v>569200</v>
      </c>
    </row>
    <row r="1225" spans="1:6">
      <c r="A1225" s="32">
        <v>42003</v>
      </c>
      <c r="B1225">
        <v>143</v>
      </c>
      <c r="C1225">
        <v>143</v>
      </c>
      <c r="D1225">
        <v>140</v>
      </c>
      <c r="E1225">
        <v>141</v>
      </c>
      <c r="F1225">
        <v>443900</v>
      </c>
    </row>
    <row r="1226" spans="1:6">
      <c r="A1226" s="32">
        <v>42002</v>
      </c>
      <c r="B1226">
        <v>146.5</v>
      </c>
      <c r="C1226">
        <v>146.5</v>
      </c>
      <c r="D1226">
        <v>139.5</v>
      </c>
      <c r="E1226">
        <v>142.5</v>
      </c>
      <c r="F1226">
        <v>261900</v>
      </c>
    </row>
    <row r="1227" spans="1:6">
      <c r="A1227" s="32">
        <v>41999</v>
      </c>
      <c r="B1227">
        <v>146</v>
      </c>
      <c r="C1227">
        <v>146</v>
      </c>
      <c r="D1227">
        <v>141.5</v>
      </c>
      <c r="E1227">
        <v>144.5</v>
      </c>
      <c r="F1227">
        <v>294300</v>
      </c>
    </row>
    <row r="1228" spans="1:6">
      <c r="A1228" s="32">
        <v>41998</v>
      </c>
      <c r="B1228">
        <v>146</v>
      </c>
      <c r="C1228">
        <v>148</v>
      </c>
      <c r="D1228">
        <v>142</v>
      </c>
      <c r="E1228">
        <v>145</v>
      </c>
      <c r="F1228">
        <v>200400</v>
      </c>
    </row>
    <row r="1229" spans="1:6">
      <c r="A1229" s="32">
        <v>41997</v>
      </c>
      <c r="B1229">
        <v>150.5</v>
      </c>
      <c r="C1229">
        <v>150.5</v>
      </c>
      <c r="D1229">
        <v>146.5</v>
      </c>
      <c r="E1229">
        <v>147.5</v>
      </c>
      <c r="F1229">
        <v>202900</v>
      </c>
    </row>
    <row r="1230" spans="1:6">
      <c r="A1230" s="32">
        <v>41996</v>
      </c>
      <c r="B1230">
        <v>149.5</v>
      </c>
      <c r="C1230">
        <v>151</v>
      </c>
      <c r="D1230">
        <v>148</v>
      </c>
      <c r="E1230">
        <v>150.5</v>
      </c>
      <c r="F1230">
        <v>302200</v>
      </c>
    </row>
    <row r="1231" spans="1:6">
      <c r="A1231" s="32">
        <v>41995</v>
      </c>
      <c r="B1231">
        <v>147.5</v>
      </c>
      <c r="C1231">
        <v>149</v>
      </c>
      <c r="D1231">
        <v>147</v>
      </c>
      <c r="E1231">
        <v>149</v>
      </c>
      <c r="F1231">
        <v>584000</v>
      </c>
    </row>
    <row r="1232" spans="1:6">
      <c r="A1232" s="32">
        <v>41992</v>
      </c>
      <c r="B1232">
        <v>147.5</v>
      </c>
      <c r="C1232">
        <v>148.5</v>
      </c>
      <c r="D1232">
        <v>145.5</v>
      </c>
      <c r="E1232">
        <v>146.5</v>
      </c>
      <c r="F1232">
        <v>990400</v>
      </c>
    </row>
    <row r="1233" spans="1:6">
      <c r="A1233" s="32">
        <v>41991</v>
      </c>
      <c r="B1233">
        <v>143</v>
      </c>
      <c r="C1233">
        <v>145</v>
      </c>
      <c r="D1233">
        <v>143</v>
      </c>
      <c r="E1233">
        <v>145</v>
      </c>
      <c r="F1233">
        <v>553800</v>
      </c>
    </row>
    <row r="1234" spans="1:6">
      <c r="A1234" s="32">
        <v>41990</v>
      </c>
      <c r="B1234">
        <v>139</v>
      </c>
      <c r="C1234">
        <v>143</v>
      </c>
      <c r="D1234">
        <v>139</v>
      </c>
      <c r="E1234">
        <v>141.5</v>
      </c>
      <c r="F1234">
        <v>645900</v>
      </c>
    </row>
    <row r="1235" spans="1:6">
      <c r="A1235" s="32">
        <v>41989</v>
      </c>
      <c r="B1235">
        <v>135.5</v>
      </c>
      <c r="C1235">
        <v>142.5</v>
      </c>
      <c r="D1235">
        <v>131.5</v>
      </c>
      <c r="E1235">
        <v>140</v>
      </c>
      <c r="F1235">
        <v>1351700</v>
      </c>
    </row>
    <row r="1236" spans="1:6">
      <c r="A1236" s="32">
        <v>41988</v>
      </c>
      <c r="B1236">
        <v>142.5</v>
      </c>
      <c r="C1236">
        <v>142.5</v>
      </c>
      <c r="D1236">
        <v>121</v>
      </c>
      <c r="E1236">
        <v>142</v>
      </c>
      <c r="F1236">
        <v>1796300</v>
      </c>
    </row>
    <row r="1237" spans="1:6">
      <c r="A1237" s="32">
        <v>41985</v>
      </c>
      <c r="B1237">
        <v>139.5</v>
      </c>
      <c r="C1237">
        <v>143.5</v>
      </c>
      <c r="D1237">
        <v>138.5</v>
      </c>
      <c r="E1237">
        <v>143.5</v>
      </c>
      <c r="F1237">
        <v>601800</v>
      </c>
    </row>
    <row r="1238" spans="1:6">
      <c r="A1238" s="32">
        <v>41984</v>
      </c>
      <c r="B1238">
        <v>144</v>
      </c>
      <c r="C1238">
        <v>145.5</v>
      </c>
      <c r="D1238">
        <v>138</v>
      </c>
      <c r="E1238">
        <v>139.5</v>
      </c>
      <c r="F1238">
        <v>1071800</v>
      </c>
    </row>
    <row r="1239" spans="1:6">
      <c r="A1239" s="32">
        <v>41982</v>
      </c>
      <c r="B1239">
        <v>148</v>
      </c>
      <c r="C1239">
        <v>150</v>
      </c>
      <c r="D1239">
        <v>141</v>
      </c>
      <c r="E1239">
        <v>142.5</v>
      </c>
      <c r="F1239">
        <v>775500</v>
      </c>
    </row>
    <row r="1240" spans="1:6">
      <c r="A1240" s="32">
        <v>41981</v>
      </c>
      <c r="B1240">
        <v>154</v>
      </c>
      <c r="C1240">
        <v>154</v>
      </c>
      <c r="D1240">
        <v>147</v>
      </c>
      <c r="E1240">
        <v>150</v>
      </c>
      <c r="F1240">
        <v>610200</v>
      </c>
    </row>
    <row r="1241" spans="1:6">
      <c r="A1241" s="32">
        <v>41977</v>
      </c>
      <c r="B1241">
        <v>150.5</v>
      </c>
      <c r="C1241">
        <v>154.5</v>
      </c>
      <c r="D1241">
        <v>149.5</v>
      </c>
      <c r="E1241">
        <v>152.5</v>
      </c>
      <c r="F1241">
        <v>546100</v>
      </c>
    </row>
    <row r="1242" spans="1:6">
      <c r="A1242" s="32">
        <v>41976</v>
      </c>
      <c r="B1242">
        <v>147.5</v>
      </c>
      <c r="C1242">
        <v>150</v>
      </c>
      <c r="D1242">
        <v>146.5</v>
      </c>
      <c r="E1242">
        <v>150</v>
      </c>
      <c r="F1242">
        <v>394100</v>
      </c>
    </row>
    <row r="1243" spans="1:6">
      <c r="A1243" s="32">
        <v>41975</v>
      </c>
      <c r="B1243">
        <v>148</v>
      </c>
      <c r="C1243">
        <v>148.5</v>
      </c>
      <c r="D1243">
        <v>146</v>
      </c>
      <c r="E1243">
        <v>147.5</v>
      </c>
      <c r="F1243">
        <v>604300</v>
      </c>
    </row>
    <row r="1244" spans="1:6">
      <c r="A1244" s="32">
        <v>41974</v>
      </c>
      <c r="B1244">
        <v>147.5</v>
      </c>
      <c r="C1244">
        <v>149</v>
      </c>
      <c r="D1244">
        <v>145</v>
      </c>
      <c r="E1244">
        <v>148</v>
      </c>
      <c r="F1244">
        <v>409700</v>
      </c>
    </row>
    <row r="1245" spans="1:6">
      <c r="A1245" s="32">
        <v>41971</v>
      </c>
      <c r="B1245">
        <v>146</v>
      </c>
      <c r="C1245">
        <v>148</v>
      </c>
      <c r="D1245">
        <v>144.5</v>
      </c>
      <c r="E1245">
        <v>146.5</v>
      </c>
      <c r="F1245">
        <v>290300</v>
      </c>
    </row>
    <row r="1246" spans="1:6">
      <c r="A1246" s="32">
        <v>41970</v>
      </c>
      <c r="B1246">
        <v>150</v>
      </c>
      <c r="C1246">
        <v>150</v>
      </c>
      <c r="D1246">
        <v>145</v>
      </c>
      <c r="E1246">
        <v>146.5</v>
      </c>
      <c r="F1246">
        <v>807900</v>
      </c>
    </row>
    <row r="1247" spans="1:6">
      <c r="A1247" s="32">
        <v>41969</v>
      </c>
      <c r="B1247">
        <v>144</v>
      </c>
      <c r="C1247">
        <v>151</v>
      </c>
      <c r="D1247">
        <v>143.5</v>
      </c>
      <c r="E1247">
        <v>150</v>
      </c>
      <c r="F1247">
        <v>1007500</v>
      </c>
    </row>
    <row r="1248" spans="1:6">
      <c r="A1248" s="32">
        <v>41968</v>
      </c>
      <c r="B1248">
        <v>139</v>
      </c>
      <c r="C1248">
        <v>143.5</v>
      </c>
      <c r="D1248">
        <v>139</v>
      </c>
      <c r="E1248">
        <v>143.5</v>
      </c>
      <c r="F1248">
        <v>2355900</v>
      </c>
    </row>
    <row r="1249" spans="1:6">
      <c r="A1249" s="32">
        <v>41967</v>
      </c>
      <c r="B1249">
        <v>136.5</v>
      </c>
      <c r="C1249">
        <v>139</v>
      </c>
      <c r="D1249">
        <v>136.5</v>
      </c>
      <c r="E1249">
        <v>137.5</v>
      </c>
      <c r="F1249">
        <v>766300</v>
      </c>
    </row>
    <row r="1250" spans="1:6">
      <c r="A1250" s="32">
        <v>41964</v>
      </c>
      <c r="B1250">
        <v>134.5</v>
      </c>
      <c r="C1250">
        <v>136.5</v>
      </c>
      <c r="D1250">
        <v>134</v>
      </c>
      <c r="E1250">
        <v>134</v>
      </c>
      <c r="F1250">
        <v>436500</v>
      </c>
    </row>
    <row r="1251" spans="1:6">
      <c r="A1251" s="32">
        <v>41963</v>
      </c>
      <c r="B1251">
        <v>137</v>
      </c>
      <c r="C1251">
        <v>137</v>
      </c>
      <c r="D1251">
        <v>133.5</v>
      </c>
      <c r="E1251">
        <v>134.5</v>
      </c>
      <c r="F1251">
        <v>234600</v>
      </c>
    </row>
    <row r="1252" spans="1:6">
      <c r="A1252" s="32">
        <v>41962</v>
      </c>
      <c r="B1252">
        <v>136</v>
      </c>
      <c r="C1252">
        <v>137</v>
      </c>
      <c r="D1252">
        <v>134.5</v>
      </c>
      <c r="E1252">
        <v>137</v>
      </c>
      <c r="F1252">
        <v>289900</v>
      </c>
    </row>
    <row r="1253" spans="1:6">
      <c r="A1253" s="32">
        <v>41961</v>
      </c>
      <c r="B1253">
        <v>133</v>
      </c>
      <c r="C1253">
        <v>136.5</v>
      </c>
      <c r="D1253">
        <v>133</v>
      </c>
      <c r="E1253">
        <v>136</v>
      </c>
      <c r="F1253">
        <v>595000</v>
      </c>
    </row>
    <row r="1254" spans="1:6">
      <c r="A1254" s="32">
        <v>41960</v>
      </c>
      <c r="B1254">
        <v>135.5</v>
      </c>
      <c r="C1254">
        <v>135.5</v>
      </c>
      <c r="D1254">
        <v>133</v>
      </c>
      <c r="E1254">
        <v>133</v>
      </c>
      <c r="F1254">
        <v>356800</v>
      </c>
    </row>
    <row r="1255" spans="1:6">
      <c r="A1255" s="32">
        <v>41957</v>
      </c>
      <c r="B1255">
        <v>136</v>
      </c>
      <c r="C1255">
        <v>137.5</v>
      </c>
      <c r="D1255">
        <v>135</v>
      </c>
      <c r="E1255">
        <v>135</v>
      </c>
      <c r="F1255">
        <v>238700</v>
      </c>
    </row>
    <row r="1256" spans="1:6">
      <c r="A1256" s="32">
        <v>41956</v>
      </c>
      <c r="B1256">
        <v>134.5</v>
      </c>
      <c r="C1256">
        <v>135.5</v>
      </c>
      <c r="D1256">
        <v>131</v>
      </c>
      <c r="E1256">
        <v>135</v>
      </c>
      <c r="F1256">
        <v>470100</v>
      </c>
    </row>
    <row r="1257" spans="1:6">
      <c r="A1257" s="32">
        <v>41955</v>
      </c>
      <c r="B1257">
        <v>135.5</v>
      </c>
      <c r="C1257">
        <v>136</v>
      </c>
      <c r="D1257">
        <v>133.5</v>
      </c>
      <c r="E1257">
        <v>134</v>
      </c>
      <c r="F1257">
        <v>203700</v>
      </c>
    </row>
    <row r="1258" spans="1:6">
      <c r="A1258" s="32">
        <v>41954</v>
      </c>
      <c r="B1258">
        <v>136</v>
      </c>
      <c r="C1258">
        <v>138</v>
      </c>
      <c r="D1258">
        <v>135.5</v>
      </c>
      <c r="E1258">
        <v>135.5</v>
      </c>
      <c r="F1258">
        <v>304000</v>
      </c>
    </row>
    <row r="1259" spans="1:6">
      <c r="A1259" s="32">
        <v>41953</v>
      </c>
      <c r="B1259">
        <v>136.5</v>
      </c>
      <c r="C1259">
        <v>138</v>
      </c>
      <c r="D1259">
        <v>133</v>
      </c>
      <c r="E1259">
        <v>135.5</v>
      </c>
      <c r="F1259">
        <v>340900</v>
      </c>
    </row>
    <row r="1260" spans="1:6">
      <c r="A1260" s="32">
        <v>41950</v>
      </c>
      <c r="B1260">
        <v>137</v>
      </c>
      <c r="C1260">
        <v>137</v>
      </c>
      <c r="D1260">
        <v>134</v>
      </c>
      <c r="E1260">
        <v>136.5</v>
      </c>
      <c r="F1260">
        <v>391800</v>
      </c>
    </row>
    <row r="1261" spans="1:6">
      <c r="A1261" s="32">
        <v>41949</v>
      </c>
      <c r="B1261">
        <v>136.5</v>
      </c>
      <c r="C1261">
        <v>138</v>
      </c>
      <c r="D1261">
        <v>136</v>
      </c>
      <c r="E1261">
        <v>137</v>
      </c>
      <c r="F1261">
        <v>324900</v>
      </c>
    </row>
    <row r="1262" spans="1:6">
      <c r="A1262" s="32">
        <v>41948</v>
      </c>
      <c r="B1262">
        <v>137.5</v>
      </c>
      <c r="C1262">
        <v>138.5</v>
      </c>
      <c r="D1262">
        <v>134.5</v>
      </c>
      <c r="E1262">
        <v>137</v>
      </c>
      <c r="F1262">
        <v>579000</v>
      </c>
    </row>
    <row r="1263" spans="1:6">
      <c r="A1263" s="32">
        <v>41947</v>
      </c>
      <c r="B1263">
        <v>134.5</v>
      </c>
      <c r="C1263">
        <v>137</v>
      </c>
      <c r="D1263">
        <v>134</v>
      </c>
      <c r="E1263">
        <v>137</v>
      </c>
      <c r="F1263">
        <v>918000</v>
      </c>
    </row>
    <row r="1264" spans="1:6">
      <c r="A1264" s="32">
        <v>41946</v>
      </c>
      <c r="B1264">
        <v>136</v>
      </c>
      <c r="C1264">
        <v>136</v>
      </c>
      <c r="D1264">
        <v>133</v>
      </c>
      <c r="E1264">
        <v>133</v>
      </c>
      <c r="F1264">
        <v>1037100</v>
      </c>
    </row>
    <row r="1265" spans="1:6">
      <c r="A1265" s="32">
        <v>41943</v>
      </c>
      <c r="B1265">
        <v>132</v>
      </c>
      <c r="C1265">
        <v>134</v>
      </c>
      <c r="D1265">
        <v>132</v>
      </c>
      <c r="E1265">
        <v>133</v>
      </c>
      <c r="F1265">
        <v>824000</v>
      </c>
    </row>
    <row r="1266" spans="1:6">
      <c r="A1266" s="32">
        <v>41942</v>
      </c>
      <c r="B1266">
        <v>133</v>
      </c>
      <c r="C1266">
        <v>133</v>
      </c>
      <c r="D1266">
        <v>130</v>
      </c>
      <c r="E1266">
        <v>131</v>
      </c>
      <c r="F1266">
        <v>301200</v>
      </c>
    </row>
    <row r="1267" spans="1:6">
      <c r="A1267" s="32">
        <v>41941</v>
      </c>
      <c r="B1267">
        <v>129.5</v>
      </c>
      <c r="C1267">
        <v>133.5</v>
      </c>
      <c r="D1267">
        <v>129</v>
      </c>
      <c r="E1267">
        <v>131.5</v>
      </c>
      <c r="F1267">
        <v>865900</v>
      </c>
    </row>
    <row r="1268" spans="1:6">
      <c r="A1268" s="32">
        <v>41940</v>
      </c>
      <c r="B1268">
        <v>128</v>
      </c>
      <c r="C1268">
        <v>128.5</v>
      </c>
      <c r="D1268">
        <v>127</v>
      </c>
      <c r="E1268">
        <v>128.5</v>
      </c>
      <c r="F1268">
        <v>163900</v>
      </c>
    </row>
    <row r="1269" spans="1:6">
      <c r="A1269" s="32">
        <v>41939</v>
      </c>
      <c r="B1269">
        <v>128</v>
      </c>
      <c r="C1269">
        <v>129.5</v>
      </c>
      <c r="D1269">
        <v>127</v>
      </c>
      <c r="E1269">
        <v>128</v>
      </c>
      <c r="F1269">
        <v>151900</v>
      </c>
    </row>
    <row r="1270" spans="1:6">
      <c r="A1270" s="32">
        <v>41936</v>
      </c>
      <c r="B1270">
        <v>128</v>
      </c>
      <c r="C1270">
        <v>129.5</v>
      </c>
      <c r="D1270">
        <v>127.5</v>
      </c>
      <c r="E1270">
        <v>129</v>
      </c>
      <c r="F1270">
        <v>431100</v>
      </c>
    </row>
    <row r="1271" spans="1:6">
      <c r="A1271" s="32">
        <v>41934</v>
      </c>
      <c r="B1271">
        <v>125</v>
      </c>
      <c r="C1271">
        <v>128</v>
      </c>
      <c r="D1271">
        <v>124.5</v>
      </c>
      <c r="E1271">
        <v>128</v>
      </c>
      <c r="F1271">
        <v>629800</v>
      </c>
    </row>
    <row r="1272" spans="1:6">
      <c r="A1272" s="32">
        <v>41933</v>
      </c>
      <c r="B1272">
        <v>125</v>
      </c>
      <c r="C1272">
        <v>125.5</v>
      </c>
      <c r="D1272">
        <v>123.5</v>
      </c>
      <c r="E1272">
        <v>125</v>
      </c>
      <c r="F1272">
        <v>498700</v>
      </c>
    </row>
    <row r="1273" spans="1:6">
      <c r="A1273" s="32">
        <v>41932</v>
      </c>
      <c r="B1273">
        <v>126.5</v>
      </c>
      <c r="C1273">
        <v>127.5</v>
      </c>
      <c r="D1273">
        <v>125</v>
      </c>
      <c r="E1273">
        <v>125</v>
      </c>
      <c r="F1273">
        <v>254400</v>
      </c>
    </row>
    <row r="1274" spans="1:6">
      <c r="A1274" s="32">
        <v>41929</v>
      </c>
      <c r="B1274">
        <v>125.5</v>
      </c>
      <c r="C1274">
        <v>126.5</v>
      </c>
      <c r="D1274">
        <v>124.5</v>
      </c>
      <c r="E1274">
        <v>126</v>
      </c>
      <c r="F1274">
        <v>1142200</v>
      </c>
    </row>
    <row r="1275" spans="1:6">
      <c r="A1275" s="32">
        <v>41928</v>
      </c>
      <c r="B1275">
        <v>128</v>
      </c>
      <c r="C1275">
        <v>128.5</v>
      </c>
      <c r="D1275">
        <v>125</v>
      </c>
      <c r="E1275">
        <v>125</v>
      </c>
      <c r="F1275">
        <v>576300</v>
      </c>
    </row>
    <row r="1276" spans="1:6">
      <c r="A1276" s="32">
        <v>41927</v>
      </c>
      <c r="B1276">
        <v>128.5</v>
      </c>
      <c r="C1276">
        <v>131</v>
      </c>
      <c r="D1276">
        <v>128</v>
      </c>
      <c r="E1276">
        <v>128.5</v>
      </c>
      <c r="F1276">
        <v>756500</v>
      </c>
    </row>
    <row r="1277" spans="1:6">
      <c r="A1277" s="32">
        <v>41926</v>
      </c>
      <c r="B1277">
        <v>129.5</v>
      </c>
      <c r="C1277">
        <v>130.5</v>
      </c>
      <c r="D1277">
        <v>127</v>
      </c>
      <c r="E1277">
        <v>128</v>
      </c>
      <c r="F1277">
        <v>1011100</v>
      </c>
    </row>
    <row r="1278" spans="1:6">
      <c r="A1278" s="32">
        <v>41925</v>
      </c>
      <c r="B1278">
        <v>127</v>
      </c>
      <c r="C1278">
        <v>130</v>
      </c>
      <c r="D1278">
        <v>126.5</v>
      </c>
      <c r="E1278">
        <v>128</v>
      </c>
      <c r="F1278">
        <v>1180800</v>
      </c>
    </row>
    <row r="1279" spans="1:6">
      <c r="A1279" s="32">
        <v>41922</v>
      </c>
      <c r="B1279">
        <v>127</v>
      </c>
      <c r="C1279">
        <v>128.5</v>
      </c>
      <c r="D1279">
        <v>126</v>
      </c>
      <c r="E1279">
        <v>128</v>
      </c>
      <c r="F1279">
        <v>1259300</v>
      </c>
    </row>
    <row r="1280" spans="1:6">
      <c r="A1280" s="32">
        <v>41921</v>
      </c>
      <c r="B1280">
        <v>123</v>
      </c>
      <c r="C1280">
        <v>128.5</v>
      </c>
      <c r="D1280">
        <v>122.5</v>
      </c>
      <c r="E1280">
        <v>128.5</v>
      </c>
      <c r="F1280">
        <v>2247900</v>
      </c>
    </row>
    <row r="1281" spans="1:6">
      <c r="A1281" s="32">
        <v>41920</v>
      </c>
      <c r="B1281">
        <v>121</v>
      </c>
      <c r="C1281">
        <v>123.5</v>
      </c>
      <c r="D1281">
        <v>121</v>
      </c>
      <c r="E1281">
        <v>121</v>
      </c>
      <c r="F1281">
        <v>904800</v>
      </c>
    </row>
    <row r="1282" spans="1:6">
      <c r="A1282" s="32">
        <v>41919</v>
      </c>
      <c r="B1282">
        <v>122</v>
      </c>
      <c r="C1282">
        <v>125</v>
      </c>
      <c r="D1282">
        <v>121.5</v>
      </c>
      <c r="E1282">
        <v>123</v>
      </c>
      <c r="F1282">
        <v>1024300</v>
      </c>
    </row>
    <row r="1283" spans="1:6">
      <c r="A1283" s="32">
        <v>41918</v>
      </c>
      <c r="B1283">
        <v>126.5</v>
      </c>
      <c r="C1283">
        <v>128</v>
      </c>
      <c r="D1283">
        <v>120</v>
      </c>
      <c r="E1283">
        <v>121</v>
      </c>
      <c r="F1283">
        <v>2604600</v>
      </c>
    </row>
    <row r="1284" spans="1:6">
      <c r="A1284" s="32">
        <v>41915</v>
      </c>
      <c r="B1284">
        <v>129</v>
      </c>
      <c r="C1284">
        <v>130</v>
      </c>
      <c r="D1284">
        <v>126.5</v>
      </c>
      <c r="E1284">
        <v>128</v>
      </c>
      <c r="F1284">
        <v>1852400</v>
      </c>
    </row>
    <row r="1285" spans="1:6">
      <c r="A1285" s="32">
        <v>41914</v>
      </c>
      <c r="B1285">
        <v>131</v>
      </c>
      <c r="C1285">
        <v>131.5</v>
      </c>
      <c r="D1285">
        <v>130</v>
      </c>
      <c r="E1285">
        <v>131</v>
      </c>
      <c r="F1285">
        <v>502600</v>
      </c>
    </row>
    <row r="1286" spans="1:6">
      <c r="A1286" s="32">
        <v>41913</v>
      </c>
      <c r="B1286">
        <v>132.5</v>
      </c>
      <c r="C1286">
        <v>134</v>
      </c>
      <c r="D1286">
        <v>131.5</v>
      </c>
      <c r="E1286">
        <v>131.5</v>
      </c>
      <c r="F1286">
        <v>476900</v>
      </c>
    </row>
    <row r="1287" spans="1:6">
      <c r="A1287" s="32">
        <v>41912</v>
      </c>
      <c r="B1287">
        <v>134</v>
      </c>
      <c r="C1287">
        <v>135.5</v>
      </c>
      <c r="D1287">
        <v>132</v>
      </c>
      <c r="E1287">
        <v>132</v>
      </c>
      <c r="F1287">
        <v>474400</v>
      </c>
    </row>
    <row r="1288" spans="1:6">
      <c r="A1288" s="32">
        <v>41911</v>
      </c>
      <c r="B1288">
        <v>137</v>
      </c>
      <c r="C1288">
        <v>138</v>
      </c>
      <c r="D1288">
        <v>132.5</v>
      </c>
      <c r="E1288">
        <v>135.5</v>
      </c>
      <c r="F1288">
        <v>808300</v>
      </c>
    </row>
    <row r="1289" spans="1:6">
      <c r="A1289" s="32">
        <v>41908</v>
      </c>
      <c r="B1289">
        <v>133.5</v>
      </c>
      <c r="C1289">
        <v>137</v>
      </c>
      <c r="D1289">
        <v>131.5</v>
      </c>
      <c r="E1289">
        <v>136</v>
      </c>
      <c r="F1289">
        <v>653400</v>
      </c>
    </row>
    <row r="1290" spans="1:6">
      <c r="A1290" s="32">
        <v>41907</v>
      </c>
      <c r="B1290">
        <v>131</v>
      </c>
      <c r="C1290">
        <v>132.5</v>
      </c>
      <c r="D1290">
        <v>131</v>
      </c>
      <c r="E1290">
        <v>132.5</v>
      </c>
      <c r="F1290">
        <v>564100</v>
      </c>
    </row>
    <row r="1291" spans="1:6">
      <c r="A1291" s="32">
        <v>41906</v>
      </c>
      <c r="B1291">
        <v>130.5</v>
      </c>
      <c r="C1291">
        <v>131</v>
      </c>
      <c r="D1291">
        <v>129.5</v>
      </c>
      <c r="E1291">
        <v>130.5</v>
      </c>
      <c r="F1291">
        <v>407600</v>
      </c>
    </row>
    <row r="1292" spans="1:6">
      <c r="A1292" s="32">
        <v>41905</v>
      </c>
      <c r="B1292">
        <v>130</v>
      </c>
      <c r="C1292">
        <v>132</v>
      </c>
      <c r="D1292">
        <v>129.5</v>
      </c>
      <c r="E1292">
        <v>131</v>
      </c>
      <c r="F1292">
        <v>362800</v>
      </c>
    </row>
    <row r="1293" spans="1:6">
      <c r="A1293" s="32">
        <v>41904</v>
      </c>
      <c r="B1293">
        <v>130.5</v>
      </c>
      <c r="C1293">
        <v>132</v>
      </c>
      <c r="D1293">
        <v>129.5</v>
      </c>
      <c r="E1293">
        <v>129.5</v>
      </c>
      <c r="F1293">
        <v>552400</v>
      </c>
    </row>
    <row r="1294" spans="1:6">
      <c r="A1294" s="32">
        <v>41901</v>
      </c>
      <c r="B1294">
        <v>134.5</v>
      </c>
      <c r="C1294">
        <v>135</v>
      </c>
      <c r="D1294">
        <v>130</v>
      </c>
      <c r="E1294">
        <v>130</v>
      </c>
      <c r="F1294">
        <v>724100</v>
      </c>
    </row>
    <row r="1295" spans="1:6">
      <c r="A1295" s="32">
        <v>41900</v>
      </c>
      <c r="B1295">
        <v>133</v>
      </c>
      <c r="C1295">
        <v>134</v>
      </c>
      <c r="D1295">
        <v>132</v>
      </c>
      <c r="E1295">
        <v>134</v>
      </c>
      <c r="F1295">
        <v>482500</v>
      </c>
    </row>
    <row r="1296" spans="1:6">
      <c r="A1296" s="32">
        <v>41899</v>
      </c>
      <c r="B1296">
        <v>127.5</v>
      </c>
      <c r="C1296">
        <v>132</v>
      </c>
      <c r="D1296">
        <v>127.5</v>
      </c>
      <c r="E1296">
        <v>132</v>
      </c>
      <c r="F1296">
        <v>750300</v>
      </c>
    </row>
    <row r="1297" spans="1:6">
      <c r="A1297" s="32">
        <v>41898</v>
      </c>
      <c r="B1297">
        <v>132</v>
      </c>
      <c r="C1297">
        <v>133</v>
      </c>
      <c r="D1297">
        <v>126</v>
      </c>
      <c r="E1297">
        <v>126.5</v>
      </c>
      <c r="F1297">
        <v>738700</v>
      </c>
    </row>
    <row r="1298" spans="1:6">
      <c r="A1298" s="32">
        <v>41897</v>
      </c>
      <c r="B1298">
        <v>133</v>
      </c>
      <c r="C1298">
        <v>134</v>
      </c>
      <c r="D1298">
        <v>131.5</v>
      </c>
      <c r="E1298">
        <v>131.5</v>
      </c>
      <c r="F1298">
        <v>325000</v>
      </c>
    </row>
    <row r="1299" spans="1:6">
      <c r="A1299" s="32">
        <v>41894</v>
      </c>
      <c r="B1299">
        <v>133.5</v>
      </c>
      <c r="C1299">
        <v>134</v>
      </c>
      <c r="D1299">
        <v>132</v>
      </c>
      <c r="E1299">
        <v>132</v>
      </c>
      <c r="F1299">
        <v>466900</v>
      </c>
    </row>
    <row r="1300" spans="1:6">
      <c r="A1300" s="32">
        <v>41893</v>
      </c>
      <c r="B1300">
        <v>131</v>
      </c>
      <c r="C1300">
        <v>134</v>
      </c>
      <c r="D1300">
        <v>131</v>
      </c>
      <c r="E1300">
        <v>132.5</v>
      </c>
      <c r="F1300">
        <v>505500</v>
      </c>
    </row>
    <row r="1301" spans="1:6">
      <c r="A1301" s="32">
        <v>41892</v>
      </c>
      <c r="B1301">
        <v>132.5</v>
      </c>
      <c r="C1301">
        <v>133</v>
      </c>
      <c r="D1301">
        <v>130</v>
      </c>
      <c r="E1301">
        <v>131</v>
      </c>
      <c r="F1301">
        <v>1001900</v>
      </c>
    </row>
    <row r="1302" spans="1:6">
      <c r="A1302" s="32">
        <v>41891</v>
      </c>
      <c r="B1302">
        <v>138</v>
      </c>
      <c r="C1302">
        <v>139</v>
      </c>
      <c r="D1302">
        <v>134</v>
      </c>
      <c r="E1302">
        <v>134</v>
      </c>
      <c r="F1302">
        <v>968700</v>
      </c>
    </row>
    <row r="1303" spans="1:6">
      <c r="A1303" s="32">
        <v>41890</v>
      </c>
      <c r="B1303">
        <v>142</v>
      </c>
      <c r="C1303">
        <v>142.5</v>
      </c>
      <c r="D1303">
        <v>139</v>
      </c>
      <c r="E1303">
        <v>139</v>
      </c>
      <c r="F1303">
        <v>611800</v>
      </c>
    </row>
    <row r="1304" spans="1:6">
      <c r="A1304" s="32">
        <v>41887</v>
      </c>
      <c r="B1304">
        <v>141.5</v>
      </c>
      <c r="C1304">
        <v>143.5</v>
      </c>
      <c r="D1304">
        <v>141</v>
      </c>
      <c r="E1304">
        <v>142</v>
      </c>
      <c r="F1304">
        <v>587600</v>
      </c>
    </row>
    <row r="1305" spans="1:6">
      <c r="A1305" s="32">
        <v>41886</v>
      </c>
      <c r="B1305">
        <v>141.5</v>
      </c>
      <c r="C1305">
        <v>142.5</v>
      </c>
      <c r="D1305">
        <v>141</v>
      </c>
      <c r="E1305">
        <v>141.5</v>
      </c>
      <c r="F1305">
        <v>632300</v>
      </c>
    </row>
    <row r="1306" spans="1:6">
      <c r="A1306" s="32">
        <v>41885</v>
      </c>
      <c r="B1306">
        <v>139.5</v>
      </c>
      <c r="C1306">
        <v>142.5</v>
      </c>
      <c r="D1306">
        <v>139</v>
      </c>
      <c r="E1306">
        <v>142.5</v>
      </c>
      <c r="F1306">
        <v>1017800</v>
      </c>
    </row>
    <row r="1307" spans="1:6">
      <c r="A1307" s="32">
        <v>41884</v>
      </c>
      <c r="B1307">
        <v>139</v>
      </c>
      <c r="C1307">
        <v>140</v>
      </c>
      <c r="D1307">
        <v>138.5</v>
      </c>
      <c r="E1307">
        <v>139</v>
      </c>
      <c r="F1307">
        <v>763500</v>
      </c>
    </row>
    <row r="1308" spans="1:6">
      <c r="A1308" s="32">
        <v>41883</v>
      </c>
      <c r="B1308">
        <v>136</v>
      </c>
      <c r="C1308">
        <v>142</v>
      </c>
      <c r="D1308">
        <v>136</v>
      </c>
      <c r="E1308">
        <v>140</v>
      </c>
      <c r="F1308">
        <v>866800</v>
      </c>
    </row>
    <row r="1309" spans="1:6">
      <c r="A1309" s="32">
        <v>41880</v>
      </c>
      <c r="B1309">
        <v>134</v>
      </c>
      <c r="C1309">
        <v>136</v>
      </c>
      <c r="D1309">
        <v>134</v>
      </c>
      <c r="E1309">
        <v>135</v>
      </c>
      <c r="F1309">
        <v>674500</v>
      </c>
    </row>
    <row r="1310" spans="1:6">
      <c r="A1310" s="32">
        <v>41879</v>
      </c>
      <c r="B1310">
        <v>136.5</v>
      </c>
      <c r="C1310">
        <v>136.5</v>
      </c>
      <c r="D1310">
        <v>134.5</v>
      </c>
      <c r="E1310">
        <v>135.5</v>
      </c>
      <c r="F1310">
        <v>401700</v>
      </c>
    </row>
    <row r="1311" spans="1:6">
      <c r="A1311" s="32">
        <v>41878</v>
      </c>
      <c r="B1311">
        <v>135</v>
      </c>
      <c r="C1311">
        <v>136.5</v>
      </c>
      <c r="D1311">
        <v>134.5</v>
      </c>
      <c r="E1311">
        <v>136.5</v>
      </c>
      <c r="F1311">
        <v>497500</v>
      </c>
    </row>
    <row r="1312" spans="1:6">
      <c r="A1312" s="32">
        <v>41877</v>
      </c>
      <c r="B1312">
        <v>134.5</v>
      </c>
      <c r="C1312">
        <v>136.5</v>
      </c>
      <c r="D1312">
        <v>134</v>
      </c>
      <c r="E1312">
        <v>135.5</v>
      </c>
      <c r="F1312">
        <v>476700</v>
      </c>
    </row>
    <row r="1313" spans="1:6">
      <c r="A1313" s="32">
        <v>41876</v>
      </c>
      <c r="B1313">
        <v>132.5</v>
      </c>
      <c r="C1313">
        <v>135</v>
      </c>
      <c r="D1313">
        <v>132</v>
      </c>
      <c r="E1313">
        <v>135</v>
      </c>
      <c r="F1313">
        <v>436400</v>
      </c>
    </row>
    <row r="1314" spans="1:6">
      <c r="A1314" s="32">
        <v>41873</v>
      </c>
      <c r="B1314">
        <v>132.5</v>
      </c>
      <c r="C1314">
        <v>134.5</v>
      </c>
      <c r="D1314">
        <v>132</v>
      </c>
      <c r="E1314">
        <v>133</v>
      </c>
      <c r="F1314">
        <v>345900</v>
      </c>
    </row>
    <row r="1315" spans="1:6">
      <c r="A1315" s="32">
        <v>41872</v>
      </c>
      <c r="B1315">
        <v>133.5</v>
      </c>
      <c r="C1315">
        <v>133.5</v>
      </c>
      <c r="D1315">
        <v>132.5</v>
      </c>
      <c r="E1315">
        <v>132.5</v>
      </c>
      <c r="F1315">
        <v>300600</v>
      </c>
    </row>
    <row r="1316" spans="1:6">
      <c r="A1316" s="32">
        <v>41871</v>
      </c>
      <c r="B1316">
        <v>131</v>
      </c>
      <c r="C1316">
        <v>134</v>
      </c>
      <c r="D1316">
        <v>130.5</v>
      </c>
      <c r="E1316">
        <v>134</v>
      </c>
      <c r="F1316">
        <v>603600</v>
      </c>
    </row>
    <row r="1317" spans="1:6">
      <c r="A1317" s="32">
        <v>41870</v>
      </c>
      <c r="B1317">
        <v>133.5</v>
      </c>
      <c r="C1317">
        <v>134</v>
      </c>
      <c r="D1317">
        <v>130</v>
      </c>
      <c r="E1317">
        <v>130.5</v>
      </c>
      <c r="F1317">
        <v>688900</v>
      </c>
    </row>
    <row r="1318" spans="1:6">
      <c r="A1318" s="32">
        <v>41869</v>
      </c>
      <c r="B1318">
        <v>133</v>
      </c>
      <c r="C1318">
        <v>133</v>
      </c>
      <c r="D1318">
        <v>131.5</v>
      </c>
      <c r="E1318">
        <v>132</v>
      </c>
      <c r="F1318">
        <v>682500</v>
      </c>
    </row>
    <row r="1319" spans="1:6">
      <c r="A1319" s="32">
        <v>41866</v>
      </c>
      <c r="B1319">
        <v>133.5</v>
      </c>
      <c r="C1319">
        <v>136</v>
      </c>
      <c r="D1319">
        <v>132.5</v>
      </c>
      <c r="E1319">
        <v>133</v>
      </c>
      <c r="F1319">
        <v>501200</v>
      </c>
    </row>
    <row r="1320" spans="1:6">
      <c r="A1320" s="32">
        <v>41865</v>
      </c>
      <c r="B1320">
        <v>135.5</v>
      </c>
      <c r="C1320">
        <v>137</v>
      </c>
      <c r="D1320">
        <v>132</v>
      </c>
      <c r="E1320">
        <v>133.5</v>
      </c>
      <c r="F1320">
        <v>829200</v>
      </c>
    </row>
    <row r="1321" spans="1:6">
      <c r="A1321" s="32">
        <v>41864</v>
      </c>
      <c r="B1321">
        <v>132</v>
      </c>
      <c r="C1321">
        <v>134</v>
      </c>
      <c r="D1321">
        <v>129</v>
      </c>
      <c r="E1321">
        <v>134</v>
      </c>
      <c r="F1321">
        <v>1685800</v>
      </c>
    </row>
    <row r="1322" spans="1:6">
      <c r="A1322" s="32">
        <v>41862</v>
      </c>
      <c r="B1322">
        <v>125.5</v>
      </c>
      <c r="C1322">
        <v>129.5</v>
      </c>
      <c r="D1322">
        <v>125</v>
      </c>
      <c r="E1322">
        <v>127</v>
      </c>
      <c r="F1322">
        <v>443400</v>
      </c>
    </row>
    <row r="1323" spans="1:6">
      <c r="A1323" s="32">
        <v>41859</v>
      </c>
      <c r="B1323">
        <v>125.5</v>
      </c>
      <c r="C1323">
        <v>129.5</v>
      </c>
      <c r="D1323">
        <v>125</v>
      </c>
      <c r="E1323">
        <v>127</v>
      </c>
      <c r="F1323">
        <v>443400</v>
      </c>
    </row>
    <row r="1324" spans="1:6">
      <c r="A1324" s="32">
        <v>41858</v>
      </c>
      <c r="B1324">
        <v>130</v>
      </c>
      <c r="C1324">
        <v>130</v>
      </c>
      <c r="D1324">
        <v>124.5</v>
      </c>
      <c r="E1324">
        <v>126</v>
      </c>
      <c r="F1324">
        <v>744200</v>
      </c>
    </row>
    <row r="1325" spans="1:6">
      <c r="A1325" s="32">
        <v>41857</v>
      </c>
      <c r="B1325">
        <v>122.5</v>
      </c>
      <c r="C1325">
        <v>129.5</v>
      </c>
      <c r="D1325">
        <v>122</v>
      </c>
      <c r="E1325">
        <v>128</v>
      </c>
      <c r="F1325">
        <v>759900</v>
      </c>
    </row>
    <row r="1326" spans="1:6">
      <c r="A1326" s="32">
        <v>41856</v>
      </c>
      <c r="B1326">
        <v>123.5</v>
      </c>
      <c r="C1326">
        <v>125</v>
      </c>
      <c r="D1326">
        <v>121</v>
      </c>
      <c r="E1326">
        <v>122</v>
      </c>
      <c r="F1326">
        <v>1487300</v>
      </c>
    </row>
    <row r="1327" spans="1:6">
      <c r="A1327" s="32">
        <v>41855</v>
      </c>
      <c r="B1327">
        <v>123</v>
      </c>
      <c r="C1327">
        <v>124</v>
      </c>
      <c r="D1327">
        <v>121</v>
      </c>
      <c r="E1327">
        <v>122.5</v>
      </c>
      <c r="F1327">
        <v>710600</v>
      </c>
    </row>
    <row r="1328" spans="1:6">
      <c r="A1328" s="32">
        <v>41852</v>
      </c>
      <c r="B1328">
        <v>119</v>
      </c>
      <c r="C1328">
        <v>124.5</v>
      </c>
      <c r="D1328">
        <v>119</v>
      </c>
      <c r="E1328">
        <v>124.5</v>
      </c>
      <c r="F1328">
        <v>1146500</v>
      </c>
    </row>
    <row r="1329" spans="1:6">
      <c r="A1329" s="32">
        <v>41851</v>
      </c>
      <c r="B1329">
        <v>118</v>
      </c>
      <c r="C1329">
        <v>120.5</v>
      </c>
      <c r="D1329">
        <v>117</v>
      </c>
      <c r="E1329">
        <v>120.5</v>
      </c>
      <c r="F1329">
        <v>524200</v>
      </c>
    </row>
    <row r="1330" spans="1:6">
      <c r="A1330" s="32">
        <v>41850</v>
      </c>
      <c r="B1330">
        <v>120</v>
      </c>
      <c r="C1330">
        <v>121.5</v>
      </c>
      <c r="D1330">
        <v>117.5</v>
      </c>
      <c r="E1330">
        <v>119.5</v>
      </c>
      <c r="F1330">
        <v>503500</v>
      </c>
    </row>
    <row r="1331" spans="1:6">
      <c r="A1331" s="32">
        <v>41849</v>
      </c>
      <c r="B1331">
        <v>122</v>
      </c>
      <c r="C1331">
        <v>122.5</v>
      </c>
      <c r="D1331">
        <v>120</v>
      </c>
      <c r="E1331">
        <v>120</v>
      </c>
      <c r="F1331">
        <v>409100</v>
      </c>
    </row>
    <row r="1332" spans="1:6">
      <c r="A1332" s="32">
        <v>41848</v>
      </c>
      <c r="B1332">
        <v>123</v>
      </c>
      <c r="C1332">
        <v>125</v>
      </c>
      <c r="D1332">
        <v>122</v>
      </c>
      <c r="E1332">
        <v>122</v>
      </c>
      <c r="F1332">
        <v>923600</v>
      </c>
    </row>
    <row r="1333" spans="1:6">
      <c r="A1333" s="32">
        <v>41845</v>
      </c>
      <c r="B1333">
        <v>118.5</v>
      </c>
      <c r="C1333">
        <v>122</v>
      </c>
      <c r="D1333">
        <v>117</v>
      </c>
      <c r="E1333">
        <v>122</v>
      </c>
      <c r="F1333">
        <v>1348300</v>
      </c>
    </row>
    <row r="1334" spans="1:6">
      <c r="A1334" s="32">
        <v>41844</v>
      </c>
      <c r="B1334">
        <v>117</v>
      </c>
      <c r="C1334">
        <v>119</v>
      </c>
      <c r="D1334">
        <v>116.5</v>
      </c>
      <c r="E1334">
        <v>118</v>
      </c>
      <c r="F1334">
        <v>918500</v>
      </c>
    </row>
    <row r="1335" spans="1:6">
      <c r="A1335" s="32">
        <v>41843</v>
      </c>
      <c r="B1335">
        <v>115</v>
      </c>
      <c r="C1335">
        <v>116.5</v>
      </c>
      <c r="D1335">
        <v>115</v>
      </c>
      <c r="E1335">
        <v>116.5</v>
      </c>
      <c r="F1335">
        <v>420700</v>
      </c>
    </row>
    <row r="1336" spans="1:6">
      <c r="A1336" s="32">
        <v>41842</v>
      </c>
      <c r="B1336">
        <v>116</v>
      </c>
      <c r="C1336">
        <v>117</v>
      </c>
      <c r="D1336">
        <v>114.5</v>
      </c>
      <c r="E1336">
        <v>115</v>
      </c>
      <c r="F1336">
        <v>715500</v>
      </c>
    </row>
    <row r="1337" spans="1:6">
      <c r="A1337" s="32">
        <v>41841</v>
      </c>
      <c r="B1337">
        <v>114.5</v>
      </c>
      <c r="C1337">
        <v>116.5</v>
      </c>
      <c r="D1337">
        <v>114.5</v>
      </c>
      <c r="E1337">
        <v>116</v>
      </c>
      <c r="F1337">
        <v>342200</v>
      </c>
    </row>
    <row r="1338" spans="1:6">
      <c r="A1338" s="32">
        <v>41838</v>
      </c>
      <c r="B1338">
        <v>115</v>
      </c>
      <c r="C1338">
        <v>115.5</v>
      </c>
      <c r="D1338">
        <v>114.5</v>
      </c>
      <c r="E1338">
        <v>115</v>
      </c>
      <c r="F1338">
        <v>620200</v>
      </c>
    </row>
    <row r="1339" spans="1:6">
      <c r="A1339" s="32">
        <v>41837</v>
      </c>
      <c r="B1339">
        <v>116</v>
      </c>
      <c r="C1339">
        <v>116</v>
      </c>
      <c r="D1339">
        <v>114.5</v>
      </c>
      <c r="E1339">
        <v>115.5</v>
      </c>
      <c r="F1339">
        <v>958500</v>
      </c>
    </row>
    <row r="1340" spans="1:6">
      <c r="A1340" s="32">
        <v>41836</v>
      </c>
      <c r="B1340">
        <v>116.5</v>
      </c>
      <c r="C1340">
        <v>118.5</v>
      </c>
      <c r="D1340">
        <v>115.5</v>
      </c>
      <c r="E1340">
        <v>117</v>
      </c>
      <c r="F1340">
        <v>1178900</v>
      </c>
    </row>
    <row r="1341" spans="1:6">
      <c r="A1341" s="32">
        <v>41835</v>
      </c>
      <c r="B1341">
        <v>115.5</v>
      </c>
      <c r="C1341">
        <v>117</v>
      </c>
      <c r="D1341">
        <v>115.5</v>
      </c>
      <c r="E1341">
        <v>117</v>
      </c>
      <c r="F1341">
        <v>829400</v>
      </c>
    </row>
    <row r="1342" spans="1:6">
      <c r="A1342" s="32">
        <v>41834</v>
      </c>
      <c r="B1342">
        <v>115</v>
      </c>
      <c r="C1342">
        <v>116</v>
      </c>
      <c r="D1342">
        <v>114</v>
      </c>
      <c r="E1342">
        <v>115</v>
      </c>
      <c r="F1342">
        <v>859700</v>
      </c>
    </row>
    <row r="1343" spans="1:6">
      <c r="A1343" s="32">
        <v>41830</v>
      </c>
      <c r="B1343">
        <v>114.5</v>
      </c>
      <c r="C1343">
        <v>114.5</v>
      </c>
      <c r="D1343">
        <v>114</v>
      </c>
      <c r="E1343">
        <v>114</v>
      </c>
      <c r="F1343">
        <v>348900</v>
      </c>
    </row>
    <row r="1344" spans="1:6">
      <c r="A1344" s="32">
        <v>41829</v>
      </c>
      <c r="B1344">
        <v>115.5</v>
      </c>
      <c r="C1344">
        <v>115.5</v>
      </c>
      <c r="D1344">
        <v>114</v>
      </c>
      <c r="E1344">
        <v>114.5</v>
      </c>
      <c r="F1344">
        <v>434300</v>
      </c>
    </row>
    <row r="1345" spans="1:6">
      <c r="A1345" s="32">
        <v>41828</v>
      </c>
      <c r="B1345">
        <v>116</v>
      </c>
      <c r="C1345">
        <v>116</v>
      </c>
      <c r="D1345">
        <v>115</v>
      </c>
      <c r="E1345">
        <v>115.5</v>
      </c>
      <c r="F1345">
        <v>432000</v>
      </c>
    </row>
    <row r="1346" spans="1:6">
      <c r="A1346" s="32">
        <v>41827</v>
      </c>
      <c r="B1346">
        <v>115.5</v>
      </c>
      <c r="C1346">
        <v>116</v>
      </c>
      <c r="D1346">
        <v>114</v>
      </c>
      <c r="E1346">
        <v>116</v>
      </c>
      <c r="F1346">
        <v>289400</v>
      </c>
    </row>
    <row r="1347" spans="1:6">
      <c r="A1347" s="32">
        <v>41824</v>
      </c>
      <c r="B1347">
        <v>114.5</v>
      </c>
      <c r="C1347">
        <v>115.5</v>
      </c>
      <c r="D1347">
        <v>113.5</v>
      </c>
      <c r="E1347">
        <v>115</v>
      </c>
      <c r="F1347">
        <v>363000</v>
      </c>
    </row>
    <row r="1348" spans="1:6">
      <c r="A1348" s="32">
        <v>41823</v>
      </c>
      <c r="B1348">
        <v>115.5</v>
      </c>
      <c r="C1348">
        <v>115.5</v>
      </c>
      <c r="D1348">
        <v>114</v>
      </c>
      <c r="E1348">
        <v>114</v>
      </c>
      <c r="F1348">
        <v>522800</v>
      </c>
    </row>
    <row r="1349" spans="1:6">
      <c r="A1349" s="32">
        <v>41822</v>
      </c>
      <c r="B1349">
        <v>116.5</v>
      </c>
      <c r="C1349">
        <v>116.5</v>
      </c>
      <c r="D1349">
        <v>114.5</v>
      </c>
      <c r="E1349">
        <v>115.5</v>
      </c>
      <c r="F1349">
        <v>475700</v>
      </c>
    </row>
    <row r="1350" spans="1:6">
      <c r="A1350" s="32">
        <v>41820</v>
      </c>
      <c r="B1350">
        <v>117</v>
      </c>
      <c r="C1350">
        <v>117</v>
      </c>
      <c r="D1350">
        <v>114</v>
      </c>
      <c r="E1350">
        <v>117</v>
      </c>
      <c r="F1350">
        <v>1075200</v>
      </c>
    </row>
    <row r="1351" spans="1:6">
      <c r="A1351" s="32">
        <v>41817</v>
      </c>
      <c r="B1351">
        <v>115</v>
      </c>
      <c r="C1351">
        <v>117.5</v>
      </c>
      <c r="D1351">
        <v>114</v>
      </c>
      <c r="E1351">
        <v>116</v>
      </c>
      <c r="F1351">
        <v>1159200</v>
      </c>
    </row>
    <row r="1352" spans="1:6">
      <c r="A1352" s="32">
        <v>41816</v>
      </c>
      <c r="B1352">
        <v>115</v>
      </c>
      <c r="C1352">
        <v>115.5</v>
      </c>
      <c r="D1352">
        <v>114.5</v>
      </c>
      <c r="E1352">
        <v>115</v>
      </c>
      <c r="F1352">
        <v>573200</v>
      </c>
    </row>
    <row r="1353" spans="1:6">
      <c r="A1353" s="32">
        <v>41815</v>
      </c>
      <c r="B1353">
        <v>114</v>
      </c>
      <c r="C1353">
        <v>115.5</v>
      </c>
      <c r="D1353">
        <v>113.5</v>
      </c>
      <c r="E1353">
        <v>114.5</v>
      </c>
      <c r="F1353">
        <v>881000</v>
      </c>
    </row>
    <row r="1354" spans="1:6">
      <c r="A1354" s="32">
        <v>41814</v>
      </c>
      <c r="B1354">
        <v>114</v>
      </c>
      <c r="C1354">
        <v>114</v>
      </c>
      <c r="D1354">
        <v>112.5</v>
      </c>
      <c r="E1354">
        <v>113.5</v>
      </c>
      <c r="F1354">
        <v>578800</v>
      </c>
    </row>
    <row r="1355" spans="1:6">
      <c r="A1355" s="32">
        <v>41813</v>
      </c>
      <c r="B1355">
        <v>114.5</v>
      </c>
      <c r="C1355">
        <v>115</v>
      </c>
      <c r="D1355">
        <v>113.5</v>
      </c>
      <c r="E1355">
        <v>114</v>
      </c>
      <c r="F1355">
        <v>595000</v>
      </c>
    </row>
    <row r="1356" spans="1:6">
      <c r="A1356" s="32">
        <v>41810</v>
      </c>
      <c r="B1356">
        <v>116.5</v>
      </c>
      <c r="C1356">
        <v>116.5</v>
      </c>
      <c r="D1356">
        <v>114</v>
      </c>
      <c r="E1356">
        <v>114.5</v>
      </c>
      <c r="F1356">
        <v>1324400</v>
      </c>
    </row>
    <row r="1357" spans="1:6">
      <c r="A1357" s="32">
        <v>41809</v>
      </c>
      <c r="B1357">
        <v>117</v>
      </c>
      <c r="C1357">
        <v>118.5</v>
      </c>
      <c r="D1357">
        <v>116</v>
      </c>
      <c r="E1357">
        <v>117</v>
      </c>
      <c r="F1357">
        <v>435100</v>
      </c>
    </row>
    <row r="1358" spans="1:6">
      <c r="A1358" s="32">
        <v>41808</v>
      </c>
      <c r="B1358">
        <v>118</v>
      </c>
      <c r="C1358">
        <v>118</v>
      </c>
      <c r="D1358">
        <v>116</v>
      </c>
      <c r="E1358">
        <v>118</v>
      </c>
      <c r="F1358">
        <v>424500</v>
      </c>
    </row>
    <row r="1359" spans="1:6">
      <c r="A1359" s="32">
        <v>41807</v>
      </c>
      <c r="B1359">
        <v>118</v>
      </c>
      <c r="C1359">
        <v>118</v>
      </c>
      <c r="D1359">
        <v>115.5</v>
      </c>
      <c r="E1359">
        <v>117</v>
      </c>
      <c r="F1359">
        <v>889000</v>
      </c>
    </row>
    <row r="1360" spans="1:6">
      <c r="A1360" s="32">
        <v>41806</v>
      </c>
      <c r="B1360">
        <v>116.5</v>
      </c>
      <c r="C1360">
        <v>119</v>
      </c>
      <c r="D1360">
        <v>116</v>
      </c>
      <c r="E1360">
        <v>118</v>
      </c>
      <c r="F1360">
        <v>415600</v>
      </c>
    </row>
    <row r="1361" spans="1:6">
      <c r="A1361" s="32">
        <v>41803</v>
      </c>
      <c r="B1361">
        <v>119</v>
      </c>
      <c r="C1361">
        <v>119</v>
      </c>
      <c r="D1361">
        <v>115.5</v>
      </c>
      <c r="E1361">
        <v>117</v>
      </c>
      <c r="F1361">
        <v>693800</v>
      </c>
    </row>
    <row r="1362" spans="1:6">
      <c r="A1362" s="32">
        <v>41802</v>
      </c>
      <c r="B1362">
        <v>118</v>
      </c>
      <c r="C1362">
        <v>120</v>
      </c>
      <c r="D1362">
        <v>117.5</v>
      </c>
      <c r="E1362">
        <v>118</v>
      </c>
      <c r="F1362">
        <v>345200</v>
      </c>
    </row>
    <row r="1363" spans="1:6">
      <c r="A1363" s="32">
        <v>41801</v>
      </c>
      <c r="B1363">
        <v>121.5</v>
      </c>
      <c r="C1363">
        <v>122.5</v>
      </c>
      <c r="D1363">
        <v>117.5</v>
      </c>
      <c r="E1363">
        <v>119.5</v>
      </c>
      <c r="F1363">
        <v>1422300</v>
      </c>
    </row>
    <row r="1364" spans="1:6">
      <c r="A1364" s="32">
        <v>41800</v>
      </c>
      <c r="B1364">
        <v>119.5</v>
      </c>
      <c r="C1364">
        <v>123.5</v>
      </c>
      <c r="D1364">
        <v>119</v>
      </c>
      <c r="E1364">
        <v>123.5</v>
      </c>
      <c r="F1364">
        <v>1347600</v>
      </c>
    </row>
    <row r="1365" spans="1:6">
      <c r="A1365" s="32">
        <v>41799</v>
      </c>
      <c r="B1365">
        <v>119.5</v>
      </c>
      <c r="C1365">
        <v>119.5</v>
      </c>
      <c r="D1365">
        <v>117</v>
      </c>
      <c r="E1365">
        <v>119</v>
      </c>
      <c r="F1365">
        <v>529100</v>
      </c>
    </row>
    <row r="1366" spans="1:6">
      <c r="A1366" s="32">
        <v>41796</v>
      </c>
      <c r="B1366">
        <v>116</v>
      </c>
      <c r="C1366">
        <v>119</v>
      </c>
      <c r="D1366">
        <v>115.5</v>
      </c>
      <c r="E1366">
        <v>118</v>
      </c>
      <c r="F1366">
        <v>829600</v>
      </c>
    </row>
    <row r="1367" spans="1:6">
      <c r="A1367" s="32">
        <v>41795</v>
      </c>
      <c r="B1367">
        <v>114.5</v>
      </c>
      <c r="C1367">
        <v>115</v>
      </c>
      <c r="D1367">
        <v>114</v>
      </c>
      <c r="E1367">
        <v>115</v>
      </c>
      <c r="F1367">
        <v>462400</v>
      </c>
    </row>
    <row r="1368" spans="1:6">
      <c r="A1368" s="32">
        <v>41794</v>
      </c>
      <c r="B1368">
        <v>114.5</v>
      </c>
      <c r="C1368">
        <v>115</v>
      </c>
      <c r="D1368">
        <v>113.5</v>
      </c>
      <c r="E1368">
        <v>115</v>
      </c>
      <c r="F1368">
        <v>717300</v>
      </c>
    </row>
    <row r="1369" spans="1:6">
      <c r="A1369" s="32">
        <v>41793</v>
      </c>
      <c r="B1369">
        <v>114</v>
      </c>
      <c r="C1369">
        <v>114</v>
      </c>
      <c r="D1369">
        <v>112.5</v>
      </c>
      <c r="E1369">
        <v>114</v>
      </c>
      <c r="F1369">
        <v>1003600</v>
      </c>
    </row>
    <row r="1370" spans="1:6">
      <c r="A1370" s="32">
        <v>41792</v>
      </c>
      <c r="B1370">
        <v>113</v>
      </c>
      <c r="C1370">
        <v>113</v>
      </c>
      <c r="D1370">
        <v>111.5</v>
      </c>
      <c r="E1370">
        <v>112.5</v>
      </c>
      <c r="F1370">
        <v>1297300</v>
      </c>
    </row>
    <row r="1371" spans="1:6">
      <c r="A1371" s="32">
        <v>41789</v>
      </c>
      <c r="B1371">
        <v>113</v>
      </c>
      <c r="C1371">
        <v>116</v>
      </c>
      <c r="D1371">
        <v>109.5</v>
      </c>
      <c r="E1371">
        <v>114</v>
      </c>
      <c r="F1371">
        <v>24203300</v>
      </c>
    </row>
    <row r="1372" spans="1:6">
      <c r="A1372" s="32">
        <v>41788</v>
      </c>
      <c r="B1372">
        <v>112.5</v>
      </c>
      <c r="C1372">
        <v>113.5</v>
      </c>
      <c r="D1372">
        <v>112</v>
      </c>
      <c r="E1372">
        <v>112.5</v>
      </c>
      <c r="F1372">
        <v>2253200</v>
      </c>
    </row>
    <row r="1373" spans="1:6">
      <c r="A1373" s="32">
        <v>41787</v>
      </c>
      <c r="B1373">
        <v>114</v>
      </c>
      <c r="C1373">
        <v>114.5</v>
      </c>
      <c r="D1373">
        <v>111</v>
      </c>
      <c r="E1373">
        <v>112</v>
      </c>
      <c r="F1373">
        <v>2315300</v>
      </c>
    </row>
    <row r="1374" spans="1:6">
      <c r="A1374" s="32">
        <v>41786</v>
      </c>
      <c r="B1374">
        <v>114</v>
      </c>
      <c r="C1374">
        <v>115</v>
      </c>
      <c r="D1374">
        <v>112</v>
      </c>
      <c r="E1374">
        <v>115</v>
      </c>
      <c r="F1374">
        <v>1546400</v>
      </c>
    </row>
    <row r="1375" spans="1:6">
      <c r="A1375" s="32">
        <v>41785</v>
      </c>
      <c r="B1375">
        <v>113</v>
      </c>
      <c r="C1375">
        <v>118</v>
      </c>
      <c r="D1375">
        <v>111.5</v>
      </c>
      <c r="E1375">
        <v>113</v>
      </c>
      <c r="F1375">
        <v>1738600</v>
      </c>
    </row>
    <row r="1376" spans="1:6">
      <c r="A1376" s="32">
        <v>41782</v>
      </c>
      <c r="B1376">
        <v>111</v>
      </c>
      <c r="C1376">
        <v>113.5</v>
      </c>
      <c r="D1376">
        <v>110</v>
      </c>
      <c r="E1376">
        <v>113.5</v>
      </c>
      <c r="F1376">
        <v>1633200</v>
      </c>
    </row>
    <row r="1377" spans="1:6">
      <c r="A1377" s="32">
        <v>41781</v>
      </c>
      <c r="B1377">
        <v>109.5</v>
      </c>
      <c r="C1377">
        <v>113</v>
      </c>
      <c r="D1377">
        <v>109.5</v>
      </c>
      <c r="E1377">
        <v>113</v>
      </c>
      <c r="F1377">
        <v>4820300</v>
      </c>
    </row>
    <row r="1378" spans="1:6">
      <c r="A1378" s="32">
        <v>41780</v>
      </c>
      <c r="B1378">
        <v>109</v>
      </c>
      <c r="C1378">
        <v>109.5</v>
      </c>
      <c r="D1378">
        <v>108.5</v>
      </c>
      <c r="E1378">
        <v>109</v>
      </c>
      <c r="F1378">
        <v>1483400</v>
      </c>
    </row>
    <row r="1379" spans="1:6">
      <c r="A1379" s="32">
        <v>41779</v>
      </c>
      <c r="B1379">
        <v>109</v>
      </c>
      <c r="C1379">
        <v>110.5</v>
      </c>
      <c r="D1379">
        <v>108</v>
      </c>
      <c r="E1379">
        <v>109</v>
      </c>
      <c r="F1379">
        <v>1607300</v>
      </c>
    </row>
    <row r="1380" spans="1:6">
      <c r="A1380" s="32">
        <v>41778</v>
      </c>
      <c r="B1380">
        <v>110</v>
      </c>
      <c r="C1380">
        <v>111</v>
      </c>
      <c r="D1380">
        <v>108.5</v>
      </c>
      <c r="E1380">
        <v>110</v>
      </c>
      <c r="F1380">
        <v>3183400</v>
      </c>
    </row>
    <row r="1381" spans="1:6">
      <c r="A1381" s="32">
        <v>41775</v>
      </c>
      <c r="B1381">
        <v>111.5</v>
      </c>
      <c r="C1381">
        <v>111.5</v>
      </c>
      <c r="D1381">
        <v>109</v>
      </c>
      <c r="E1381">
        <v>110</v>
      </c>
      <c r="F1381">
        <v>2274300</v>
      </c>
    </row>
    <row r="1382" spans="1:6">
      <c r="A1382" s="32">
        <v>41774</v>
      </c>
      <c r="B1382">
        <v>105.5</v>
      </c>
      <c r="C1382">
        <v>112</v>
      </c>
      <c r="D1382">
        <v>105.5</v>
      </c>
      <c r="E1382">
        <v>112</v>
      </c>
      <c r="F1382">
        <v>4954400</v>
      </c>
    </row>
    <row r="1383" spans="1:6">
      <c r="A1383" s="32">
        <v>41773</v>
      </c>
      <c r="B1383">
        <v>101.5</v>
      </c>
      <c r="C1383">
        <v>102.5</v>
      </c>
      <c r="D1383">
        <v>100.5</v>
      </c>
      <c r="E1383">
        <v>101.5</v>
      </c>
      <c r="F1383">
        <v>490200</v>
      </c>
    </row>
    <row r="1384" spans="1:6">
      <c r="A1384" s="32">
        <v>41771</v>
      </c>
      <c r="B1384">
        <v>101.5</v>
      </c>
      <c r="C1384">
        <v>103</v>
      </c>
      <c r="D1384">
        <v>100.5</v>
      </c>
      <c r="E1384">
        <v>102</v>
      </c>
      <c r="F1384">
        <v>438400</v>
      </c>
    </row>
    <row r="1385" spans="1:6">
      <c r="A1385" s="32">
        <v>41768</v>
      </c>
      <c r="B1385">
        <v>99.25</v>
      </c>
      <c r="C1385">
        <v>102</v>
      </c>
      <c r="D1385">
        <v>99.25</v>
      </c>
      <c r="E1385">
        <v>100.5</v>
      </c>
      <c r="F1385">
        <v>563900</v>
      </c>
    </row>
    <row r="1386" spans="1:6">
      <c r="A1386" s="32">
        <v>41767</v>
      </c>
      <c r="B1386">
        <v>101</v>
      </c>
      <c r="C1386">
        <v>101.5</v>
      </c>
      <c r="D1386">
        <v>99</v>
      </c>
      <c r="E1386">
        <v>99.5</v>
      </c>
      <c r="F1386">
        <v>534300</v>
      </c>
    </row>
    <row r="1387" spans="1:6">
      <c r="A1387" s="32">
        <v>41766</v>
      </c>
      <c r="B1387">
        <v>99</v>
      </c>
      <c r="C1387">
        <v>102.5</v>
      </c>
      <c r="D1387">
        <v>99</v>
      </c>
      <c r="E1387">
        <v>101</v>
      </c>
      <c r="F1387">
        <v>817000</v>
      </c>
    </row>
    <row r="1388" spans="1:6">
      <c r="A1388" s="32">
        <v>41765</v>
      </c>
      <c r="B1388">
        <v>104.5</v>
      </c>
      <c r="C1388">
        <v>105.5</v>
      </c>
      <c r="D1388">
        <v>99.5</v>
      </c>
      <c r="E1388">
        <v>99.75</v>
      </c>
      <c r="F1388">
        <v>979400</v>
      </c>
    </row>
    <row r="1389" spans="1:6">
      <c r="A1389" s="32">
        <v>41761</v>
      </c>
      <c r="B1389">
        <v>98.25</v>
      </c>
      <c r="C1389">
        <v>104.5</v>
      </c>
      <c r="D1389">
        <v>98</v>
      </c>
      <c r="E1389">
        <v>104</v>
      </c>
      <c r="F1389">
        <v>1329400</v>
      </c>
    </row>
    <row r="1390" spans="1:6">
      <c r="A1390" s="32">
        <v>41759</v>
      </c>
      <c r="B1390">
        <v>97.25</v>
      </c>
      <c r="C1390">
        <v>98.75</v>
      </c>
      <c r="D1390">
        <v>97.25</v>
      </c>
      <c r="E1390">
        <v>98</v>
      </c>
      <c r="F1390">
        <v>207900</v>
      </c>
    </row>
    <row r="1391" spans="1:6">
      <c r="A1391" s="32">
        <v>41758</v>
      </c>
      <c r="B1391">
        <v>97.75</v>
      </c>
      <c r="C1391">
        <v>98.5</v>
      </c>
      <c r="D1391">
        <v>97.25</v>
      </c>
      <c r="E1391">
        <v>97.5</v>
      </c>
      <c r="F1391">
        <v>177400</v>
      </c>
    </row>
    <row r="1392" spans="1:6">
      <c r="A1392" s="32">
        <v>41757</v>
      </c>
      <c r="B1392">
        <v>99.25</v>
      </c>
      <c r="C1392">
        <v>99.5</v>
      </c>
      <c r="D1392">
        <v>97.5</v>
      </c>
      <c r="E1392">
        <v>97.5</v>
      </c>
      <c r="F1392">
        <v>350700</v>
      </c>
    </row>
    <row r="1393" spans="1:6">
      <c r="A1393" s="32">
        <v>41754</v>
      </c>
      <c r="B1393">
        <v>97.5</v>
      </c>
      <c r="C1393">
        <v>99.5</v>
      </c>
      <c r="D1393">
        <v>97.25</v>
      </c>
      <c r="E1393">
        <v>98.5</v>
      </c>
      <c r="F1393">
        <v>493800</v>
      </c>
    </row>
    <row r="1394" spans="1:6">
      <c r="A1394" s="32">
        <v>41753</v>
      </c>
      <c r="B1394">
        <v>97.75</v>
      </c>
      <c r="C1394">
        <v>98.25</v>
      </c>
      <c r="D1394">
        <v>97.25</v>
      </c>
      <c r="E1394">
        <v>97.25</v>
      </c>
      <c r="F1394">
        <v>363800</v>
      </c>
    </row>
    <row r="1395" spans="1:6">
      <c r="A1395" s="32">
        <v>41752</v>
      </c>
      <c r="B1395">
        <v>97.5</v>
      </c>
      <c r="C1395">
        <v>99.5</v>
      </c>
      <c r="D1395">
        <v>97.5</v>
      </c>
      <c r="E1395">
        <v>97.75</v>
      </c>
      <c r="F1395">
        <v>777200</v>
      </c>
    </row>
    <row r="1396" spans="1:6">
      <c r="A1396" s="32">
        <v>41751</v>
      </c>
      <c r="B1396">
        <v>100</v>
      </c>
      <c r="C1396">
        <v>100.5</v>
      </c>
      <c r="D1396">
        <v>97.25</v>
      </c>
      <c r="E1396">
        <v>98</v>
      </c>
      <c r="F1396">
        <v>317000</v>
      </c>
    </row>
    <row r="1397" spans="1:6">
      <c r="A1397" s="32">
        <v>41750</v>
      </c>
      <c r="B1397">
        <v>99</v>
      </c>
      <c r="C1397">
        <v>100.5</v>
      </c>
      <c r="D1397">
        <v>99</v>
      </c>
      <c r="E1397">
        <v>100</v>
      </c>
      <c r="F1397">
        <v>150300</v>
      </c>
    </row>
    <row r="1398" spans="1:6">
      <c r="A1398" s="32">
        <v>41747</v>
      </c>
      <c r="B1398">
        <v>99.75</v>
      </c>
      <c r="C1398">
        <v>100</v>
      </c>
      <c r="D1398">
        <v>99</v>
      </c>
      <c r="E1398">
        <v>99</v>
      </c>
      <c r="F1398">
        <v>125800</v>
      </c>
    </row>
    <row r="1399" spans="1:6">
      <c r="A1399" s="32">
        <v>41746</v>
      </c>
      <c r="B1399">
        <v>99.75</v>
      </c>
      <c r="C1399">
        <v>100</v>
      </c>
      <c r="D1399">
        <v>99</v>
      </c>
      <c r="E1399">
        <v>99.75</v>
      </c>
      <c r="F1399">
        <v>454200</v>
      </c>
    </row>
    <row r="1400" spans="1:6">
      <c r="A1400" s="32">
        <v>41745</v>
      </c>
      <c r="B1400">
        <v>98.25</v>
      </c>
      <c r="C1400">
        <v>102.5</v>
      </c>
      <c r="D1400">
        <v>98</v>
      </c>
      <c r="E1400">
        <v>99.75</v>
      </c>
      <c r="F1400">
        <v>1054900</v>
      </c>
    </row>
    <row r="1401" spans="1:6">
      <c r="A1401" s="32">
        <v>41740</v>
      </c>
      <c r="B1401">
        <v>98.5</v>
      </c>
      <c r="C1401">
        <v>99</v>
      </c>
      <c r="D1401">
        <v>97.75</v>
      </c>
      <c r="E1401">
        <v>98.5</v>
      </c>
      <c r="F1401">
        <v>363200</v>
      </c>
    </row>
    <row r="1402" spans="1:6">
      <c r="A1402" s="32">
        <v>41739</v>
      </c>
      <c r="B1402">
        <v>99.75</v>
      </c>
      <c r="C1402">
        <v>99.75</v>
      </c>
      <c r="D1402">
        <v>98.75</v>
      </c>
      <c r="E1402">
        <v>98.75</v>
      </c>
      <c r="F1402">
        <v>219100</v>
      </c>
    </row>
    <row r="1403" spans="1:6">
      <c r="A1403" s="32">
        <v>41738</v>
      </c>
      <c r="B1403">
        <v>100.5</v>
      </c>
      <c r="C1403">
        <v>100.5</v>
      </c>
      <c r="D1403">
        <v>99</v>
      </c>
      <c r="E1403">
        <v>99</v>
      </c>
      <c r="F1403">
        <v>268000</v>
      </c>
    </row>
    <row r="1404" spans="1:6">
      <c r="A1404" s="32">
        <v>41737</v>
      </c>
      <c r="B1404">
        <v>99</v>
      </c>
      <c r="C1404">
        <v>101</v>
      </c>
      <c r="D1404">
        <v>98.75</v>
      </c>
      <c r="E1404">
        <v>99</v>
      </c>
      <c r="F1404">
        <v>856900</v>
      </c>
    </row>
    <row r="1405" spans="1:6">
      <c r="A1405" s="32">
        <v>41733</v>
      </c>
      <c r="B1405">
        <v>96.75</v>
      </c>
      <c r="C1405">
        <v>100.5</v>
      </c>
      <c r="D1405">
        <v>96.5</v>
      </c>
      <c r="E1405">
        <v>100</v>
      </c>
      <c r="F1405">
        <v>890100</v>
      </c>
    </row>
    <row r="1406" spans="1:6">
      <c r="A1406" s="32">
        <v>41732</v>
      </c>
      <c r="B1406">
        <v>95.5</v>
      </c>
      <c r="C1406">
        <v>97</v>
      </c>
      <c r="D1406">
        <v>95</v>
      </c>
      <c r="E1406">
        <v>97</v>
      </c>
      <c r="F1406">
        <v>441600</v>
      </c>
    </row>
    <row r="1407" spans="1:6">
      <c r="A1407" s="32">
        <v>41731</v>
      </c>
      <c r="B1407">
        <v>97.25</v>
      </c>
      <c r="C1407">
        <v>97.25</v>
      </c>
      <c r="D1407">
        <v>95.75</v>
      </c>
      <c r="E1407">
        <v>96.5</v>
      </c>
      <c r="F1407">
        <v>402400</v>
      </c>
    </row>
    <row r="1408" spans="1:6">
      <c r="A1408" s="32">
        <v>41730</v>
      </c>
      <c r="B1408">
        <v>96.25</v>
      </c>
      <c r="C1408">
        <v>98</v>
      </c>
      <c r="D1408">
        <v>95.75</v>
      </c>
      <c r="E1408">
        <v>97.25</v>
      </c>
      <c r="F1408">
        <v>493400</v>
      </c>
    </row>
    <row r="1409" spans="1:6">
      <c r="A1409" s="32">
        <v>41729</v>
      </c>
      <c r="B1409">
        <v>97</v>
      </c>
      <c r="C1409">
        <v>98</v>
      </c>
      <c r="D1409">
        <v>96.25</v>
      </c>
      <c r="E1409">
        <v>96.25</v>
      </c>
      <c r="F1409">
        <v>833500</v>
      </c>
    </row>
    <row r="1410" spans="1:6">
      <c r="A1410" s="32">
        <v>41726</v>
      </c>
      <c r="B1410">
        <v>92.75</v>
      </c>
      <c r="C1410">
        <v>97.5</v>
      </c>
      <c r="D1410">
        <v>90.75</v>
      </c>
      <c r="E1410">
        <v>95.75</v>
      </c>
      <c r="F1410">
        <v>1411200</v>
      </c>
    </row>
    <row r="1411" spans="1:6">
      <c r="A1411" s="32">
        <v>41725</v>
      </c>
      <c r="B1411">
        <v>90.5</v>
      </c>
      <c r="C1411">
        <v>92</v>
      </c>
      <c r="D1411">
        <v>90.5</v>
      </c>
      <c r="E1411">
        <v>92</v>
      </c>
      <c r="F1411">
        <v>424700</v>
      </c>
    </row>
    <row r="1412" spans="1:6">
      <c r="A1412" s="32">
        <v>41724</v>
      </c>
      <c r="B1412">
        <v>90.75</v>
      </c>
      <c r="C1412">
        <v>91</v>
      </c>
      <c r="D1412">
        <v>89.5</v>
      </c>
      <c r="E1412">
        <v>90.5</v>
      </c>
      <c r="F1412">
        <v>414100</v>
      </c>
    </row>
    <row r="1413" spans="1:6">
      <c r="A1413" s="32">
        <v>41723</v>
      </c>
      <c r="B1413">
        <v>90.5</v>
      </c>
      <c r="C1413">
        <v>90.5</v>
      </c>
      <c r="D1413">
        <v>89</v>
      </c>
      <c r="E1413">
        <v>90.25</v>
      </c>
      <c r="F1413">
        <v>286900</v>
      </c>
    </row>
    <row r="1414" spans="1:6">
      <c r="A1414" s="32">
        <v>41722</v>
      </c>
      <c r="B1414">
        <v>89.5</v>
      </c>
      <c r="C1414">
        <v>91</v>
      </c>
      <c r="D1414">
        <v>88.75</v>
      </c>
      <c r="E1414">
        <v>90.5</v>
      </c>
      <c r="F1414">
        <v>539100</v>
      </c>
    </row>
    <row r="1415" spans="1:6">
      <c r="A1415" s="32">
        <v>41719</v>
      </c>
      <c r="B1415">
        <v>88.75</v>
      </c>
      <c r="C1415">
        <v>89.25</v>
      </c>
      <c r="D1415">
        <v>88</v>
      </c>
      <c r="E1415">
        <v>89.25</v>
      </c>
      <c r="F1415">
        <v>509700</v>
      </c>
    </row>
    <row r="1416" spans="1:6">
      <c r="A1416" s="32">
        <v>41718</v>
      </c>
      <c r="B1416">
        <v>89.25</v>
      </c>
      <c r="C1416">
        <v>89.5</v>
      </c>
      <c r="D1416">
        <v>88.25</v>
      </c>
      <c r="E1416">
        <v>88.5</v>
      </c>
      <c r="F1416">
        <v>658500</v>
      </c>
    </row>
    <row r="1417" spans="1:6">
      <c r="A1417" s="32">
        <v>41717</v>
      </c>
      <c r="B1417">
        <v>89.75</v>
      </c>
      <c r="C1417">
        <v>90.5</v>
      </c>
      <c r="D1417">
        <v>89.5</v>
      </c>
      <c r="E1417">
        <v>89.5</v>
      </c>
      <c r="F1417">
        <v>730300</v>
      </c>
    </row>
    <row r="1418" spans="1:6">
      <c r="A1418" s="32">
        <v>41716</v>
      </c>
      <c r="B1418">
        <v>89.25</v>
      </c>
      <c r="C1418">
        <v>89.25</v>
      </c>
      <c r="D1418">
        <v>88.5</v>
      </c>
      <c r="E1418">
        <v>88.5</v>
      </c>
      <c r="F1418">
        <v>552200</v>
      </c>
    </row>
    <row r="1419" spans="1:6">
      <c r="A1419" s="32">
        <v>41715</v>
      </c>
      <c r="B1419">
        <v>89.5</v>
      </c>
      <c r="C1419">
        <v>90</v>
      </c>
      <c r="D1419">
        <v>89</v>
      </c>
      <c r="E1419">
        <v>89.25</v>
      </c>
      <c r="F1419">
        <v>351200</v>
      </c>
    </row>
    <row r="1420" spans="1:6">
      <c r="A1420" s="32">
        <v>41712</v>
      </c>
      <c r="B1420">
        <v>90</v>
      </c>
      <c r="C1420">
        <v>90</v>
      </c>
      <c r="D1420">
        <v>88.5</v>
      </c>
      <c r="E1420">
        <v>89.5</v>
      </c>
      <c r="F1420">
        <v>319900</v>
      </c>
    </row>
    <row r="1421" spans="1:6">
      <c r="A1421" s="32">
        <v>41711</v>
      </c>
      <c r="B1421">
        <v>89.5</v>
      </c>
      <c r="C1421">
        <v>90</v>
      </c>
      <c r="D1421">
        <v>89</v>
      </c>
      <c r="E1421">
        <v>89.5</v>
      </c>
      <c r="F1421">
        <v>467100</v>
      </c>
    </row>
    <row r="1422" spans="1:6">
      <c r="A1422" s="32">
        <v>41710</v>
      </c>
      <c r="B1422">
        <v>89.75</v>
      </c>
      <c r="C1422">
        <v>90</v>
      </c>
      <c r="D1422">
        <v>88</v>
      </c>
      <c r="E1422">
        <v>90</v>
      </c>
      <c r="F1422">
        <v>475400</v>
      </c>
    </row>
    <row r="1423" spans="1:6">
      <c r="A1423" s="32">
        <v>41709</v>
      </c>
      <c r="B1423">
        <v>89.25</v>
      </c>
      <c r="C1423">
        <v>90</v>
      </c>
      <c r="D1423">
        <v>89</v>
      </c>
      <c r="E1423">
        <v>89.75</v>
      </c>
      <c r="F1423">
        <v>514300</v>
      </c>
    </row>
    <row r="1424" spans="1:6">
      <c r="A1424" s="32">
        <v>41708</v>
      </c>
      <c r="B1424">
        <v>90.75</v>
      </c>
      <c r="C1424">
        <v>90.75</v>
      </c>
      <c r="D1424">
        <v>88.25</v>
      </c>
      <c r="E1424">
        <v>90</v>
      </c>
      <c r="F1424">
        <v>259800</v>
      </c>
    </row>
    <row r="1425" spans="1:6">
      <c r="A1425" s="32">
        <v>41705</v>
      </c>
      <c r="B1425">
        <v>91</v>
      </c>
      <c r="C1425">
        <v>91</v>
      </c>
      <c r="D1425">
        <v>90</v>
      </c>
      <c r="E1425">
        <v>90.75</v>
      </c>
      <c r="F1425">
        <v>396600</v>
      </c>
    </row>
    <row r="1426" spans="1:6">
      <c r="A1426" s="32">
        <v>41704</v>
      </c>
      <c r="B1426">
        <v>90</v>
      </c>
      <c r="C1426">
        <v>90.75</v>
      </c>
      <c r="D1426">
        <v>89.75</v>
      </c>
      <c r="E1426">
        <v>90.5</v>
      </c>
      <c r="F1426">
        <v>793800</v>
      </c>
    </row>
    <row r="1427" spans="1:6">
      <c r="A1427" s="32">
        <v>41703</v>
      </c>
      <c r="B1427">
        <v>89.75</v>
      </c>
      <c r="C1427">
        <v>90.25</v>
      </c>
      <c r="D1427">
        <v>89.5</v>
      </c>
      <c r="E1427">
        <v>89.75</v>
      </c>
      <c r="F1427">
        <v>163900</v>
      </c>
    </row>
    <row r="1428" spans="1:6">
      <c r="A1428" s="32">
        <v>41702</v>
      </c>
      <c r="B1428">
        <v>90</v>
      </c>
      <c r="C1428">
        <v>90.25</v>
      </c>
      <c r="D1428">
        <v>89.25</v>
      </c>
      <c r="E1428">
        <v>89.75</v>
      </c>
      <c r="F1428">
        <v>753200</v>
      </c>
    </row>
    <row r="1429" spans="1:6">
      <c r="A1429" s="32">
        <v>41701</v>
      </c>
      <c r="B1429">
        <v>89.5</v>
      </c>
      <c r="C1429">
        <v>89.75</v>
      </c>
      <c r="D1429">
        <v>89</v>
      </c>
      <c r="E1429">
        <v>89.5</v>
      </c>
      <c r="F1429">
        <v>866200</v>
      </c>
    </row>
    <row r="1430" spans="1:6">
      <c r="A1430" s="32">
        <v>41698</v>
      </c>
      <c r="B1430">
        <v>89.5</v>
      </c>
      <c r="C1430">
        <v>89.5</v>
      </c>
      <c r="D1430">
        <v>88.5</v>
      </c>
      <c r="E1430">
        <v>89</v>
      </c>
      <c r="F1430">
        <v>710500</v>
      </c>
    </row>
    <row r="1431" spans="1:6">
      <c r="A1431" s="32">
        <v>41697</v>
      </c>
      <c r="B1431">
        <v>88</v>
      </c>
      <c r="C1431">
        <v>89.75</v>
      </c>
      <c r="D1431">
        <v>87.5</v>
      </c>
      <c r="E1431">
        <v>89.25</v>
      </c>
      <c r="F1431">
        <v>820400</v>
      </c>
    </row>
    <row r="1432" spans="1:6">
      <c r="A1432" s="32">
        <v>41696</v>
      </c>
      <c r="B1432">
        <v>86.25</v>
      </c>
      <c r="C1432">
        <v>88.25</v>
      </c>
      <c r="D1432">
        <v>86.25</v>
      </c>
      <c r="E1432">
        <v>88</v>
      </c>
      <c r="F1432">
        <v>590400</v>
      </c>
    </row>
    <row r="1433" spans="1:6">
      <c r="A1433" s="32">
        <v>41695</v>
      </c>
      <c r="B1433">
        <v>87.75</v>
      </c>
      <c r="C1433">
        <v>87.75</v>
      </c>
      <c r="D1433">
        <v>85.5</v>
      </c>
      <c r="E1433">
        <v>87.25</v>
      </c>
      <c r="F1433">
        <v>417400</v>
      </c>
    </row>
    <row r="1434" spans="1:6">
      <c r="A1434" s="32">
        <v>41694</v>
      </c>
      <c r="B1434">
        <v>85.75</v>
      </c>
      <c r="C1434">
        <v>87.25</v>
      </c>
      <c r="D1434">
        <v>85.5</v>
      </c>
      <c r="E1434">
        <v>87.25</v>
      </c>
      <c r="F1434">
        <v>634100</v>
      </c>
    </row>
    <row r="1435" spans="1:6">
      <c r="A1435" s="32">
        <v>41691</v>
      </c>
      <c r="B1435">
        <v>84.5</v>
      </c>
      <c r="C1435">
        <v>85.75</v>
      </c>
      <c r="D1435">
        <v>84.25</v>
      </c>
      <c r="E1435">
        <v>85.75</v>
      </c>
      <c r="F1435">
        <v>1224500</v>
      </c>
    </row>
    <row r="1436" spans="1:6">
      <c r="A1436" s="32">
        <v>41690</v>
      </c>
      <c r="B1436">
        <v>86</v>
      </c>
      <c r="C1436">
        <v>86.25</v>
      </c>
      <c r="D1436">
        <v>85.25</v>
      </c>
      <c r="E1436">
        <v>85.25</v>
      </c>
      <c r="F1436">
        <v>433000</v>
      </c>
    </row>
    <row r="1437" spans="1:6">
      <c r="A1437" s="32">
        <v>41689</v>
      </c>
      <c r="B1437">
        <v>88.25</v>
      </c>
      <c r="C1437">
        <v>88.5</v>
      </c>
      <c r="D1437">
        <v>86.5</v>
      </c>
      <c r="E1437">
        <v>86.75</v>
      </c>
      <c r="F1437">
        <v>370500</v>
      </c>
    </row>
    <row r="1438" spans="1:6">
      <c r="A1438" s="32">
        <v>41688</v>
      </c>
      <c r="B1438">
        <v>88.75</v>
      </c>
      <c r="C1438">
        <v>89.5</v>
      </c>
      <c r="D1438">
        <v>87.5</v>
      </c>
      <c r="E1438">
        <v>89</v>
      </c>
      <c r="F1438">
        <v>854300</v>
      </c>
    </row>
    <row r="1439" spans="1:6">
      <c r="A1439" s="32">
        <v>41687</v>
      </c>
      <c r="B1439">
        <v>87</v>
      </c>
      <c r="C1439">
        <v>87.75</v>
      </c>
      <c r="D1439">
        <v>86.75</v>
      </c>
      <c r="E1439">
        <v>87.75</v>
      </c>
      <c r="F1439">
        <v>327200</v>
      </c>
    </row>
    <row r="1440" spans="1:6">
      <c r="A1440" s="32">
        <v>41683</v>
      </c>
      <c r="B1440">
        <v>86</v>
      </c>
      <c r="C1440">
        <v>86.75</v>
      </c>
      <c r="D1440">
        <v>85.5</v>
      </c>
      <c r="E1440">
        <v>86.25</v>
      </c>
      <c r="F1440">
        <v>216600</v>
      </c>
    </row>
    <row r="1441" spans="1:6">
      <c r="A1441" s="32">
        <v>41682</v>
      </c>
      <c r="B1441">
        <v>84.5</v>
      </c>
      <c r="C1441">
        <v>87</v>
      </c>
      <c r="D1441">
        <v>84.25</v>
      </c>
      <c r="E1441">
        <v>87</v>
      </c>
      <c r="F1441">
        <v>564900</v>
      </c>
    </row>
    <row r="1442" spans="1:6">
      <c r="A1442" s="32">
        <v>41681</v>
      </c>
      <c r="B1442">
        <v>84.75</v>
      </c>
      <c r="C1442">
        <v>84.75</v>
      </c>
      <c r="D1442">
        <v>84</v>
      </c>
      <c r="E1442">
        <v>84.5</v>
      </c>
      <c r="F1442">
        <v>207400</v>
      </c>
    </row>
    <row r="1443" spans="1:6">
      <c r="A1443" s="32">
        <v>41680</v>
      </c>
      <c r="B1443">
        <v>84.75</v>
      </c>
      <c r="C1443">
        <v>85</v>
      </c>
      <c r="D1443">
        <v>84.25</v>
      </c>
      <c r="E1443">
        <v>84.75</v>
      </c>
      <c r="F1443">
        <v>377800</v>
      </c>
    </row>
    <row r="1444" spans="1:6">
      <c r="A1444" s="32">
        <v>41677</v>
      </c>
      <c r="B1444">
        <v>85.25</v>
      </c>
      <c r="C1444">
        <v>85.25</v>
      </c>
      <c r="D1444">
        <v>84</v>
      </c>
      <c r="E1444">
        <v>84.5</v>
      </c>
      <c r="F1444">
        <v>322900</v>
      </c>
    </row>
    <row r="1445" spans="1:6">
      <c r="A1445" s="32">
        <v>41676</v>
      </c>
      <c r="B1445">
        <v>83.75</v>
      </c>
      <c r="C1445">
        <v>84.75</v>
      </c>
      <c r="D1445">
        <v>83.75</v>
      </c>
      <c r="E1445">
        <v>84.5</v>
      </c>
      <c r="F1445">
        <v>627200</v>
      </c>
    </row>
    <row r="1446" spans="1:6">
      <c r="A1446" s="32">
        <v>41675</v>
      </c>
      <c r="B1446">
        <v>83.5</v>
      </c>
      <c r="C1446">
        <v>83.75</v>
      </c>
      <c r="D1446">
        <v>82.25</v>
      </c>
      <c r="E1446">
        <v>82.75</v>
      </c>
      <c r="F1446">
        <v>609200</v>
      </c>
    </row>
    <row r="1447" spans="1:6">
      <c r="A1447" s="32">
        <v>41674</v>
      </c>
      <c r="B1447">
        <v>84</v>
      </c>
      <c r="C1447">
        <v>84.25</v>
      </c>
      <c r="D1447">
        <v>83.5</v>
      </c>
      <c r="E1447">
        <v>83.75</v>
      </c>
      <c r="F1447">
        <v>352900</v>
      </c>
    </row>
    <row r="1448" spans="1:6">
      <c r="A1448" s="32">
        <v>41673</v>
      </c>
      <c r="B1448">
        <v>84.75</v>
      </c>
      <c r="C1448">
        <v>85</v>
      </c>
      <c r="D1448">
        <v>84</v>
      </c>
      <c r="E1448">
        <v>84.75</v>
      </c>
      <c r="F1448">
        <v>985100</v>
      </c>
    </row>
    <row r="1449" spans="1:6">
      <c r="A1449" s="32">
        <v>41670</v>
      </c>
      <c r="B1449">
        <v>82.5</v>
      </c>
      <c r="C1449">
        <v>84.25</v>
      </c>
      <c r="D1449">
        <v>82.5</v>
      </c>
      <c r="E1449">
        <v>84</v>
      </c>
      <c r="F1449">
        <v>573900</v>
      </c>
    </row>
    <row r="1450" spans="1:6">
      <c r="A1450" s="32">
        <v>41669</v>
      </c>
      <c r="B1450">
        <v>82</v>
      </c>
      <c r="C1450">
        <v>83</v>
      </c>
      <c r="D1450">
        <v>82</v>
      </c>
      <c r="E1450">
        <v>83</v>
      </c>
      <c r="F1450">
        <v>258200</v>
      </c>
    </row>
    <row r="1451" spans="1:6">
      <c r="A1451" s="32">
        <v>41668</v>
      </c>
      <c r="B1451">
        <v>82.75</v>
      </c>
      <c r="C1451">
        <v>83.5</v>
      </c>
      <c r="D1451">
        <v>82.25</v>
      </c>
      <c r="E1451">
        <v>83.25</v>
      </c>
      <c r="F1451">
        <v>661800</v>
      </c>
    </row>
    <row r="1452" spans="1:6">
      <c r="A1452" s="32">
        <v>41667</v>
      </c>
      <c r="B1452">
        <v>81.75</v>
      </c>
      <c r="C1452">
        <v>82.75</v>
      </c>
      <c r="D1452">
        <v>81.75</v>
      </c>
      <c r="E1452">
        <v>82.75</v>
      </c>
      <c r="F1452">
        <v>637200</v>
      </c>
    </row>
    <row r="1453" spans="1:6">
      <c r="A1453" s="32">
        <v>41666</v>
      </c>
      <c r="B1453">
        <v>82</v>
      </c>
      <c r="C1453">
        <v>83.5</v>
      </c>
      <c r="D1453">
        <v>81.25</v>
      </c>
      <c r="E1453">
        <v>82.75</v>
      </c>
      <c r="F1453">
        <v>1735600</v>
      </c>
    </row>
    <row r="1454" spans="1:6">
      <c r="A1454" s="32">
        <v>41663</v>
      </c>
      <c r="B1454">
        <v>84.5</v>
      </c>
      <c r="C1454">
        <v>84.75</v>
      </c>
      <c r="D1454">
        <v>83.5</v>
      </c>
      <c r="E1454">
        <v>83.75</v>
      </c>
      <c r="F1454">
        <v>987300</v>
      </c>
    </row>
    <row r="1455" spans="1:6">
      <c r="A1455" s="32">
        <v>41662</v>
      </c>
      <c r="B1455">
        <v>85</v>
      </c>
      <c r="C1455">
        <v>85.25</v>
      </c>
      <c r="D1455">
        <v>83.5</v>
      </c>
      <c r="E1455">
        <v>84.5</v>
      </c>
      <c r="F1455">
        <v>854100</v>
      </c>
    </row>
    <row r="1456" spans="1:6">
      <c r="A1456" s="32">
        <v>41661</v>
      </c>
      <c r="B1456">
        <v>84.25</v>
      </c>
      <c r="C1456">
        <v>85.25</v>
      </c>
      <c r="D1456">
        <v>84</v>
      </c>
      <c r="E1456">
        <v>84.25</v>
      </c>
      <c r="F1456">
        <v>616000</v>
      </c>
    </row>
    <row r="1457" spans="1:6">
      <c r="A1457" s="32">
        <v>41660</v>
      </c>
      <c r="B1457">
        <v>85.25</v>
      </c>
      <c r="C1457">
        <v>86.5</v>
      </c>
      <c r="D1457">
        <v>84.75</v>
      </c>
      <c r="E1457">
        <v>85</v>
      </c>
      <c r="F1457">
        <v>1304200</v>
      </c>
    </row>
    <row r="1458" spans="1:6">
      <c r="A1458" s="32">
        <v>41659</v>
      </c>
      <c r="B1458">
        <v>86.25</v>
      </c>
      <c r="C1458">
        <v>87</v>
      </c>
      <c r="D1458">
        <v>85.25</v>
      </c>
      <c r="E1458">
        <v>85.25</v>
      </c>
      <c r="F1458">
        <v>235200</v>
      </c>
    </row>
    <row r="1459" spans="1:6">
      <c r="A1459" s="32">
        <v>41656</v>
      </c>
      <c r="B1459">
        <v>87</v>
      </c>
      <c r="C1459">
        <v>87.25</v>
      </c>
      <c r="D1459">
        <v>85.25</v>
      </c>
      <c r="E1459">
        <v>86</v>
      </c>
      <c r="F1459">
        <v>452800</v>
      </c>
    </row>
    <row r="1460" spans="1:6">
      <c r="A1460" s="32">
        <v>41655</v>
      </c>
      <c r="B1460">
        <v>84.5</v>
      </c>
      <c r="C1460">
        <v>86</v>
      </c>
      <c r="D1460">
        <v>84.5</v>
      </c>
      <c r="E1460">
        <v>86</v>
      </c>
      <c r="F1460">
        <v>308900</v>
      </c>
    </row>
    <row r="1461" spans="1:6">
      <c r="A1461" s="32">
        <v>41654</v>
      </c>
      <c r="B1461">
        <v>86</v>
      </c>
      <c r="C1461">
        <v>87</v>
      </c>
      <c r="D1461">
        <v>84</v>
      </c>
      <c r="E1461">
        <v>84</v>
      </c>
      <c r="F1461">
        <v>448700</v>
      </c>
    </row>
    <row r="1462" spans="1:6">
      <c r="A1462" s="32">
        <v>41653</v>
      </c>
      <c r="B1462">
        <v>87.75</v>
      </c>
      <c r="C1462">
        <v>87.75</v>
      </c>
      <c r="D1462">
        <v>86.5</v>
      </c>
      <c r="E1462">
        <v>87</v>
      </c>
      <c r="F1462">
        <v>260300</v>
      </c>
    </row>
    <row r="1463" spans="1:6">
      <c r="A1463" s="32">
        <v>41652</v>
      </c>
      <c r="B1463">
        <v>87</v>
      </c>
      <c r="C1463">
        <v>87.5</v>
      </c>
      <c r="D1463">
        <v>84.75</v>
      </c>
      <c r="E1463">
        <v>87.5</v>
      </c>
      <c r="F1463">
        <v>498500</v>
      </c>
    </row>
    <row r="1464" spans="1:6">
      <c r="A1464" s="32">
        <v>41649</v>
      </c>
      <c r="B1464">
        <v>83</v>
      </c>
      <c r="C1464">
        <v>87</v>
      </c>
      <c r="D1464">
        <v>82.5</v>
      </c>
      <c r="E1464">
        <v>87</v>
      </c>
      <c r="F1464">
        <v>946000</v>
      </c>
    </row>
    <row r="1465" spans="1:6">
      <c r="A1465" s="32">
        <v>41648</v>
      </c>
      <c r="B1465">
        <v>83.75</v>
      </c>
      <c r="C1465">
        <v>84.25</v>
      </c>
      <c r="D1465">
        <v>83</v>
      </c>
      <c r="E1465">
        <v>83</v>
      </c>
      <c r="F1465">
        <v>659100</v>
      </c>
    </row>
    <row r="1466" spans="1:6">
      <c r="A1466" s="32">
        <v>41647</v>
      </c>
      <c r="B1466">
        <v>84</v>
      </c>
      <c r="C1466">
        <v>84.25</v>
      </c>
      <c r="D1466">
        <v>82</v>
      </c>
      <c r="E1466">
        <v>82</v>
      </c>
      <c r="F1466">
        <v>739500</v>
      </c>
    </row>
    <row r="1467" spans="1:6">
      <c r="A1467" s="32">
        <v>41646</v>
      </c>
      <c r="B1467">
        <v>82.25</v>
      </c>
      <c r="C1467">
        <v>84.25</v>
      </c>
      <c r="D1467">
        <v>82.25</v>
      </c>
      <c r="E1467">
        <v>83.25</v>
      </c>
      <c r="F1467">
        <v>781400</v>
      </c>
    </row>
    <row r="1468" spans="1:6">
      <c r="A1468" s="32">
        <v>41645</v>
      </c>
      <c r="B1468">
        <v>85</v>
      </c>
      <c r="C1468">
        <v>85.25</v>
      </c>
      <c r="D1468">
        <v>82</v>
      </c>
      <c r="E1468">
        <v>84</v>
      </c>
      <c r="F1468">
        <v>930900</v>
      </c>
    </row>
    <row r="1469" spans="1:6">
      <c r="A1469" s="32">
        <v>41642</v>
      </c>
      <c r="B1469">
        <v>82</v>
      </c>
      <c r="C1469">
        <v>86</v>
      </c>
      <c r="D1469">
        <v>82</v>
      </c>
      <c r="E1469">
        <v>85</v>
      </c>
      <c r="F1469">
        <v>1055600</v>
      </c>
    </row>
    <row r="1470" spans="1:6">
      <c r="A1470" s="32">
        <v>41641</v>
      </c>
      <c r="B1470">
        <v>86</v>
      </c>
      <c r="C1470">
        <v>87.75</v>
      </c>
      <c r="D1470">
        <v>83.25</v>
      </c>
      <c r="E1470">
        <v>83.5</v>
      </c>
      <c r="F1470">
        <v>796700</v>
      </c>
    </row>
    <row r="1471" spans="1:6">
      <c r="A1471" s="32">
        <v>41635</v>
      </c>
      <c r="B1471">
        <v>84.5</v>
      </c>
      <c r="C1471">
        <v>87.75</v>
      </c>
      <c r="D1471">
        <v>82.5</v>
      </c>
      <c r="E1471">
        <v>87.75</v>
      </c>
      <c r="F1471">
        <v>1669100</v>
      </c>
    </row>
    <row r="1472" spans="1:6">
      <c r="A1472" s="32">
        <v>41634</v>
      </c>
      <c r="B1472">
        <v>87</v>
      </c>
      <c r="C1472">
        <v>87</v>
      </c>
      <c r="D1472">
        <v>84.75</v>
      </c>
      <c r="E1472">
        <v>84.75</v>
      </c>
      <c r="F1472">
        <v>343700</v>
      </c>
    </row>
    <row r="1473" spans="1:6">
      <c r="A1473" s="32">
        <v>41633</v>
      </c>
      <c r="B1473">
        <v>86.25</v>
      </c>
      <c r="C1473">
        <v>87</v>
      </c>
      <c r="D1473">
        <v>86.25</v>
      </c>
      <c r="E1473">
        <v>87</v>
      </c>
      <c r="F1473">
        <v>66100</v>
      </c>
    </row>
    <row r="1474" spans="1:6">
      <c r="A1474" s="32">
        <v>41632</v>
      </c>
      <c r="B1474">
        <v>85.75</v>
      </c>
      <c r="C1474">
        <v>87</v>
      </c>
      <c r="D1474">
        <v>85.5</v>
      </c>
      <c r="E1474">
        <v>87</v>
      </c>
      <c r="F1474">
        <v>344900</v>
      </c>
    </row>
    <row r="1475" spans="1:6">
      <c r="A1475" s="32">
        <v>41631</v>
      </c>
      <c r="B1475">
        <v>86</v>
      </c>
      <c r="C1475">
        <v>86.75</v>
      </c>
      <c r="D1475">
        <v>85.5</v>
      </c>
      <c r="E1475">
        <v>86.5</v>
      </c>
      <c r="F1475">
        <v>344100</v>
      </c>
    </row>
    <row r="1476" spans="1:6">
      <c r="A1476" s="32">
        <v>41628</v>
      </c>
      <c r="B1476">
        <v>86.75</v>
      </c>
      <c r="C1476">
        <v>87</v>
      </c>
      <c r="D1476">
        <v>85.75</v>
      </c>
      <c r="E1476">
        <v>87</v>
      </c>
      <c r="F1476">
        <v>343700</v>
      </c>
    </row>
    <row r="1477" spans="1:6">
      <c r="A1477" s="32">
        <v>41627</v>
      </c>
      <c r="B1477">
        <v>89.5</v>
      </c>
      <c r="C1477">
        <v>89.5</v>
      </c>
      <c r="D1477">
        <v>86</v>
      </c>
      <c r="E1477">
        <v>86.5</v>
      </c>
      <c r="F1477">
        <v>528600</v>
      </c>
    </row>
    <row r="1478" spans="1:6">
      <c r="A1478" s="32">
        <v>41626</v>
      </c>
      <c r="B1478">
        <v>87</v>
      </c>
      <c r="C1478">
        <v>88</v>
      </c>
      <c r="D1478">
        <v>86.75</v>
      </c>
      <c r="E1478">
        <v>87.75</v>
      </c>
      <c r="F1478">
        <v>205200</v>
      </c>
    </row>
    <row r="1479" spans="1:6">
      <c r="A1479" s="32">
        <v>41625</v>
      </c>
      <c r="B1479">
        <v>88</v>
      </c>
      <c r="C1479">
        <v>88</v>
      </c>
      <c r="D1479">
        <v>86.5</v>
      </c>
      <c r="E1479">
        <v>86.5</v>
      </c>
      <c r="F1479">
        <v>608900</v>
      </c>
    </row>
    <row r="1480" spans="1:6">
      <c r="A1480" s="32">
        <v>41624</v>
      </c>
      <c r="B1480">
        <v>87</v>
      </c>
      <c r="C1480">
        <v>88</v>
      </c>
      <c r="D1480">
        <v>86</v>
      </c>
      <c r="E1480">
        <v>87</v>
      </c>
      <c r="F1480">
        <v>592400</v>
      </c>
    </row>
    <row r="1481" spans="1:6">
      <c r="A1481" s="32">
        <v>41621</v>
      </c>
      <c r="B1481">
        <v>87.5</v>
      </c>
      <c r="C1481">
        <v>88.75</v>
      </c>
      <c r="D1481">
        <v>87.5</v>
      </c>
      <c r="E1481">
        <v>88</v>
      </c>
      <c r="F1481">
        <v>345800</v>
      </c>
    </row>
    <row r="1482" spans="1:6">
      <c r="A1482" s="32">
        <v>41620</v>
      </c>
      <c r="B1482">
        <v>88.5</v>
      </c>
      <c r="C1482">
        <v>89.25</v>
      </c>
      <c r="D1482">
        <v>88</v>
      </c>
      <c r="E1482">
        <v>88.25</v>
      </c>
      <c r="F1482">
        <v>253900</v>
      </c>
    </row>
    <row r="1483" spans="1:6">
      <c r="A1483" s="32">
        <v>41619</v>
      </c>
      <c r="B1483">
        <v>90</v>
      </c>
      <c r="C1483">
        <v>90</v>
      </c>
      <c r="D1483">
        <v>88.75</v>
      </c>
      <c r="E1483">
        <v>90</v>
      </c>
      <c r="F1483">
        <v>425200</v>
      </c>
    </row>
    <row r="1484" spans="1:6">
      <c r="A1484" s="32">
        <v>41617</v>
      </c>
      <c r="B1484">
        <v>88.25</v>
      </c>
      <c r="C1484">
        <v>90</v>
      </c>
      <c r="D1484">
        <v>87.75</v>
      </c>
      <c r="E1484">
        <v>90</v>
      </c>
      <c r="F1484">
        <v>345700</v>
      </c>
    </row>
    <row r="1485" spans="1:6">
      <c r="A1485" s="32">
        <v>41614</v>
      </c>
      <c r="B1485">
        <v>88.75</v>
      </c>
      <c r="C1485">
        <v>89.75</v>
      </c>
      <c r="D1485">
        <v>87.75</v>
      </c>
      <c r="E1485">
        <v>89</v>
      </c>
      <c r="F1485">
        <v>495800</v>
      </c>
    </row>
    <row r="1486" spans="1:6">
      <c r="A1486" s="32">
        <v>41612</v>
      </c>
      <c r="B1486">
        <v>90.5</v>
      </c>
      <c r="C1486">
        <v>90.5</v>
      </c>
      <c r="D1486">
        <v>89.75</v>
      </c>
      <c r="E1486">
        <v>90</v>
      </c>
      <c r="F1486">
        <v>561800</v>
      </c>
    </row>
    <row r="1487" spans="1:6">
      <c r="A1487" s="32">
        <v>41611</v>
      </c>
      <c r="B1487">
        <v>90.5</v>
      </c>
      <c r="C1487">
        <v>90.75</v>
      </c>
      <c r="D1487">
        <v>89.5</v>
      </c>
      <c r="E1487">
        <v>90</v>
      </c>
      <c r="F1487">
        <v>618400</v>
      </c>
    </row>
    <row r="1488" spans="1:6">
      <c r="A1488" s="32">
        <v>41610</v>
      </c>
      <c r="B1488">
        <v>90</v>
      </c>
      <c r="C1488">
        <v>91</v>
      </c>
      <c r="D1488">
        <v>89</v>
      </c>
      <c r="E1488">
        <v>91</v>
      </c>
      <c r="F1488">
        <v>402000</v>
      </c>
    </row>
    <row r="1489" spans="1:6">
      <c r="A1489" s="32">
        <v>41607</v>
      </c>
      <c r="B1489">
        <v>89</v>
      </c>
      <c r="C1489">
        <v>90</v>
      </c>
      <c r="D1489">
        <v>89</v>
      </c>
      <c r="E1489">
        <v>90</v>
      </c>
      <c r="F1489">
        <v>161000</v>
      </c>
    </row>
    <row r="1490" spans="1:6">
      <c r="A1490" s="32">
        <v>41606</v>
      </c>
      <c r="B1490">
        <v>91</v>
      </c>
      <c r="C1490">
        <v>91</v>
      </c>
      <c r="D1490">
        <v>88.75</v>
      </c>
      <c r="E1490">
        <v>89.5</v>
      </c>
      <c r="F1490">
        <v>318600</v>
      </c>
    </row>
    <row r="1491" spans="1:6">
      <c r="A1491" s="32">
        <v>41605</v>
      </c>
      <c r="B1491">
        <v>88.75</v>
      </c>
      <c r="C1491">
        <v>90.5</v>
      </c>
      <c r="D1491">
        <v>88.25</v>
      </c>
      <c r="E1491">
        <v>90.5</v>
      </c>
      <c r="F1491">
        <v>658000</v>
      </c>
    </row>
    <row r="1492" spans="1:6">
      <c r="A1492" s="32">
        <v>41604</v>
      </c>
      <c r="B1492">
        <v>91.25</v>
      </c>
      <c r="C1492">
        <v>91.25</v>
      </c>
      <c r="D1492">
        <v>89</v>
      </c>
      <c r="E1492">
        <v>89</v>
      </c>
      <c r="F1492">
        <v>857600</v>
      </c>
    </row>
    <row r="1493" spans="1:6">
      <c r="A1493" s="32">
        <v>41603</v>
      </c>
      <c r="B1493">
        <v>92</v>
      </c>
      <c r="C1493">
        <v>92</v>
      </c>
      <c r="D1493">
        <v>90.75</v>
      </c>
      <c r="E1493">
        <v>91.25</v>
      </c>
      <c r="F1493">
        <v>236700</v>
      </c>
    </row>
    <row r="1494" spans="1:6">
      <c r="A1494" s="32">
        <v>41600</v>
      </c>
      <c r="B1494">
        <v>89.75</v>
      </c>
      <c r="C1494">
        <v>92</v>
      </c>
      <c r="D1494">
        <v>89.75</v>
      </c>
      <c r="E1494">
        <v>90.75</v>
      </c>
      <c r="F1494">
        <v>465200</v>
      </c>
    </row>
    <row r="1495" spans="1:6">
      <c r="A1495" s="32">
        <v>41599</v>
      </c>
      <c r="B1495">
        <v>91.75</v>
      </c>
      <c r="C1495">
        <v>91.75</v>
      </c>
      <c r="D1495">
        <v>90.75</v>
      </c>
      <c r="E1495">
        <v>91</v>
      </c>
      <c r="F1495">
        <v>629900</v>
      </c>
    </row>
    <row r="1496" spans="1:6">
      <c r="A1496" s="32">
        <v>41598</v>
      </c>
      <c r="B1496">
        <v>92.75</v>
      </c>
      <c r="C1496">
        <v>94</v>
      </c>
      <c r="D1496">
        <v>92</v>
      </c>
      <c r="E1496">
        <v>92.25</v>
      </c>
      <c r="F1496">
        <v>535200</v>
      </c>
    </row>
    <row r="1497" spans="1:6">
      <c r="A1497" s="32">
        <v>41597</v>
      </c>
      <c r="B1497">
        <v>91.75</v>
      </c>
      <c r="C1497">
        <v>93</v>
      </c>
      <c r="D1497">
        <v>91.5</v>
      </c>
      <c r="E1497">
        <v>92.25</v>
      </c>
      <c r="F1497">
        <v>239100</v>
      </c>
    </row>
    <row r="1498" spans="1:6">
      <c r="A1498" s="32">
        <v>41596</v>
      </c>
      <c r="B1498">
        <v>93.5</v>
      </c>
      <c r="C1498">
        <v>94</v>
      </c>
      <c r="D1498">
        <v>91.25</v>
      </c>
      <c r="E1498">
        <v>91.25</v>
      </c>
      <c r="F1498">
        <v>331800</v>
      </c>
    </row>
    <row r="1499" spans="1:6">
      <c r="A1499" s="32">
        <v>41593</v>
      </c>
      <c r="B1499">
        <v>94</v>
      </c>
      <c r="C1499">
        <v>94</v>
      </c>
      <c r="D1499">
        <v>92.5</v>
      </c>
      <c r="E1499">
        <v>93.25</v>
      </c>
      <c r="F1499">
        <v>367500</v>
      </c>
    </row>
    <row r="1500" spans="1:6">
      <c r="A1500" s="32">
        <v>41592</v>
      </c>
      <c r="B1500">
        <v>91.5</v>
      </c>
      <c r="C1500">
        <v>93</v>
      </c>
      <c r="D1500">
        <v>90</v>
      </c>
      <c r="E1500">
        <v>93</v>
      </c>
      <c r="F1500">
        <v>440200</v>
      </c>
    </row>
    <row r="1501" spans="1:6">
      <c r="A1501" s="32">
        <v>41591</v>
      </c>
      <c r="B1501">
        <v>89.5</v>
      </c>
      <c r="C1501">
        <v>91</v>
      </c>
      <c r="D1501">
        <v>89.5</v>
      </c>
      <c r="E1501">
        <v>90.75</v>
      </c>
      <c r="F1501">
        <v>439600</v>
      </c>
    </row>
    <row r="1502" spans="1:6">
      <c r="A1502" s="32">
        <v>41590</v>
      </c>
      <c r="B1502">
        <v>91.5</v>
      </c>
      <c r="C1502">
        <v>91.75</v>
      </c>
      <c r="D1502">
        <v>89.75</v>
      </c>
      <c r="E1502">
        <v>90.25</v>
      </c>
      <c r="F1502">
        <v>314500</v>
      </c>
    </row>
    <row r="1503" spans="1:6">
      <c r="A1503" s="32">
        <v>41589</v>
      </c>
      <c r="B1503">
        <v>87.5</v>
      </c>
      <c r="C1503">
        <v>91.25</v>
      </c>
      <c r="D1503">
        <v>86.75</v>
      </c>
      <c r="E1503">
        <v>90.75</v>
      </c>
      <c r="F1503">
        <v>615600</v>
      </c>
    </row>
    <row r="1504" spans="1:6">
      <c r="A1504" s="32">
        <v>41586</v>
      </c>
      <c r="B1504">
        <v>89.75</v>
      </c>
      <c r="C1504">
        <v>90</v>
      </c>
      <c r="D1504">
        <v>87.5</v>
      </c>
      <c r="E1504">
        <v>88.75</v>
      </c>
      <c r="F1504">
        <v>308800</v>
      </c>
    </row>
    <row r="1505" spans="1:6">
      <c r="A1505" s="32">
        <v>41585</v>
      </c>
      <c r="B1505">
        <v>92.5</v>
      </c>
      <c r="C1505">
        <v>92.75</v>
      </c>
      <c r="D1505">
        <v>88.25</v>
      </c>
      <c r="E1505">
        <v>88.75</v>
      </c>
      <c r="F1505">
        <v>679200</v>
      </c>
    </row>
    <row r="1506" spans="1:6">
      <c r="A1506" s="32">
        <v>41584</v>
      </c>
      <c r="B1506">
        <v>87.5</v>
      </c>
      <c r="C1506">
        <v>94.5</v>
      </c>
      <c r="D1506">
        <v>87</v>
      </c>
      <c r="E1506">
        <v>90.5</v>
      </c>
      <c r="F1506">
        <v>1180200</v>
      </c>
    </row>
    <row r="1507" spans="1:6">
      <c r="A1507" s="32">
        <v>41583</v>
      </c>
      <c r="B1507">
        <v>87.5</v>
      </c>
      <c r="C1507">
        <v>87.75</v>
      </c>
      <c r="D1507">
        <v>87</v>
      </c>
      <c r="E1507">
        <v>87.5</v>
      </c>
      <c r="F1507">
        <v>553600</v>
      </c>
    </row>
    <row r="1508" spans="1:6">
      <c r="A1508" s="32">
        <v>41582</v>
      </c>
      <c r="B1508">
        <v>89</v>
      </c>
      <c r="C1508">
        <v>89</v>
      </c>
      <c r="D1508">
        <v>86.25</v>
      </c>
      <c r="E1508">
        <v>87.25</v>
      </c>
      <c r="F1508">
        <v>492000</v>
      </c>
    </row>
    <row r="1509" spans="1:6">
      <c r="A1509" s="32">
        <v>41579</v>
      </c>
      <c r="B1509">
        <v>87</v>
      </c>
      <c r="C1509">
        <v>90</v>
      </c>
      <c r="D1509">
        <v>86.5</v>
      </c>
      <c r="E1509">
        <v>89.5</v>
      </c>
      <c r="F1509">
        <v>875700</v>
      </c>
    </row>
    <row r="1510" spans="1:6">
      <c r="A1510" s="32">
        <v>41578</v>
      </c>
      <c r="B1510">
        <v>87.25</v>
      </c>
      <c r="C1510">
        <v>87.75</v>
      </c>
      <c r="D1510">
        <v>86.5</v>
      </c>
      <c r="E1510">
        <v>87</v>
      </c>
      <c r="F1510">
        <v>466900</v>
      </c>
    </row>
    <row r="1511" spans="1:6">
      <c r="A1511" s="32">
        <v>41577</v>
      </c>
      <c r="B1511">
        <v>87.25</v>
      </c>
      <c r="C1511">
        <v>87.5</v>
      </c>
      <c r="D1511">
        <v>86.25</v>
      </c>
      <c r="E1511">
        <v>87.25</v>
      </c>
      <c r="F1511">
        <v>499100</v>
      </c>
    </row>
    <row r="1512" spans="1:6">
      <c r="A1512" s="32">
        <v>41576</v>
      </c>
      <c r="B1512">
        <v>87.25</v>
      </c>
      <c r="C1512">
        <v>87.75</v>
      </c>
      <c r="D1512">
        <v>86.5</v>
      </c>
      <c r="E1512">
        <v>87.5</v>
      </c>
      <c r="F1512">
        <v>551900</v>
      </c>
    </row>
    <row r="1513" spans="1:6">
      <c r="A1513" s="32">
        <v>41575</v>
      </c>
      <c r="B1513">
        <v>87.75</v>
      </c>
      <c r="C1513">
        <v>88.5</v>
      </c>
      <c r="D1513">
        <v>85.75</v>
      </c>
      <c r="E1513">
        <v>87</v>
      </c>
      <c r="F1513">
        <v>441300</v>
      </c>
    </row>
    <row r="1514" spans="1:6">
      <c r="A1514" s="32">
        <v>41572</v>
      </c>
      <c r="B1514">
        <v>88.75</v>
      </c>
      <c r="C1514">
        <v>88.75</v>
      </c>
      <c r="D1514">
        <v>87.75</v>
      </c>
      <c r="E1514">
        <v>87.75</v>
      </c>
      <c r="F1514">
        <v>728400</v>
      </c>
    </row>
    <row r="1515" spans="1:6">
      <c r="A1515" s="32">
        <v>41571</v>
      </c>
      <c r="B1515">
        <v>88.75</v>
      </c>
      <c r="C1515">
        <v>89.5</v>
      </c>
      <c r="D1515">
        <v>85.25</v>
      </c>
      <c r="E1515">
        <v>89.5</v>
      </c>
      <c r="F1515">
        <v>615900</v>
      </c>
    </row>
    <row r="1516" spans="1:6">
      <c r="A1516" s="32">
        <v>41569</v>
      </c>
      <c r="B1516">
        <v>89</v>
      </c>
      <c r="C1516">
        <v>89.5</v>
      </c>
      <c r="D1516">
        <v>87.75</v>
      </c>
      <c r="E1516">
        <v>88.5</v>
      </c>
      <c r="F1516">
        <v>545900</v>
      </c>
    </row>
    <row r="1517" spans="1:6">
      <c r="A1517" s="32">
        <v>41568</v>
      </c>
      <c r="B1517">
        <v>92.5</v>
      </c>
      <c r="C1517">
        <v>92.75</v>
      </c>
      <c r="D1517">
        <v>88</v>
      </c>
      <c r="E1517">
        <v>88.75</v>
      </c>
      <c r="F1517">
        <v>690000</v>
      </c>
    </row>
    <row r="1518" spans="1:6">
      <c r="A1518" s="32">
        <v>41565</v>
      </c>
      <c r="B1518">
        <v>90.5</v>
      </c>
      <c r="C1518">
        <v>92</v>
      </c>
      <c r="D1518">
        <v>89.25</v>
      </c>
      <c r="E1518">
        <v>91.25</v>
      </c>
      <c r="F1518">
        <v>992900</v>
      </c>
    </row>
    <row r="1519" spans="1:6">
      <c r="A1519" s="32">
        <v>41564</v>
      </c>
      <c r="B1519">
        <v>87.25</v>
      </c>
      <c r="C1519">
        <v>90</v>
      </c>
      <c r="D1519">
        <v>87.25</v>
      </c>
      <c r="E1519">
        <v>88.5</v>
      </c>
      <c r="F1519">
        <v>800200</v>
      </c>
    </row>
    <row r="1520" spans="1:6">
      <c r="A1520" s="32">
        <v>41563</v>
      </c>
      <c r="B1520">
        <v>88.5</v>
      </c>
      <c r="C1520">
        <v>90.25</v>
      </c>
      <c r="D1520">
        <v>87.5</v>
      </c>
      <c r="E1520">
        <v>87.5</v>
      </c>
      <c r="F1520">
        <v>319900</v>
      </c>
    </row>
    <row r="1521" spans="1:6">
      <c r="A1521" s="32">
        <v>41562</v>
      </c>
      <c r="B1521">
        <v>89.5</v>
      </c>
      <c r="C1521">
        <v>90.25</v>
      </c>
      <c r="D1521">
        <v>89</v>
      </c>
      <c r="E1521">
        <v>89.5</v>
      </c>
      <c r="F1521">
        <v>1011500</v>
      </c>
    </row>
    <row r="1522" spans="1:6">
      <c r="A1522" s="32">
        <v>41561</v>
      </c>
      <c r="B1522">
        <v>89</v>
      </c>
      <c r="C1522">
        <v>89.25</v>
      </c>
      <c r="D1522">
        <v>87.25</v>
      </c>
      <c r="E1522">
        <v>89.25</v>
      </c>
      <c r="F1522">
        <v>364600</v>
      </c>
    </row>
    <row r="1523" spans="1:6">
      <c r="A1523" s="32">
        <v>41558</v>
      </c>
      <c r="B1523">
        <v>89</v>
      </c>
      <c r="C1523">
        <v>89.5</v>
      </c>
      <c r="D1523">
        <v>88.5</v>
      </c>
      <c r="E1523">
        <v>89</v>
      </c>
      <c r="F1523">
        <v>376000</v>
      </c>
    </row>
    <row r="1524" spans="1:6">
      <c r="A1524" s="32">
        <v>41557</v>
      </c>
      <c r="B1524">
        <v>88.5</v>
      </c>
      <c r="C1524">
        <v>89</v>
      </c>
      <c r="D1524">
        <v>87.25</v>
      </c>
      <c r="E1524">
        <v>88</v>
      </c>
      <c r="F1524">
        <v>868000</v>
      </c>
    </row>
    <row r="1525" spans="1:6">
      <c r="A1525" s="32">
        <v>41556</v>
      </c>
      <c r="B1525">
        <v>88</v>
      </c>
      <c r="C1525">
        <v>88.5</v>
      </c>
      <c r="D1525">
        <v>86.75</v>
      </c>
      <c r="E1525">
        <v>88.5</v>
      </c>
      <c r="F1525">
        <v>356200</v>
      </c>
    </row>
    <row r="1526" spans="1:6">
      <c r="A1526" s="32">
        <v>41555</v>
      </c>
      <c r="B1526">
        <v>85.25</v>
      </c>
      <c r="C1526">
        <v>88.75</v>
      </c>
      <c r="D1526">
        <v>85.25</v>
      </c>
      <c r="E1526">
        <v>88.5</v>
      </c>
      <c r="F1526">
        <v>700100</v>
      </c>
    </row>
    <row r="1527" spans="1:6">
      <c r="A1527" s="32">
        <v>41554</v>
      </c>
      <c r="B1527">
        <v>86.75</v>
      </c>
      <c r="C1527">
        <v>87.75</v>
      </c>
      <c r="D1527">
        <v>85.75</v>
      </c>
      <c r="E1527">
        <v>86</v>
      </c>
      <c r="F1527">
        <v>430500</v>
      </c>
    </row>
    <row r="1528" spans="1:6">
      <c r="A1528" s="32">
        <v>41551</v>
      </c>
      <c r="B1528">
        <v>87.75</v>
      </c>
      <c r="C1528">
        <v>88.5</v>
      </c>
      <c r="D1528">
        <v>87</v>
      </c>
      <c r="E1528">
        <v>88</v>
      </c>
      <c r="F1528">
        <v>557600</v>
      </c>
    </row>
    <row r="1529" spans="1:6">
      <c r="A1529" s="32">
        <v>41550</v>
      </c>
      <c r="B1529">
        <v>88</v>
      </c>
      <c r="C1529">
        <v>89.25</v>
      </c>
      <c r="D1529">
        <v>87.5</v>
      </c>
      <c r="E1529">
        <v>87.5</v>
      </c>
      <c r="F1529">
        <v>1010900</v>
      </c>
    </row>
    <row r="1530" spans="1:6">
      <c r="A1530" s="32">
        <v>41549</v>
      </c>
      <c r="B1530">
        <v>88</v>
      </c>
      <c r="C1530">
        <v>88.25</v>
      </c>
      <c r="D1530">
        <v>86.75</v>
      </c>
      <c r="E1530">
        <v>86.75</v>
      </c>
      <c r="F1530">
        <v>824000</v>
      </c>
    </row>
    <row r="1531" spans="1:6">
      <c r="A1531" s="32">
        <v>41548</v>
      </c>
      <c r="B1531">
        <v>82.5</v>
      </c>
      <c r="C1531">
        <v>87.5</v>
      </c>
      <c r="D1531">
        <v>82.25</v>
      </c>
      <c r="E1531">
        <v>87.5</v>
      </c>
      <c r="F1531">
        <v>950700</v>
      </c>
    </row>
    <row r="1532" spans="1:6">
      <c r="A1532" s="32">
        <v>41547</v>
      </c>
      <c r="B1532">
        <v>84.5</v>
      </c>
      <c r="C1532">
        <v>84.5</v>
      </c>
      <c r="D1532">
        <v>81.25</v>
      </c>
      <c r="E1532">
        <v>82</v>
      </c>
      <c r="F1532">
        <v>681200</v>
      </c>
    </row>
    <row r="1533" spans="1:6">
      <c r="A1533" s="32">
        <v>41544</v>
      </c>
      <c r="B1533">
        <v>86</v>
      </c>
      <c r="C1533">
        <v>86.25</v>
      </c>
      <c r="D1533">
        <v>84.5</v>
      </c>
      <c r="E1533">
        <v>84.5</v>
      </c>
      <c r="F1533">
        <v>551000</v>
      </c>
    </row>
    <row r="1534" spans="1:6">
      <c r="A1534" s="32">
        <v>41543</v>
      </c>
      <c r="B1534">
        <v>86</v>
      </c>
      <c r="C1534">
        <v>86.5</v>
      </c>
      <c r="D1534">
        <v>84.75</v>
      </c>
      <c r="E1534">
        <v>84.75</v>
      </c>
      <c r="F1534">
        <v>2015300</v>
      </c>
    </row>
    <row r="1535" spans="1:6">
      <c r="A1535" s="32">
        <v>41542</v>
      </c>
      <c r="B1535">
        <v>83.75</v>
      </c>
      <c r="C1535">
        <v>85.5</v>
      </c>
      <c r="D1535">
        <v>83.75</v>
      </c>
      <c r="E1535">
        <v>85.5</v>
      </c>
      <c r="F1535">
        <v>415400</v>
      </c>
    </row>
    <row r="1536" spans="1:6">
      <c r="A1536" s="32">
        <v>41541</v>
      </c>
      <c r="B1536">
        <v>85</v>
      </c>
      <c r="C1536">
        <v>85.25</v>
      </c>
      <c r="D1536">
        <v>83.75</v>
      </c>
      <c r="E1536">
        <v>84</v>
      </c>
      <c r="F1536">
        <v>670000</v>
      </c>
    </row>
    <row r="1537" spans="1:6">
      <c r="A1537" s="32">
        <v>41540</v>
      </c>
      <c r="B1537">
        <v>88.5</v>
      </c>
      <c r="C1537">
        <v>88.5</v>
      </c>
      <c r="D1537">
        <v>83.5</v>
      </c>
      <c r="E1537">
        <v>83.5</v>
      </c>
      <c r="F1537">
        <v>746800</v>
      </c>
    </row>
    <row r="1538" spans="1:6">
      <c r="A1538" s="32">
        <v>41537</v>
      </c>
      <c r="B1538">
        <v>88</v>
      </c>
      <c r="C1538">
        <v>88</v>
      </c>
      <c r="D1538">
        <v>86.25</v>
      </c>
      <c r="E1538">
        <v>87.5</v>
      </c>
      <c r="F1538">
        <v>561000</v>
      </c>
    </row>
    <row r="1539" spans="1:6">
      <c r="A1539" s="32">
        <v>41536</v>
      </c>
      <c r="B1539">
        <v>85.5</v>
      </c>
      <c r="C1539">
        <v>89</v>
      </c>
      <c r="D1539">
        <v>85.5</v>
      </c>
      <c r="E1539">
        <v>88</v>
      </c>
      <c r="F1539">
        <v>1750600</v>
      </c>
    </row>
    <row r="1540" spans="1:6">
      <c r="A1540" s="32">
        <v>41535</v>
      </c>
      <c r="B1540">
        <v>85.5</v>
      </c>
      <c r="C1540">
        <v>85.5</v>
      </c>
      <c r="D1540">
        <v>83.25</v>
      </c>
      <c r="E1540">
        <v>83.75</v>
      </c>
      <c r="F1540">
        <v>582500</v>
      </c>
    </row>
    <row r="1541" spans="1:6">
      <c r="A1541" s="32">
        <v>41534</v>
      </c>
      <c r="B1541">
        <v>85.5</v>
      </c>
      <c r="C1541">
        <v>86</v>
      </c>
      <c r="D1541">
        <v>84.5</v>
      </c>
      <c r="E1541">
        <v>84.5</v>
      </c>
      <c r="F1541">
        <v>499800</v>
      </c>
    </row>
    <row r="1542" spans="1:6">
      <c r="A1542" s="32">
        <v>41533</v>
      </c>
      <c r="B1542">
        <v>85.5</v>
      </c>
      <c r="C1542">
        <v>86</v>
      </c>
      <c r="D1542">
        <v>83.75</v>
      </c>
      <c r="E1542">
        <v>84.75</v>
      </c>
      <c r="F1542">
        <v>291600</v>
      </c>
    </row>
    <row r="1543" spans="1:6">
      <c r="A1543" s="32">
        <v>41530</v>
      </c>
      <c r="B1543">
        <v>83.25</v>
      </c>
      <c r="C1543">
        <v>84.25</v>
      </c>
      <c r="D1543">
        <v>82</v>
      </c>
      <c r="E1543">
        <v>82</v>
      </c>
      <c r="F1543">
        <v>424600</v>
      </c>
    </row>
    <row r="1544" spans="1:6">
      <c r="A1544" s="32">
        <v>41529</v>
      </c>
      <c r="B1544">
        <v>86</v>
      </c>
      <c r="C1544">
        <v>86.5</v>
      </c>
      <c r="D1544">
        <v>83.25</v>
      </c>
      <c r="E1544">
        <v>83.25</v>
      </c>
      <c r="F1544">
        <v>387100</v>
      </c>
    </row>
    <row r="1545" spans="1:6">
      <c r="A1545" s="32">
        <v>41528</v>
      </c>
      <c r="B1545">
        <v>83.75</v>
      </c>
      <c r="C1545">
        <v>85</v>
      </c>
      <c r="D1545">
        <v>82.75</v>
      </c>
      <c r="E1545">
        <v>85</v>
      </c>
      <c r="F1545">
        <v>568100</v>
      </c>
    </row>
    <row r="1546" spans="1:6">
      <c r="A1546" s="32">
        <v>41527</v>
      </c>
      <c r="B1546">
        <v>82</v>
      </c>
      <c r="C1546">
        <v>83</v>
      </c>
      <c r="D1546">
        <v>80.5</v>
      </c>
      <c r="E1546">
        <v>83</v>
      </c>
      <c r="F1546">
        <v>935600</v>
      </c>
    </row>
    <row r="1547" spans="1:6">
      <c r="A1547" s="32">
        <v>41526</v>
      </c>
      <c r="B1547">
        <v>78.5</v>
      </c>
      <c r="C1547">
        <v>80.5</v>
      </c>
      <c r="D1547">
        <v>78.5</v>
      </c>
      <c r="E1547">
        <v>79.75</v>
      </c>
      <c r="F1547">
        <v>621000</v>
      </c>
    </row>
    <row r="1548" spans="1:6">
      <c r="A1548" s="32">
        <v>41523</v>
      </c>
      <c r="B1548">
        <v>79</v>
      </c>
      <c r="C1548">
        <v>79.25</v>
      </c>
      <c r="D1548">
        <v>78</v>
      </c>
      <c r="E1548">
        <v>78.75</v>
      </c>
      <c r="F1548">
        <v>388900</v>
      </c>
    </row>
    <row r="1549" spans="1:6">
      <c r="A1549" s="32">
        <v>41522</v>
      </c>
      <c r="B1549">
        <v>79</v>
      </c>
      <c r="C1549">
        <v>79.25</v>
      </c>
      <c r="D1549">
        <v>77.75</v>
      </c>
      <c r="E1549">
        <v>78</v>
      </c>
      <c r="F1549">
        <v>308800</v>
      </c>
    </row>
    <row r="1550" spans="1:6">
      <c r="A1550" s="32">
        <v>41521</v>
      </c>
      <c r="B1550">
        <v>79</v>
      </c>
      <c r="C1550">
        <v>79.25</v>
      </c>
      <c r="D1550">
        <v>78</v>
      </c>
      <c r="E1550">
        <v>78.5</v>
      </c>
      <c r="F1550">
        <v>330600</v>
      </c>
    </row>
    <row r="1551" spans="1:6">
      <c r="A1551" s="32">
        <v>41520</v>
      </c>
      <c r="B1551">
        <v>78.5</v>
      </c>
      <c r="C1551">
        <v>80</v>
      </c>
      <c r="D1551">
        <v>78</v>
      </c>
      <c r="E1551">
        <v>78.5</v>
      </c>
      <c r="F1551">
        <v>527500</v>
      </c>
    </row>
    <row r="1552" spans="1:6">
      <c r="A1552" s="32">
        <v>41519</v>
      </c>
      <c r="B1552">
        <v>80</v>
      </c>
      <c r="C1552">
        <v>80</v>
      </c>
      <c r="D1552">
        <v>78</v>
      </c>
      <c r="E1552">
        <v>79.25</v>
      </c>
      <c r="F1552">
        <v>489000</v>
      </c>
    </row>
    <row r="1553" spans="1:6">
      <c r="A1553" s="32">
        <v>41516</v>
      </c>
      <c r="B1553">
        <v>76.25</v>
      </c>
      <c r="C1553">
        <v>78</v>
      </c>
      <c r="D1553">
        <v>75.5</v>
      </c>
      <c r="E1553">
        <v>78</v>
      </c>
      <c r="F1553">
        <v>917500</v>
      </c>
    </row>
    <row r="1554" spans="1:6">
      <c r="A1554" s="32">
        <v>41515</v>
      </c>
      <c r="B1554">
        <v>80</v>
      </c>
      <c r="C1554">
        <v>80</v>
      </c>
      <c r="D1554">
        <v>74</v>
      </c>
      <c r="E1554">
        <v>76</v>
      </c>
      <c r="F1554">
        <v>1808300</v>
      </c>
    </row>
    <row r="1555" spans="1:6">
      <c r="A1555" s="32">
        <v>41514</v>
      </c>
      <c r="B1555">
        <v>80</v>
      </c>
      <c r="C1555">
        <v>80.5</v>
      </c>
      <c r="D1555">
        <v>78</v>
      </c>
      <c r="E1555">
        <v>80</v>
      </c>
      <c r="F1555">
        <v>506900</v>
      </c>
    </row>
    <row r="1556" spans="1:6">
      <c r="A1556" s="32">
        <v>41513</v>
      </c>
      <c r="B1556">
        <v>84.5</v>
      </c>
      <c r="C1556">
        <v>84.5</v>
      </c>
      <c r="D1556">
        <v>80.5</v>
      </c>
      <c r="E1556">
        <v>81</v>
      </c>
      <c r="F1556">
        <v>683100</v>
      </c>
    </row>
    <row r="1557" spans="1:6">
      <c r="A1557" s="32">
        <v>41512</v>
      </c>
      <c r="B1557">
        <v>83</v>
      </c>
      <c r="C1557">
        <v>86</v>
      </c>
      <c r="D1557">
        <v>82</v>
      </c>
      <c r="E1557">
        <v>85.5</v>
      </c>
      <c r="F1557">
        <v>591200</v>
      </c>
    </row>
    <row r="1558" spans="1:6">
      <c r="A1558" s="32">
        <v>41509</v>
      </c>
      <c r="B1558">
        <v>85</v>
      </c>
      <c r="C1558">
        <v>86</v>
      </c>
      <c r="D1558">
        <v>83.75</v>
      </c>
      <c r="E1558">
        <v>84.25</v>
      </c>
      <c r="F1558">
        <v>765800</v>
      </c>
    </row>
    <row r="1559" spans="1:6">
      <c r="A1559" s="32">
        <v>41508</v>
      </c>
      <c r="B1559">
        <v>84.75</v>
      </c>
      <c r="C1559">
        <v>84.75</v>
      </c>
      <c r="D1559">
        <v>82.5</v>
      </c>
      <c r="E1559">
        <v>83.75</v>
      </c>
      <c r="F1559">
        <v>903600</v>
      </c>
    </row>
    <row r="1560" spans="1:6">
      <c r="A1560" s="32">
        <v>41507</v>
      </c>
      <c r="B1560">
        <v>85</v>
      </c>
      <c r="C1560">
        <v>86.75</v>
      </c>
      <c r="D1560">
        <v>84.25</v>
      </c>
      <c r="E1560">
        <v>85</v>
      </c>
      <c r="F1560">
        <v>750700</v>
      </c>
    </row>
    <row r="1561" spans="1:6">
      <c r="A1561" s="32">
        <v>41506</v>
      </c>
      <c r="B1561">
        <v>88</v>
      </c>
      <c r="C1561">
        <v>88.25</v>
      </c>
      <c r="D1561">
        <v>84.5</v>
      </c>
      <c r="E1561">
        <v>85</v>
      </c>
      <c r="F1561">
        <v>1160900</v>
      </c>
    </row>
    <row r="1562" spans="1:6">
      <c r="A1562" s="32">
        <v>41505</v>
      </c>
      <c r="B1562">
        <v>89.75</v>
      </c>
      <c r="C1562">
        <v>90.25</v>
      </c>
      <c r="D1562">
        <v>88.25</v>
      </c>
      <c r="E1562">
        <v>89</v>
      </c>
      <c r="F1562">
        <v>972600</v>
      </c>
    </row>
    <row r="1563" spans="1:6">
      <c r="A1563" s="32">
        <v>41502</v>
      </c>
      <c r="B1563">
        <v>90.5</v>
      </c>
      <c r="C1563">
        <v>90.5</v>
      </c>
      <c r="D1563">
        <v>89.25</v>
      </c>
      <c r="E1563">
        <v>89.75</v>
      </c>
      <c r="F1563">
        <v>1106800</v>
      </c>
    </row>
    <row r="1564" spans="1:6">
      <c r="A1564" s="32">
        <v>41501</v>
      </c>
      <c r="B1564">
        <v>90</v>
      </c>
      <c r="C1564">
        <v>90.5</v>
      </c>
      <c r="D1564">
        <v>87.5</v>
      </c>
      <c r="E1564">
        <v>88.75</v>
      </c>
      <c r="F1564">
        <v>574000</v>
      </c>
    </row>
    <row r="1565" spans="1:6">
      <c r="A1565" s="32">
        <v>41500</v>
      </c>
      <c r="B1565">
        <v>91</v>
      </c>
      <c r="C1565">
        <v>91</v>
      </c>
      <c r="D1565">
        <v>88</v>
      </c>
      <c r="E1565">
        <v>89.75</v>
      </c>
      <c r="F1565">
        <v>358400</v>
      </c>
    </row>
    <row r="1566" spans="1:6">
      <c r="A1566" s="32">
        <v>41499</v>
      </c>
      <c r="B1566">
        <v>90</v>
      </c>
      <c r="C1566">
        <v>91</v>
      </c>
      <c r="D1566">
        <v>89.75</v>
      </c>
      <c r="E1566">
        <v>90.75</v>
      </c>
      <c r="F1566">
        <v>928200</v>
      </c>
    </row>
    <row r="1567" spans="1:6">
      <c r="A1567" s="32">
        <v>41495</v>
      </c>
      <c r="B1567">
        <v>87.5</v>
      </c>
      <c r="C1567">
        <v>90.25</v>
      </c>
      <c r="D1567">
        <v>87.25</v>
      </c>
      <c r="E1567">
        <v>88.5</v>
      </c>
      <c r="F1567">
        <v>1334300</v>
      </c>
    </row>
    <row r="1568" spans="1:6">
      <c r="A1568" s="32">
        <v>41494</v>
      </c>
      <c r="B1568">
        <v>88.75</v>
      </c>
      <c r="C1568">
        <v>89</v>
      </c>
      <c r="D1568">
        <v>87.5</v>
      </c>
      <c r="E1568">
        <v>88</v>
      </c>
      <c r="F1568">
        <v>544300</v>
      </c>
    </row>
    <row r="1569" spans="1:6">
      <c r="A1569" s="32">
        <v>41493</v>
      </c>
      <c r="B1569">
        <v>87</v>
      </c>
      <c r="C1569">
        <v>88.75</v>
      </c>
      <c r="D1569">
        <v>85.5</v>
      </c>
      <c r="E1569">
        <v>88.25</v>
      </c>
      <c r="F1569">
        <v>2382000</v>
      </c>
    </row>
    <row r="1570" spans="1:6">
      <c r="A1570" s="32">
        <v>41492</v>
      </c>
      <c r="B1570">
        <v>87.25</v>
      </c>
      <c r="C1570">
        <v>87.25</v>
      </c>
      <c r="D1570">
        <v>85.25</v>
      </c>
      <c r="E1570">
        <v>86</v>
      </c>
      <c r="F1570">
        <v>816500</v>
      </c>
    </row>
    <row r="1571" spans="1:6">
      <c r="A1571" s="32">
        <v>41491</v>
      </c>
      <c r="B1571">
        <v>82.75</v>
      </c>
      <c r="C1571">
        <v>87</v>
      </c>
      <c r="D1571">
        <v>82.75</v>
      </c>
      <c r="E1571">
        <v>87</v>
      </c>
      <c r="F1571">
        <v>1429000</v>
      </c>
    </row>
    <row r="1572" spans="1:6">
      <c r="A1572" s="32">
        <v>41488</v>
      </c>
      <c r="B1572">
        <v>85.5</v>
      </c>
      <c r="C1572">
        <v>85.5</v>
      </c>
      <c r="D1572">
        <v>80.5</v>
      </c>
      <c r="E1572">
        <v>82.5</v>
      </c>
      <c r="F1572">
        <v>878200</v>
      </c>
    </row>
    <row r="1573" spans="1:6">
      <c r="A1573" s="32">
        <v>41487</v>
      </c>
      <c r="B1573">
        <v>81.75</v>
      </c>
      <c r="C1573">
        <v>85.5</v>
      </c>
      <c r="D1573">
        <v>81.75</v>
      </c>
      <c r="E1573">
        <v>85.5</v>
      </c>
      <c r="F1573">
        <v>514400</v>
      </c>
    </row>
    <row r="1574" spans="1:6">
      <c r="A1574" s="32">
        <v>41486</v>
      </c>
      <c r="B1574">
        <v>83</v>
      </c>
      <c r="C1574">
        <v>83.5</v>
      </c>
      <c r="D1574">
        <v>80.5</v>
      </c>
      <c r="E1574">
        <v>81.25</v>
      </c>
      <c r="F1574">
        <v>642700</v>
      </c>
    </row>
    <row r="1575" spans="1:6">
      <c r="A1575" s="32">
        <v>41485</v>
      </c>
      <c r="B1575">
        <v>84.25</v>
      </c>
      <c r="C1575">
        <v>86</v>
      </c>
      <c r="D1575">
        <v>83.5</v>
      </c>
      <c r="E1575">
        <v>83.75</v>
      </c>
      <c r="F1575">
        <v>666000</v>
      </c>
    </row>
    <row r="1576" spans="1:6">
      <c r="A1576" s="32">
        <v>41484</v>
      </c>
      <c r="B1576">
        <v>87</v>
      </c>
      <c r="C1576">
        <v>87.25</v>
      </c>
      <c r="D1576">
        <v>85.25</v>
      </c>
      <c r="E1576">
        <v>85.75</v>
      </c>
      <c r="F1576">
        <v>904400</v>
      </c>
    </row>
    <row r="1577" spans="1:6">
      <c r="A1577" s="32">
        <v>41481</v>
      </c>
      <c r="B1577">
        <v>86</v>
      </c>
      <c r="C1577">
        <v>88.5</v>
      </c>
      <c r="D1577">
        <v>84.5</v>
      </c>
      <c r="E1577">
        <v>87</v>
      </c>
      <c r="F1577">
        <v>3026900</v>
      </c>
    </row>
    <row r="1578" spans="1:6">
      <c r="A1578" s="32">
        <v>41480</v>
      </c>
      <c r="B1578">
        <v>83.5</v>
      </c>
      <c r="C1578">
        <v>87.5</v>
      </c>
      <c r="D1578">
        <v>82.75</v>
      </c>
      <c r="E1578">
        <v>84.75</v>
      </c>
      <c r="F1578">
        <v>3558800</v>
      </c>
    </row>
    <row r="1579" spans="1:6">
      <c r="A1579" s="32">
        <v>41479</v>
      </c>
      <c r="B1579">
        <v>82</v>
      </c>
      <c r="C1579">
        <v>83.5</v>
      </c>
      <c r="D1579">
        <v>81.75</v>
      </c>
      <c r="E1579">
        <v>82.75</v>
      </c>
      <c r="F1579">
        <v>1852900</v>
      </c>
    </row>
    <row r="1580" spans="1:6">
      <c r="A1580" s="32">
        <v>41478</v>
      </c>
      <c r="B1580">
        <v>82</v>
      </c>
      <c r="C1580">
        <v>82.25</v>
      </c>
      <c r="D1580">
        <v>80.25</v>
      </c>
      <c r="E1580">
        <v>82</v>
      </c>
      <c r="F1580">
        <v>1096700</v>
      </c>
    </row>
    <row r="1581" spans="1:6">
      <c r="A1581" s="32">
        <v>41474</v>
      </c>
      <c r="B1581">
        <v>77</v>
      </c>
      <c r="C1581">
        <v>78.75</v>
      </c>
      <c r="D1581">
        <v>75.75</v>
      </c>
      <c r="E1581">
        <v>78</v>
      </c>
      <c r="F1581">
        <v>1519800</v>
      </c>
    </row>
    <row r="1582" spans="1:6">
      <c r="A1582" s="32">
        <v>41473</v>
      </c>
      <c r="B1582">
        <v>74.5</v>
      </c>
      <c r="C1582">
        <v>78</v>
      </c>
      <c r="D1582">
        <v>74.5</v>
      </c>
      <c r="E1582">
        <v>78</v>
      </c>
      <c r="F1582">
        <v>1009600</v>
      </c>
    </row>
    <row r="1583" spans="1:6">
      <c r="A1583" s="32">
        <v>41472</v>
      </c>
      <c r="B1583">
        <v>76</v>
      </c>
      <c r="C1583">
        <v>76.25</v>
      </c>
      <c r="D1583">
        <v>74.5</v>
      </c>
      <c r="E1583">
        <v>74.5</v>
      </c>
      <c r="F1583">
        <v>816100</v>
      </c>
    </row>
    <row r="1584" spans="1:6">
      <c r="A1584" s="32">
        <v>41471</v>
      </c>
      <c r="B1584">
        <v>74</v>
      </c>
      <c r="C1584">
        <v>75</v>
      </c>
      <c r="D1584">
        <v>73.25</v>
      </c>
      <c r="E1584">
        <v>75</v>
      </c>
      <c r="F1584">
        <v>725700</v>
      </c>
    </row>
    <row r="1585" spans="1:6">
      <c r="A1585" s="32">
        <v>41470</v>
      </c>
      <c r="B1585">
        <v>76</v>
      </c>
      <c r="C1585">
        <v>76</v>
      </c>
      <c r="D1585">
        <v>74.25</v>
      </c>
      <c r="E1585">
        <v>74.75</v>
      </c>
      <c r="F1585">
        <v>544400</v>
      </c>
    </row>
    <row r="1586" spans="1:6">
      <c r="A1586" s="32">
        <v>41467</v>
      </c>
      <c r="B1586">
        <v>75.5</v>
      </c>
      <c r="C1586">
        <v>75.5</v>
      </c>
      <c r="D1586">
        <v>74</v>
      </c>
      <c r="E1586">
        <v>75</v>
      </c>
      <c r="F1586">
        <v>527300</v>
      </c>
    </row>
    <row r="1587" spans="1:6">
      <c r="A1587" s="32">
        <v>41466</v>
      </c>
      <c r="B1587">
        <v>73.25</v>
      </c>
      <c r="C1587">
        <v>75.25</v>
      </c>
      <c r="D1587">
        <v>73</v>
      </c>
      <c r="E1587">
        <v>74.25</v>
      </c>
      <c r="F1587">
        <v>1148600</v>
      </c>
    </row>
    <row r="1588" spans="1:6">
      <c r="A1588" s="32">
        <v>41465</v>
      </c>
      <c r="B1588">
        <v>72.5</v>
      </c>
      <c r="C1588">
        <v>73</v>
      </c>
      <c r="D1588">
        <v>71.75</v>
      </c>
      <c r="E1588">
        <v>72.25</v>
      </c>
      <c r="F1588">
        <v>803500</v>
      </c>
    </row>
    <row r="1589" spans="1:6">
      <c r="A1589" s="32">
        <v>41464</v>
      </c>
      <c r="B1589">
        <v>72.75</v>
      </c>
      <c r="C1589">
        <v>73.75</v>
      </c>
      <c r="D1589">
        <v>72.25</v>
      </c>
      <c r="E1589">
        <v>73</v>
      </c>
      <c r="F1589">
        <v>436300</v>
      </c>
    </row>
    <row r="1590" spans="1:6">
      <c r="A1590" s="32">
        <v>41463</v>
      </c>
      <c r="B1590">
        <v>73</v>
      </c>
      <c r="C1590">
        <v>73.75</v>
      </c>
      <c r="D1590">
        <v>72.5</v>
      </c>
      <c r="E1590">
        <v>72.75</v>
      </c>
      <c r="F1590">
        <v>526600</v>
      </c>
    </row>
    <row r="1591" spans="1:6">
      <c r="A1591" s="32">
        <v>41460</v>
      </c>
      <c r="B1591">
        <v>76.75</v>
      </c>
      <c r="C1591">
        <v>76.75</v>
      </c>
      <c r="D1591">
        <v>74</v>
      </c>
      <c r="E1591">
        <v>74.5</v>
      </c>
      <c r="F1591">
        <v>610200</v>
      </c>
    </row>
    <row r="1592" spans="1:6">
      <c r="A1592" s="32">
        <v>41459</v>
      </c>
      <c r="B1592">
        <v>76.25</v>
      </c>
      <c r="C1592">
        <v>77.75</v>
      </c>
      <c r="D1592">
        <v>75</v>
      </c>
      <c r="E1592">
        <v>76.75</v>
      </c>
      <c r="F1592">
        <v>798900</v>
      </c>
    </row>
    <row r="1593" spans="1:6">
      <c r="A1593" s="32">
        <v>41458</v>
      </c>
      <c r="B1593">
        <v>78</v>
      </c>
      <c r="C1593">
        <v>78</v>
      </c>
      <c r="D1593">
        <v>75.5</v>
      </c>
      <c r="E1593">
        <v>76</v>
      </c>
      <c r="F1593">
        <v>1519500</v>
      </c>
    </row>
    <row r="1594" spans="1:6">
      <c r="A1594" s="32">
        <v>41457</v>
      </c>
      <c r="B1594">
        <v>77</v>
      </c>
      <c r="C1594">
        <v>78.75</v>
      </c>
      <c r="D1594">
        <v>77</v>
      </c>
      <c r="E1594">
        <v>78.5</v>
      </c>
      <c r="F1594">
        <v>663400</v>
      </c>
    </row>
    <row r="1595" spans="1:6">
      <c r="A1595" s="32">
        <v>41453</v>
      </c>
      <c r="B1595">
        <v>78.75</v>
      </c>
      <c r="C1595">
        <v>79</v>
      </c>
      <c r="D1595">
        <v>76.75</v>
      </c>
      <c r="E1595">
        <v>76.75</v>
      </c>
      <c r="F1595">
        <v>509600</v>
      </c>
    </row>
    <row r="1596" spans="1:6">
      <c r="A1596" s="32">
        <v>41452</v>
      </c>
      <c r="B1596">
        <v>76.25</v>
      </c>
      <c r="C1596">
        <v>78.5</v>
      </c>
      <c r="D1596">
        <v>76.25</v>
      </c>
      <c r="E1596">
        <v>78</v>
      </c>
      <c r="F1596">
        <v>933200</v>
      </c>
    </row>
    <row r="1597" spans="1:6">
      <c r="A1597" s="32">
        <v>41451</v>
      </c>
      <c r="B1597">
        <v>74</v>
      </c>
      <c r="C1597">
        <v>75.5</v>
      </c>
      <c r="D1597">
        <v>74</v>
      </c>
      <c r="E1597">
        <v>75.5</v>
      </c>
      <c r="F1597">
        <v>636400</v>
      </c>
    </row>
    <row r="1598" spans="1:6">
      <c r="A1598" s="32">
        <v>41450</v>
      </c>
      <c r="B1598">
        <v>73.5</v>
      </c>
      <c r="C1598">
        <v>74</v>
      </c>
      <c r="D1598">
        <v>71.5</v>
      </c>
      <c r="E1598">
        <v>74</v>
      </c>
      <c r="F1598">
        <v>648700</v>
      </c>
    </row>
    <row r="1599" spans="1:6">
      <c r="A1599" s="32">
        <v>41449</v>
      </c>
      <c r="B1599">
        <v>72.5</v>
      </c>
      <c r="C1599">
        <v>73.75</v>
      </c>
      <c r="D1599">
        <v>72.5</v>
      </c>
      <c r="E1599">
        <v>73.75</v>
      </c>
      <c r="F1599">
        <v>663000</v>
      </c>
    </row>
    <row r="1600" spans="1:6">
      <c r="A1600" s="32">
        <v>41446</v>
      </c>
      <c r="B1600">
        <v>72</v>
      </c>
      <c r="C1600">
        <v>75</v>
      </c>
      <c r="D1600">
        <v>72</v>
      </c>
      <c r="E1600">
        <v>74.75</v>
      </c>
      <c r="F1600">
        <v>562200</v>
      </c>
    </row>
    <row r="1601" spans="1:6">
      <c r="A1601" s="32">
        <v>41445</v>
      </c>
      <c r="B1601">
        <v>75</v>
      </c>
      <c r="C1601">
        <v>76.75</v>
      </c>
      <c r="D1601">
        <v>75</v>
      </c>
      <c r="E1601">
        <v>75.5</v>
      </c>
      <c r="F1601">
        <v>1016700</v>
      </c>
    </row>
    <row r="1602" spans="1:6">
      <c r="A1602" s="32">
        <v>41444</v>
      </c>
      <c r="B1602">
        <v>79</v>
      </c>
      <c r="C1602">
        <v>79</v>
      </c>
      <c r="D1602">
        <v>76.25</v>
      </c>
      <c r="E1602">
        <v>79</v>
      </c>
      <c r="F1602">
        <v>416200</v>
      </c>
    </row>
    <row r="1603" spans="1:6">
      <c r="A1603" s="32">
        <v>41443</v>
      </c>
      <c r="B1603">
        <v>78</v>
      </c>
      <c r="C1603">
        <v>79.5</v>
      </c>
      <c r="D1603">
        <v>76.25</v>
      </c>
      <c r="E1603">
        <v>76.25</v>
      </c>
      <c r="F1603">
        <v>472800</v>
      </c>
    </row>
    <row r="1604" spans="1:6">
      <c r="A1604" s="32">
        <v>41442</v>
      </c>
      <c r="B1604">
        <v>79</v>
      </c>
      <c r="C1604">
        <v>79</v>
      </c>
      <c r="D1604">
        <v>77</v>
      </c>
      <c r="E1604">
        <v>78</v>
      </c>
      <c r="F1604">
        <v>340600</v>
      </c>
    </row>
    <row r="1605" spans="1:6">
      <c r="A1605" s="32">
        <v>41439</v>
      </c>
      <c r="B1605">
        <v>77</v>
      </c>
      <c r="C1605">
        <v>77.75</v>
      </c>
      <c r="D1605">
        <v>75.5</v>
      </c>
      <c r="E1605">
        <v>77.75</v>
      </c>
      <c r="F1605">
        <v>574000</v>
      </c>
    </row>
    <row r="1606" spans="1:6">
      <c r="A1606" s="32">
        <v>41438</v>
      </c>
      <c r="B1606">
        <v>71.75</v>
      </c>
      <c r="C1606">
        <v>77.25</v>
      </c>
      <c r="D1606">
        <v>70.5</v>
      </c>
      <c r="E1606">
        <v>74.25</v>
      </c>
      <c r="F1606">
        <v>983900</v>
      </c>
    </row>
    <row r="1607" spans="1:6">
      <c r="A1607" s="32">
        <v>41437</v>
      </c>
      <c r="B1607">
        <v>77.5</v>
      </c>
      <c r="C1607">
        <v>79</v>
      </c>
      <c r="D1607">
        <v>76</v>
      </c>
      <c r="E1607">
        <v>76.5</v>
      </c>
      <c r="F1607">
        <v>1103500</v>
      </c>
    </row>
    <row r="1608" spans="1:6">
      <c r="A1608" s="32">
        <v>41436</v>
      </c>
      <c r="B1608">
        <v>80.5</v>
      </c>
      <c r="C1608">
        <v>81</v>
      </c>
      <c r="D1608">
        <v>78</v>
      </c>
      <c r="E1608">
        <v>79.5</v>
      </c>
      <c r="F1608">
        <v>879500</v>
      </c>
    </row>
    <row r="1609" spans="1:6">
      <c r="A1609" s="32">
        <v>41435</v>
      </c>
      <c r="B1609">
        <v>82</v>
      </c>
      <c r="C1609">
        <v>82.5</v>
      </c>
      <c r="D1609">
        <v>81.5</v>
      </c>
      <c r="E1609">
        <v>82</v>
      </c>
      <c r="F1609">
        <v>259300</v>
      </c>
    </row>
    <row r="1610" spans="1:6">
      <c r="A1610" s="32">
        <v>41432</v>
      </c>
      <c r="B1610">
        <v>80.5</v>
      </c>
      <c r="C1610">
        <v>82</v>
      </c>
      <c r="D1610">
        <v>80</v>
      </c>
      <c r="E1610">
        <v>81.5</v>
      </c>
      <c r="F1610">
        <v>530800</v>
      </c>
    </row>
    <row r="1611" spans="1:6">
      <c r="A1611" s="32">
        <v>41431</v>
      </c>
      <c r="B1611">
        <v>81.5</v>
      </c>
      <c r="C1611">
        <v>82.75</v>
      </c>
      <c r="D1611">
        <v>80.75</v>
      </c>
      <c r="E1611">
        <v>80.75</v>
      </c>
      <c r="F1611">
        <v>1417100</v>
      </c>
    </row>
    <row r="1612" spans="1:6">
      <c r="A1612" s="32">
        <v>41430</v>
      </c>
      <c r="B1612">
        <v>84.25</v>
      </c>
      <c r="C1612">
        <v>84.25</v>
      </c>
      <c r="D1612">
        <v>82.25</v>
      </c>
      <c r="E1612">
        <v>82.5</v>
      </c>
      <c r="F1612">
        <v>654800</v>
      </c>
    </row>
    <row r="1613" spans="1:6">
      <c r="A1613" s="32">
        <v>41429</v>
      </c>
      <c r="B1613">
        <v>81</v>
      </c>
      <c r="C1613">
        <v>84</v>
      </c>
      <c r="D1613">
        <v>81</v>
      </c>
      <c r="E1613">
        <v>83.75</v>
      </c>
      <c r="F1613">
        <v>837200</v>
      </c>
    </row>
    <row r="1614" spans="1:6">
      <c r="A1614" s="32">
        <v>41428</v>
      </c>
      <c r="B1614">
        <v>82</v>
      </c>
      <c r="C1614">
        <v>83.5</v>
      </c>
      <c r="D1614">
        <v>81.25</v>
      </c>
      <c r="E1614">
        <v>81.25</v>
      </c>
      <c r="F1614">
        <v>601300</v>
      </c>
    </row>
    <row r="1615" spans="1:6">
      <c r="A1615" s="32">
        <v>41425</v>
      </c>
      <c r="B1615">
        <v>83</v>
      </c>
      <c r="C1615">
        <v>84</v>
      </c>
      <c r="D1615">
        <v>82.75</v>
      </c>
      <c r="E1615">
        <v>83</v>
      </c>
      <c r="F1615">
        <v>706100</v>
      </c>
    </row>
    <row r="1616" spans="1:6">
      <c r="A1616" s="32">
        <v>41424</v>
      </c>
      <c r="B1616">
        <v>83.75</v>
      </c>
      <c r="C1616">
        <v>85</v>
      </c>
      <c r="D1616">
        <v>83.5</v>
      </c>
      <c r="E1616">
        <v>84</v>
      </c>
      <c r="F1616">
        <v>533600</v>
      </c>
    </row>
    <row r="1617" spans="1:6">
      <c r="A1617" s="32">
        <v>41423</v>
      </c>
      <c r="B1617">
        <v>86</v>
      </c>
      <c r="C1617">
        <v>86</v>
      </c>
      <c r="D1617">
        <v>84.25</v>
      </c>
      <c r="E1617">
        <v>84.5</v>
      </c>
      <c r="F1617">
        <v>596200</v>
      </c>
    </row>
    <row r="1618" spans="1:6">
      <c r="A1618" s="32">
        <v>41422</v>
      </c>
      <c r="B1618">
        <v>86</v>
      </c>
      <c r="C1618">
        <v>86.5</v>
      </c>
      <c r="D1618">
        <v>85.5</v>
      </c>
      <c r="E1618">
        <v>86.25</v>
      </c>
      <c r="F1618">
        <v>977700</v>
      </c>
    </row>
    <row r="1619" spans="1:6">
      <c r="A1619" s="32">
        <v>41421</v>
      </c>
      <c r="B1619">
        <v>86.25</v>
      </c>
      <c r="C1619">
        <v>86.75</v>
      </c>
      <c r="D1619">
        <v>85.25</v>
      </c>
      <c r="E1619">
        <v>86</v>
      </c>
      <c r="F1619">
        <v>664300</v>
      </c>
    </row>
    <row r="1620" spans="1:6">
      <c r="A1620" s="32">
        <v>41417</v>
      </c>
      <c r="B1620">
        <v>88.5</v>
      </c>
      <c r="C1620">
        <v>88.5</v>
      </c>
      <c r="D1620">
        <v>84</v>
      </c>
      <c r="E1620">
        <v>86.25</v>
      </c>
      <c r="F1620">
        <v>1274600</v>
      </c>
    </row>
    <row r="1621" spans="1:6">
      <c r="A1621" s="32">
        <v>41416</v>
      </c>
      <c r="B1621">
        <v>86.5</v>
      </c>
      <c r="C1621">
        <v>90</v>
      </c>
      <c r="D1621">
        <v>86.5</v>
      </c>
      <c r="E1621">
        <v>87</v>
      </c>
      <c r="F1621">
        <v>1726300</v>
      </c>
    </row>
    <row r="1622" spans="1:6">
      <c r="A1622" s="32">
        <v>41415</v>
      </c>
      <c r="B1622">
        <v>87.25</v>
      </c>
      <c r="C1622">
        <v>87.75</v>
      </c>
      <c r="D1622">
        <v>86.25</v>
      </c>
      <c r="E1622">
        <v>86.25</v>
      </c>
      <c r="F1622">
        <v>1395100</v>
      </c>
    </row>
    <row r="1623" spans="1:6">
      <c r="A1623" s="32">
        <v>41414</v>
      </c>
      <c r="B1623">
        <v>87</v>
      </c>
      <c r="C1623">
        <v>87.25</v>
      </c>
      <c r="D1623">
        <v>86.75</v>
      </c>
      <c r="E1623">
        <v>87</v>
      </c>
      <c r="F1623">
        <v>518600</v>
      </c>
    </row>
    <row r="1624" spans="1:6">
      <c r="A1624" s="32">
        <v>41411</v>
      </c>
      <c r="B1624">
        <v>86.25</v>
      </c>
      <c r="C1624">
        <v>87.25</v>
      </c>
      <c r="D1624">
        <v>85.75</v>
      </c>
      <c r="E1624">
        <v>86.5</v>
      </c>
      <c r="F1624">
        <v>531200</v>
      </c>
    </row>
    <row r="1625" spans="1:6">
      <c r="A1625" s="32">
        <v>41410</v>
      </c>
      <c r="B1625">
        <v>87.75</v>
      </c>
      <c r="C1625">
        <v>87.75</v>
      </c>
      <c r="D1625">
        <v>86</v>
      </c>
      <c r="E1625">
        <v>86.25</v>
      </c>
      <c r="F1625">
        <v>848000</v>
      </c>
    </row>
    <row r="1626" spans="1:6">
      <c r="A1626" s="32">
        <v>41409</v>
      </c>
      <c r="B1626">
        <v>87.5</v>
      </c>
      <c r="C1626">
        <v>87.75</v>
      </c>
      <c r="D1626">
        <v>86.75</v>
      </c>
      <c r="E1626">
        <v>87</v>
      </c>
      <c r="F1626">
        <v>499800</v>
      </c>
    </row>
    <row r="1627" spans="1:6">
      <c r="A1627" s="32">
        <v>41408</v>
      </c>
      <c r="B1627">
        <v>87.25</v>
      </c>
      <c r="C1627">
        <v>87.75</v>
      </c>
      <c r="D1627">
        <v>87</v>
      </c>
      <c r="E1627">
        <v>87.25</v>
      </c>
      <c r="F1627">
        <v>839900</v>
      </c>
    </row>
    <row r="1628" spans="1:6">
      <c r="A1628" s="32">
        <v>41407</v>
      </c>
      <c r="B1628">
        <v>87.5</v>
      </c>
      <c r="C1628">
        <v>87.5</v>
      </c>
      <c r="D1628">
        <v>86.5</v>
      </c>
      <c r="E1628">
        <v>87</v>
      </c>
      <c r="F1628">
        <v>1280500</v>
      </c>
    </row>
    <row r="1629" spans="1:6">
      <c r="A1629" s="32">
        <v>41404</v>
      </c>
      <c r="B1629">
        <v>84.75</v>
      </c>
      <c r="C1629">
        <v>86.75</v>
      </c>
      <c r="D1629">
        <v>84.5</v>
      </c>
      <c r="E1629">
        <v>86.5</v>
      </c>
      <c r="F1629">
        <v>1123600</v>
      </c>
    </row>
    <row r="1630" spans="1:6">
      <c r="A1630" s="32">
        <v>41403</v>
      </c>
      <c r="B1630">
        <v>84</v>
      </c>
      <c r="C1630">
        <v>85.5</v>
      </c>
      <c r="D1630">
        <v>83.5</v>
      </c>
      <c r="E1630">
        <v>85</v>
      </c>
      <c r="F1630">
        <v>1051400</v>
      </c>
    </row>
    <row r="1631" spans="1:6">
      <c r="A1631" s="32">
        <v>41402</v>
      </c>
      <c r="B1631">
        <v>83.75</v>
      </c>
      <c r="C1631">
        <v>83.75</v>
      </c>
      <c r="D1631">
        <v>83</v>
      </c>
      <c r="E1631">
        <v>83.5</v>
      </c>
      <c r="F1631">
        <v>485400</v>
      </c>
    </row>
    <row r="1632" spans="1:6">
      <c r="A1632" s="32">
        <v>41401</v>
      </c>
      <c r="B1632">
        <v>80.75</v>
      </c>
      <c r="C1632">
        <v>82.25</v>
      </c>
      <c r="D1632">
        <v>80.25</v>
      </c>
      <c r="E1632">
        <v>82.25</v>
      </c>
      <c r="F1632">
        <v>502500</v>
      </c>
    </row>
    <row r="1633" spans="1:6">
      <c r="A1633" s="32">
        <v>41397</v>
      </c>
      <c r="B1633">
        <v>82.75</v>
      </c>
      <c r="C1633">
        <v>82.75</v>
      </c>
      <c r="D1633">
        <v>80</v>
      </c>
      <c r="E1633">
        <v>80.5</v>
      </c>
      <c r="F1633">
        <v>1691100</v>
      </c>
    </row>
    <row r="1634" spans="1:6">
      <c r="A1634" s="32">
        <v>41396</v>
      </c>
      <c r="B1634">
        <v>82</v>
      </c>
      <c r="C1634">
        <v>82.75</v>
      </c>
      <c r="D1634">
        <v>81.75</v>
      </c>
      <c r="E1634">
        <v>82.75</v>
      </c>
      <c r="F1634">
        <v>1495900</v>
      </c>
    </row>
    <row r="1635" spans="1:6">
      <c r="A1635" s="32">
        <v>41394</v>
      </c>
      <c r="B1635">
        <v>83</v>
      </c>
      <c r="C1635">
        <v>83.75</v>
      </c>
      <c r="D1635">
        <v>82</v>
      </c>
      <c r="E1635">
        <v>82.25</v>
      </c>
      <c r="F1635">
        <v>1017700</v>
      </c>
    </row>
    <row r="1636" spans="1:6">
      <c r="A1636" s="32">
        <v>41393</v>
      </c>
      <c r="B1636">
        <v>84.25</v>
      </c>
      <c r="C1636">
        <v>84.25</v>
      </c>
      <c r="D1636">
        <v>82.25</v>
      </c>
      <c r="E1636">
        <v>82.5</v>
      </c>
      <c r="F1636">
        <v>1145100</v>
      </c>
    </row>
    <row r="1637" spans="1:6">
      <c r="A1637" s="32">
        <v>41390</v>
      </c>
      <c r="B1637">
        <v>85.5</v>
      </c>
      <c r="C1637">
        <v>85.75</v>
      </c>
      <c r="D1637">
        <v>84.25</v>
      </c>
      <c r="E1637">
        <v>84.25</v>
      </c>
      <c r="F1637">
        <v>556800</v>
      </c>
    </row>
    <row r="1638" spans="1:6">
      <c r="A1638" s="32">
        <v>41389</v>
      </c>
      <c r="B1638">
        <v>84.25</v>
      </c>
      <c r="C1638">
        <v>85.5</v>
      </c>
      <c r="D1638">
        <v>84</v>
      </c>
      <c r="E1638">
        <v>85</v>
      </c>
      <c r="F1638">
        <v>431900</v>
      </c>
    </row>
    <row r="1639" spans="1:6">
      <c r="A1639" s="32">
        <v>41388</v>
      </c>
      <c r="B1639">
        <v>85</v>
      </c>
      <c r="C1639">
        <v>85.5</v>
      </c>
      <c r="D1639">
        <v>83.75</v>
      </c>
      <c r="E1639">
        <v>84</v>
      </c>
      <c r="F1639">
        <v>472200</v>
      </c>
    </row>
    <row r="1640" spans="1:6">
      <c r="A1640" s="32">
        <v>41387</v>
      </c>
      <c r="B1640">
        <v>84</v>
      </c>
      <c r="C1640">
        <v>85.5</v>
      </c>
      <c r="D1640">
        <v>84</v>
      </c>
      <c r="E1640">
        <v>84.75</v>
      </c>
      <c r="F1640">
        <v>1253500</v>
      </c>
    </row>
    <row r="1641" spans="1:6">
      <c r="A1641" s="32">
        <v>41386</v>
      </c>
      <c r="B1641">
        <v>82</v>
      </c>
      <c r="C1641">
        <v>84</v>
      </c>
      <c r="D1641">
        <v>81.25</v>
      </c>
      <c r="E1641">
        <v>83.5</v>
      </c>
      <c r="F1641">
        <v>432800</v>
      </c>
    </row>
    <row r="1642" spans="1:6">
      <c r="A1642" s="32">
        <v>41383</v>
      </c>
      <c r="B1642">
        <v>80.5</v>
      </c>
      <c r="C1642">
        <v>82.25</v>
      </c>
      <c r="D1642">
        <v>80.5</v>
      </c>
      <c r="E1642">
        <v>82</v>
      </c>
      <c r="F1642">
        <v>422800</v>
      </c>
    </row>
    <row r="1643" spans="1:6">
      <c r="A1643" s="32">
        <v>41382</v>
      </c>
      <c r="B1643">
        <v>81</v>
      </c>
      <c r="C1643">
        <v>81.75</v>
      </c>
      <c r="D1643">
        <v>80</v>
      </c>
      <c r="E1643">
        <v>81.75</v>
      </c>
      <c r="F1643">
        <v>347400</v>
      </c>
    </row>
    <row r="1644" spans="1:6">
      <c r="A1644" s="32">
        <v>41381</v>
      </c>
      <c r="B1644">
        <v>84</v>
      </c>
      <c r="C1644">
        <v>84</v>
      </c>
      <c r="D1644">
        <v>81</v>
      </c>
      <c r="E1644">
        <v>81</v>
      </c>
      <c r="F1644">
        <v>588700</v>
      </c>
    </row>
    <row r="1645" spans="1:6">
      <c r="A1645" s="32">
        <v>41376</v>
      </c>
      <c r="B1645">
        <v>82.5</v>
      </c>
      <c r="C1645">
        <v>82.75</v>
      </c>
      <c r="D1645">
        <v>82</v>
      </c>
      <c r="E1645">
        <v>82.75</v>
      </c>
      <c r="F1645">
        <v>410200</v>
      </c>
    </row>
    <row r="1646" spans="1:6">
      <c r="A1646" s="32">
        <v>41375</v>
      </c>
      <c r="B1646">
        <v>82</v>
      </c>
      <c r="C1646">
        <v>82.75</v>
      </c>
      <c r="D1646">
        <v>81</v>
      </c>
      <c r="E1646">
        <v>82.75</v>
      </c>
      <c r="F1646">
        <v>574700</v>
      </c>
    </row>
    <row r="1647" spans="1:6">
      <c r="A1647" s="32">
        <v>41374</v>
      </c>
      <c r="B1647">
        <v>78.75</v>
      </c>
      <c r="C1647">
        <v>81.5</v>
      </c>
      <c r="D1647">
        <v>78</v>
      </c>
      <c r="E1647">
        <v>81.5</v>
      </c>
      <c r="F1647">
        <v>884500</v>
      </c>
    </row>
    <row r="1648" spans="1:6">
      <c r="A1648" s="32">
        <v>41373</v>
      </c>
      <c r="B1648">
        <v>80</v>
      </c>
      <c r="C1648">
        <v>80.75</v>
      </c>
      <c r="D1648">
        <v>78</v>
      </c>
      <c r="E1648">
        <v>78.75</v>
      </c>
      <c r="F1648">
        <v>855900</v>
      </c>
    </row>
    <row r="1649" spans="1:6">
      <c r="A1649" s="32">
        <v>41369</v>
      </c>
      <c r="B1649">
        <v>82.25</v>
      </c>
      <c r="C1649">
        <v>82.25</v>
      </c>
      <c r="D1649">
        <v>80.25</v>
      </c>
      <c r="E1649">
        <v>80.25</v>
      </c>
      <c r="F1649">
        <v>758600</v>
      </c>
    </row>
    <row r="1650" spans="1:6">
      <c r="A1650" s="32">
        <v>41368</v>
      </c>
      <c r="B1650">
        <v>82</v>
      </c>
      <c r="C1650">
        <v>83</v>
      </c>
      <c r="D1650">
        <v>80.75</v>
      </c>
      <c r="E1650">
        <v>82.75</v>
      </c>
      <c r="F1650">
        <v>612200</v>
      </c>
    </row>
    <row r="1651" spans="1:6">
      <c r="A1651" s="32">
        <v>41367</v>
      </c>
      <c r="B1651">
        <v>83.75</v>
      </c>
      <c r="C1651">
        <v>84.25</v>
      </c>
      <c r="D1651">
        <v>83</v>
      </c>
      <c r="E1651">
        <v>83</v>
      </c>
      <c r="F1651">
        <v>477700</v>
      </c>
    </row>
    <row r="1652" spans="1:6">
      <c r="A1652" s="32">
        <v>41366</v>
      </c>
      <c r="B1652">
        <v>84.75</v>
      </c>
      <c r="C1652">
        <v>85</v>
      </c>
      <c r="D1652">
        <v>83.75</v>
      </c>
      <c r="E1652">
        <v>83.75</v>
      </c>
      <c r="F1652">
        <v>626500</v>
      </c>
    </row>
    <row r="1653" spans="1:6">
      <c r="A1653" s="32">
        <v>41365</v>
      </c>
      <c r="B1653">
        <v>86</v>
      </c>
      <c r="C1653">
        <v>86</v>
      </c>
      <c r="D1653">
        <v>83.75</v>
      </c>
      <c r="E1653">
        <v>85.25</v>
      </c>
      <c r="F1653">
        <v>594100</v>
      </c>
    </row>
    <row r="1654" spans="1:6">
      <c r="A1654" s="32">
        <v>41362</v>
      </c>
      <c r="B1654">
        <v>86</v>
      </c>
      <c r="C1654">
        <v>86.5</v>
      </c>
      <c r="D1654">
        <v>85.25</v>
      </c>
      <c r="E1654">
        <v>85.75</v>
      </c>
      <c r="F1654">
        <v>253100</v>
      </c>
    </row>
    <row r="1655" spans="1:6">
      <c r="A1655" s="32">
        <v>41361</v>
      </c>
      <c r="B1655">
        <v>85.5</v>
      </c>
      <c r="C1655">
        <v>87.25</v>
      </c>
      <c r="D1655">
        <v>84.75</v>
      </c>
      <c r="E1655">
        <v>86</v>
      </c>
      <c r="F1655">
        <v>1128900</v>
      </c>
    </row>
    <row r="1656" spans="1:6">
      <c r="A1656" s="32">
        <v>41360</v>
      </c>
      <c r="B1656">
        <v>85.25</v>
      </c>
      <c r="C1656">
        <v>85.75</v>
      </c>
      <c r="D1656">
        <v>84.75</v>
      </c>
      <c r="E1656">
        <v>85.5</v>
      </c>
      <c r="F1656">
        <v>984800</v>
      </c>
    </row>
    <row r="1657" spans="1:6">
      <c r="A1657" s="32">
        <v>41359</v>
      </c>
      <c r="B1657">
        <v>84.5</v>
      </c>
      <c r="C1657">
        <v>85.25</v>
      </c>
      <c r="D1657">
        <v>84</v>
      </c>
      <c r="E1657">
        <v>85</v>
      </c>
      <c r="F1657">
        <v>431200</v>
      </c>
    </row>
    <row r="1658" spans="1:6">
      <c r="A1658" s="32">
        <v>41358</v>
      </c>
      <c r="B1658">
        <v>83</v>
      </c>
      <c r="C1658">
        <v>85.5</v>
      </c>
      <c r="D1658">
        <v>83</v>
      </c>
      <c r="E1658">
        <v>85</v>
      </c>
      <c r="F1658">
        <v>866000</v>
      </c>
    </row>
    <row r="1659" spans="1:6">
      <c r="A1659" s="32">
        <v>41355</v>
      </c>
      <c r="B1659">
        <v>85</v>
      </c>
      <c r="C1659">
        <v>85.25</v>
      </c>
      <c r="D1659">
        <v>77.75</v>
      </c>
      <c r="E1659">
        <v>85.25</v>
      </c>
      <c r="F1659">
        <v>1983100</v>
      </c>
    </row>
    <row r="1660" spans="1:6">
      <c r="A1660" s="32">
        <v>41354</v>
      </c>
      <c r="B1660">
        <v>85.5</v>
      </c>
      <c r="C1660">
        <v>86.25</v>
      </c>
      <c r="D1660">
        <v>84.75</v>
      </c>
      <c r="E1660">
        <v>86</v>
      </c>
      <c r="F1660">
        <v>670500</v>
      </c>
    </row>
    <row r="1661" spans="1:6">
      <c r="A1661" s="32">
        <v>41353</v>
      </c>
      <c r="B1661">
        <v>87.25</v>
      </c>
      <c r="C1661">
        <v>87.5</v>
      </c>
      <c r="D1661">
        <v>85</v>
      </c>
      <c r="E1661">
        <v>86</v>
      </c>
      <c r="F1661">
        <v>1249000</v>
      </c>
    </row>
    <row r="1662" spans="1:6">
      <c r="A1662" s="32">
        <v>41352</v>
      </c>
      <c r="B1662">
        <v>89.5</v>
      </c>
      <c r="C1662">
        <v>90.5</v>
      </c>
      <c r="D1662">
        <v>87</v>
      </c>
      <c r="E1662">
        <v>88</v>
      </c>
      <c r="F1662">
        <v>1023200</v>
      </c>
    </row>
    <row r="1663" spans="1:6">
      <c r="A1663" s="32">
        <v>41351</v>
      </c>
      <c r="B1663">
        <v>90.75</v>
      </c>
      <c r="C1663">
        <v>91.25</v>
      </c>
      <c r="D1663">
        <v>89.75</v>
      </c>
      <c r="E1663">
        <v>90</v>
      </c>
      <c r="F1663">
        <v>609300</v>
      </c>
    </row>
    <row r="1664" spans="1:6">
      <c r="A1664" s="32">
        <v>41348</v>
      </c>
      <c r="B1664">
        <v>91</v>
      </c>
      <c r="C1664">
        <v>92</v>
      </c>
      <c r="D1664">
        <v>90.75</v>
      </c>
      <c r="E1664">
        <v>91.5</v>
      </c>
      <c r="F1664">
        <v>1153700</v>
      </c>
    </row>
    <row r="1665" spans="1:6">
      <c r="A1665" s="32">
        <v>41347</v>
      </c>
      <c r="B1665">
        <v>89.75</v>
      </c>
      <c r="C1665">
        <v>90.75</v>
      </c>
      <c r="D1665">
        <v>89.25</v>
      </c>
      <c r="E1665">
        <v>90.75</v>
      </c>
      <c r="F1665">
        <v>558700</v>
      </c>
    </row>
    <row r="1666" spans="1:6">
      <c r="A1666" s="32">
        <v>41346</v>
      </c>
      <c r="B1666">
        <v>89.5</v>
      </c>
      <c r="C1666">
        <v>91</v>
      </c>
      <c r="D1666">
        <v>88.5</v>
      </c>
      <c r="E1666">
        <v>90.25</v>
      </c>
      <c r="F1666">
        <v>607200</v>
      </c>
    </row>
    <row r="1667" spans="1:6">
      <c r="A1667" s="32">
        <v>41345</v>
      </c>
      <c r="B1667">
        <v>91</v>
      </c>
      <c r="C1667">
        <v>91.5</v>
      </c>
      <c r="D1667">
        <v>89.25</v>
      </c>
      <c r="E1667">
        <v>89.75</v>
      </c>
      <c r="F1667">
        <v>555200</v>
      </c>
    </row>
    <row r="1668" spans="1:6">
      <c r="A1668" s="32">
        <v>41344</v>
      </c>
      <c r="B1668">
        <v>90.75</v>
      </c>
      <c r="C1668">
        <v>92.5</v>
      </c>
      <c r="D1668">
        <v>90.5</v>
      </c>
      <c r="E1668">
        <v>91</v>
      </c>
      <c r="F1668">
        <v>1421100</v>
      </c>
    </row>
    <row r="1669" spans="1:6">
      <c r="A1669" s="32">
        <v>41341</v>
      </c>
      <c r="B1669">
        <v>90.5</v>
      </c>
      <c r="C1669">
        <v>90.75</v>
      </c>
      <c r="D1669">
        <v>89.25</v>
      </c>
      <c r="E1669">
        <v>90.5</v>
      </c>
      <c r="F1669">
        <v>1314000</v>
      </c>
    </row>
    <row r="1670" spans="1:6">
      <c r="A1670" s="32">
        <v>41340</v>
      </c>
      <c r="B1670">
        <v>87.5</v>
      </c>
      <c r="C1670">
        <v>89.75</v>
      </c>
      <c r="D1670">
        <v>87.25</v>
      </c>
      <c r="E1670">
        <v>89.75</v>
      </c>
      <c r="F1670">
        <v>1202900</v>
      </c>
    </row>
    <row r="1671" spans="1:6">
      <c r="A1671" s="32">
        <v>41339</v>
      </c>
      <c r="B1671">
        <v>86.5</v>
      </c>
      <c r="C1671">
        <v>87.25</v>
      </c>
      <c r="D1671">
        <v>86</v>
      </c>
      <c r="E1671">
        <v>86.75</v>
      </c>
      <c r="F1671">
        <v>1341100</v>
      </c>
    </row>
    <row r="1672" spans="1:6">
      <c r="A1672" s="32">
        <v>41338</v>
      </c>
      <c r="B1672">
        <v>87</v>
      </c>
      <c r="C1672">
        <v>87.5</v>
      </c>
      <c r="D1672">
        <v>86</v>
      </c>
      <c r="E1672">
        <v>86</v>
      </c>
      <c r="F1672">
        <v>1090000</v>
      </c>
    </row>
    <row r="1673" spans="1:6">
      <c r="A1673" s="32">
        <v>41337</v>
      </c>
      <c r="B1673">
        <v>87.5</v>
      </c>
      <c r="C1673">
        <v>88.25</v>
      </c>
      <c r="D1673">
        <v>87</v>
      </c>
      <c r="E1673">
        <v>87.5</v>
      </c>
      <c r="F1673">
        <v>1147900</v>
      </c>
    </row>
    <row r="1674" spans="1:6">
      <c r="A1674" s="32">
        <v>41334</v>
      </c>
      <c r="B1674">
        <v>87.75</v>
      </c>
      <c r="C1674">
        <v>89.25</v>
      </c>
      <c r="D1674">
        <v>87</v>
      </c>
      <c r="E1674">
        <v>87.75</v>
      </c>
      <c r="F1674">
        <v>1361400</v>
      </c>
    </row>
    <row r="1675" spans="1:6">
      <c r="A1675" s="32">
        <v>41333</v>
      </c>
      <c r="B1675">
        <v>89.75</v>
      </c>
      <c r="C1675">
        <v>89.75</v>
      </c>
      <c r="D1675">
        <v>85.75</v>
      </c>
      <c r="E1675">
        <v>87.5</v>
      </c>
      <c r="F1675">
        <v>1870800</v>
      </c>
    </row>
    <row r="1676" spans="1:6">
      <c r="A1676" s="32">
        <v>41332</v>
      </c>
      <c r="B1676">
        <v>91.75</v>
      </c>
      <c r="C1676">
        <v>92</v>
      </c>
      <c r="D1676">
        <v>88.25</v>
      </c>
      <c r="E1676">
        <v>88.5</v>
      </c>
      <c r="F1676">
        <v>1937400</v>
      </c>
    </row>
    <row r="1677" spans="1:6">
      <c r="A1677" s="32">
        <v>41331</v>
      </c>
      <c r="B1677">
        <v>91.25</v>
      </c>
      <c r="C1677">
        <v>94</v>
      </c>
      <c r="D1677">
        <v>90.75</v>
      </c>
      <c r="E1677">
        <v>90.75</v>
      </c>
      <c r="F1677">
        <v>1912800</v>
      </c>
    </row>
    <row r="1678" spans="1:6">
      <c r="A1678" s="32">
        <v>41327</v>
      </c>
      <c r="B1678">
        <v>90.5</v>
      </c>
      <c r="C1678">
        <v>92.5</v>
      </c>
      <c r="D1678">
        <v>90.5</v>
      </c>
      <c r="E1678">
        <v>90.75</v>
      </c>
      <c r="F1678">
        <v>1157600</v>
      </c>
    </row>
    <row r="1679" spans="1:6">
      <c r="A1679" s="32">
        <v>41326</v>
      </c>
      <c r="B1679">
        <v>92.25</v>
      </c>
      <c r="C1679">
        <v>94.25</v>
      </c>
      <c r="D1679">
        <v>90.25</v>
      </c>
      <c r="E1679">
        <v>90.25</v>
      </c>
      <c r="F1679">
        <v>3226400</v>
      </c>
    </row>
    <row r="1680" spans="1:6">
      <c r="A1680" s="32">
        <v>41325</v>
      </c>
      <c r="B1680">
        <v>90.5</v>
      </c>
      <c r="C1680">
        <v>95</v>
      </c>
      <c r="D1680">
        <v>89.5</v>
      </c>
      <c r="E1680">
        <v>91.75</v>
      </c>
      <c r="F1680">
        <v>5791800</v>
      </c>
    </row>
    <row r="1681" spans="1:6">
      <c r="A1681" s="32">
        <v>41324</v>
      </c>
      <c r="B1681">
        <v>85.5</v>
      </c>
      <c r="C1681">
        <v>88.5</v>
      </c>
      <c r="D1681">
        <v>84.5</v>
      </c>
      <c r="E1681">
        <v>88.5</v>
      </c>
      <c r="F1681">
        <v>2398600</v>
      </c>
    </row>
    <row r="1682" spans="1:6">
      <c r="A1682" s="32">
        <v>41323</v>
      </c>
      <c r="B1682">
        <v>85.5</v>
      </c>
      <c r="C1682">
        <v>87.25</v>
      </c>
      <c r="D1682">
        <v>85</v>
      </c>
      <c r="E1682">
        <v>85</v>
      </c>
      <c r="F1682">
        <v>1460100</v>
      </c>
    </row>
    <row r="1683" spans="1:6">
      <c r="A1683" s="32">
        <v>41320</v>
      </c>
      <c r="B1683">
        <v>84.75</v>
      </c>
      <c r="C1683">
        <v>86</v>
      </c>
      <c r="D1683">
        <v>84.5</v>
      </c>
      <c r="E1683">
        <v>85.25</v>
      </c>
      <c r="F1683">
        <v>2360000</v>
      </c>
    </row>
    <row r="1684" spans="1:6">
      <c r="A1684" s="32">
        <v>41319</v>
      </c>
      <c r="B1684">
        <v>82</v>
      </c>
      <c r="C1684">
        <v>87.75</v>
      </c>
      <c r="D1684">
        <v>82</v>
      </c>
      <c r="E1684">
        <v>84.25</v>
      </c>
      <c r="F1684">
        <v>8398500</v>
      </c>
    </row>
    <row r="1685" spans="1:6">
      <c r="A1685" s="32">
        <v>41318</v>
      </c>
      <c r="B1685">
        <v>78.5</v>
      </c>
      <c r="C1685">
        <v>81.75</v>
      </c>
      <c r="D1685">
        <v>78.5</v>
      </c>
      <c r="E1685">
        <v>81.25</v>
      </c>
      <c r="F1685">
        <v>5129700</v>
      </c>
    </row>
    <row r="1686" spans="1:6">
      <c r="A1686" s="32">
        <v>41317</v>
      </c>
      <c r="B1686">
        <v>79.5</v>
      </c>
      <c r="C1686">
        <v>79.5</v>
      </c>
      <c r="D1686">
        <v>77.75</v>
      </c>
      <c r="E1686">
        <v>78</v>
      </c>
      <c r="F1686">
        <v>1166600</v>
      </c>
    </row>
    <row r="1687" spans="1:6">
      <c r="A1687" s="32">
        <v>41316</v>
      </c>
      <c r="B1687">
        <v>77</v>
      </c>
      <c r="C1687">
        <v>79</v>
      </c>
      <c r="D1687">
        <v>77</v>
      </c>
      <c r="E1687">
        <v>78</v>
      </c>
      <c r="F1687">
        <v>1762100</v>
      </c>
    </row>
    <row r="1688" spans="1:6">
      <c r="A1688" s="32">
        <v>41313</v>
      </c>
      <c r="B1688">
        <v>77.5</v>
      </c>
      <c r="C1688">
        <v>78.5</v>
      </c>
      <c r="D1688">
        <v>76.5</v>
      </c>
      <c r="E1688">
        <v>76.5</v>
      </c>
      <c r="F1688">
        <v>1005900</v>
      </c>
    </row>
    <row r="1689" spans="1:6">
      <c r="A1689" s="32">
        <v>41312</v>
      </c>
      <c r="B1689">
        <v>77.25</v>
      </c>
      <c r="C1689">
        <v>77.5</v>
      </c>
      <c r="D1689">
        <v>76.5</v>
      </c>
      <c r="E1689">
        <v>77.5</v>
      </c>
      <c r="F1689">
        <v>1161200</v>
      </c>
    </row>
    <row r="1690" spans="1:6">
      <c r="A1690" s="32">
        <v>41311</v>
      </c>
      <c r="B1690">
        <v>78.25</v>
      </c>
      <c r="C1690">
        <v>79.25</v>
      </c>
      <c r="D1690">
        <v>77.25</v>
      </c>
      <c r="E1690">
        <v>77.5</v>
      </c>
      <c r="F1690">
        <v>1114500</v>
      </c>
    </row>
    <row r="1691" spans="1:6">
      <c r="A1691" s="32">
        <v>41310</v>
      </c>
      <c r="B1691">
        <v>78.25</v>
      </c>
      <c r="C1691">
        <v>78.75</v>
      </c>
      <c r="D1691">
        <v>77.75</v>
      </c>
      <c r="E1691">
        <v>78.25</v>
      </c>
      <c r="F1691">
        <v>1658300</v>
      </c>
    </row>
    <row r="1692" spans="1:6">
      <c r="A1692" s="32">
        <v>41309</v>
      </c>
      <c r="B1692">
        <v>79</v>
      </c>
      <c r="C1692">
        <v>79.75</v>
      </c>
      <c r="D1692">
        <v>78.5</v>
      </c>
      <c r="E1692">
        <v>79</v>
      </c>
      <c r="F1692">
        <v>1305400</v>
      </c>
    </row>
    <row r="1693" spans="1:6">
      <c r="A1693" s="32">
        <v>41306</v>
      </c>
      <c r="B1693">
        <v>77.75</v>
      </c>
      <c r="C1693">
        <v>80</v>
      </c>
      <c r="D1693">
        <v>77.75</v>
      </c>
      <c r="E1693">
        <v>79</v>
      </c>
      <c r="F1693">
        <v>2471700</v>
      </c>
    </row>
    <row r="1694" spans="1:6">
      <c r="A1694" s="32">
        <v>41305</v>
      </c>
      <c r="B1694">
        <v>79</v>
      </c>
      <c r="C1694">
        <v>79</v>
      </c>
      <c r="D1694">
        <v>77</v>
      </c>
      <c r="E1694">
        <v>77.75</v>
      </c>
      <c r="F1694">
        <v>1711000</v>
      </c>
    </row>
    <row r="1695" spans="1:6">
      <c r="A1695" s="32">
        <v>41304</v>
      </c>
      <c r="B1695">
        <v>77</v>
      </c>
      <c r="C1695">
        <v>79</v>
      </c>
      <c r="D1695">
        <v>77</v>
      </c>
      <c r="E1695">
        <v>78.75</v>
      </c>
      <c r="F1695">
        <v>3001200</v>
      </c>
    </row>
    <row r="1696" spans="1:6">
      <c r="A1696" s="32">
        <v>41303</v>
      </c>
      <c r="B1696">
        <v>76</v>
      </c>
      <c r="C1696">
        <v>77</v>
      </c>
      <c r="D1696">
        <v>76</v>
      </c>
      <c r="E1696">
        <v>76.75</v>
      </c>
      <c r="F1696">
        <v>723300</v>
      </c>
    </row>
    <row r="1697" spans="1:6">
      <c r="A1697" s="32">
        <v>41302</v>
      </c>
      <c r="B1697">
        <v>77</v>
      </c>
      <c r="C1697">
        <v>77</v>
      </c>
      <c r="D1697">
        <v>76</v>
      </c>
      <c r="E1697">
        <v>76</v>
      </c>
      <c r="F1697">
        <v>508400</v>
      </c>
    </row>
    <row r="1698" spans="1:6">
      <c r="A1698" s="32">
        <v>41299</v>
      </c>
      <c r="B1698">
        <v>75.75</v>
      </c>
      <c r="C1698">
        <v>76.75</v>
      </c>
      <c r="D1698">
        <v>75.5</v>
      </c>
      <c r="E1698">
        <v>76.5</v>
      </c>
      <c r="F1698">
        <v>1577300</v>
      </c>
    </row>
    <row r="1699" spans="1:6">
      <c r="A1699" s="32">
        <v>41298</v>
      </c>
      <c r="B1699">
        <v>75.5</v>
      </c>
      <c r="C1699">
        <v>76.5</v>
      </c>
      <c r="D1699">
        <v>75</v>
      </c>
      <c r="E1699">
        <v>75.75</v>
      </c>
      <c r="F1699">
        <v>972800</v>
      </c>
    </row>
    <row r="1700" spans="1:6">
      <c r="A1700" s="32">
        <v>41297</v>
      </c>
      <c r="B1700">
        <v>75.5</v>
      </c>
      <c r="C1700">
        <v>76.25</v>
      </c>
      <c r="D1700">
        <v>74.5</v>
      </c>
      <c r="E1700">
        <v>75</v>
      </c>
      <c r="F1700">
        <v>1826800</v>
      </c>
    </row>
    <row r="1701" spans="1:6">
      <c r="A1701" s="32">
        <v>41296</v>
      </c>
      <c r="B1701">
        <v>76</v>
      </c>
      <c r="C1701">
        <v>76</v>
      </c>
      <c r="D1701">
        <v>75.25</v>
      </c>
      <c r="E1701">
        <v>75.5</v>
      </c>
      <c r="F1701">
        <v>892800</v>
      </c>
    </row>
    <row r="1702" spans="1:6">
      <c r="A1702" s="32">
        <v>41295</v>
      </c>
      <c r="B1702">
        <v>76.75</v>
      </c>
      <c r="C1702">
        <v>77</v>
      </c>
      <c r="D1702">
        <v>75.75</v>
      </c>
      <c r="E1702">
        <v>76.25</v>
      </c>
      <c r="F1702">
        <v>610600</v>
      </c>
    </row>
    <row r="1703" spans="1:6">
      <c r="A1703" s="32">
        <v>41292</v>
      </c>
      <c r="B1703">
        <v>77</v>
      </c>
      <c r="C1703">
        <v>77.5</v>
      </c>
      <c r="D1703">
        <v>76.25</v>
      </c>
      <c r="E1703">
        <v>76.75</v>
      </c>
      <c r="F1703">
        <v>740800</v>
      </c>
    </row>
    <row r="1704" spans="1:6">
      <c r="A1704" s="32">
        <v>41291</v>
      </c>
      <c r="B1704">
        <v>74.5</v>
      </c>
      <c r="C1704">
        <v>77</v>
      </c>
      <c r="D1704">
        <v>74.5</v>
      </c>
      <c r="E1704">
        <v>76.5</v>
      </c>
      <c r="F1704">
        <v>1477200</v>
      </c>
    </row>
    <row r="1705" spans="1:6">
      <c r="A1705" s="32">
        <v>41290</v>
      </c>
      <c r="B1705">
        <v>76</v>
      </c>
      <c r="C1705">
        <v>76</v>
      </c>
      <c r="D1705">
        <v>74.25</v>
      </c>
      <c r="E1705">
        <v>74.5</v>
      </c>
      <c r="F1705">
        <v>1390100</v>
      </c>
    </row>
    <row r="1706" spans="1:6">
      <c r="A1706" s="32">
        <v>41289</v>
      </c>
      <c r="B1706">
        <v>76.5</v>
      </c>
      <c r="C1706">
        <v>76.5</v>
      </c>
      <c r="D1706">
        <v>74.75</v>
      </c>
      <c r="E1706">
        <v>75.25</v>
      </c>
      <c r="F1706">
        <v>1487100</v>
      </c>
    </row>
    <row r="1707" spans="1:6">
      <c r="A1707" s="32">
        <v>41288</v>
      </c>
      <c r="B1707">
        <v>77</v>
      </c>
      <c r="C1707">
        <v>77.25</v>
      </c>
      <c r="D1707">
        <v>76.25</v>
      </c>
      <c r="E1707">
        <v>76.5</v>
      </c>
      <c r="F1707">
        <v>661800</v>
      </c>
    </row>
    <row r="1708" spans="1:6">
      <c r="A1708" s="32">
        <v>41285</v>
      </c>
      <c r="B1708">
        <v>77.5</v>
      </c>
      <c r="C1708">
        <v>77.5</v>
      </c>
      <c r="D1708">
        <v>75.25</v>
      </c>
      <c r="E1708">
        <v>77</v>
      </c>
      <c r="F1708">
        <v>1065100</v>
      </c>
    </row>
    <row r="1709" spans="1:6">
      <c r="A1709" s="32">
        <v>41284</v>
      </c>
      <c r="B1709">
        <v>78.25</v>
      </c>
      <c r="C1709">
        <v>78.75</v>
      </c>
      <c r="D1709">
        <v>76.75</v>
      </c>
      <c r="E1709">
        <v>77.5</v>
      </c>
      <c r="F1709">
        <v>1470500</v>
      </c>
    </row>
    <row r="1710" spans="1:6">
      <c r="A1710" s="32">
        <v>41283</v>
      </c>
      <c r="B1710">
        <v>78.5</v>
      </c>
      <c r="C1710">
        <v>79.25</v>
      </c>
      <c r="D1710">
        <v>78</v>
      </c>
      <c r="E1710">
        <v>78.25</v>
      </c>
      <c r="F1710">
        <v>1643300</v>
      </c>
    </row>
    <row r="1711" spans="1:6">
      <c r="A1711" s="32">
        <v>41282</v>
      </c>
      <c r="B1711">
        <v>77.25</v>
      </c>
      <c r="C1711">
        <v>78.25</v>
      </c>
      <c r="D1711">
        <v>76.5</v>
      </c>
      <c r="E1711">
        <v>78</v>
      </c>
      <c r="F1711">
        <v>1889800</v>
      </c>
    </row>
    <row r="1712" spans="1:6">
      <c r="A1712" s="32">
        <v>41281</v>
      </c>
      <c r="B1712">
        <v>75.25</v>
      </c>
      <c r="C1712">
        <v>77.75</v>
      </c>
      <c r="D1712">
        <v>75</v>
      </c>
      <c r="E1712">
        <v>76.25</v>
      </c>
      <c r="F1712">
        <v>2396400</v>
      </c>
    </row>
    <row r="1713" spans="1:6">
      <c r="A1713" s="32">
        <v>41278</v>
      </c>
      <c r="B1713">
        <v>75.25</v>
      </c>
      <c r="C1713">
        <v>75.5</v>
      </c>
      <c r="D1713">
        <v>74.25</v>
      </c>
      <c r="E1713">
        <v>75</v>
      </c>
      <c r="F1713">
        <v>1890000</v>
      </c>
    </row>
    <row r="1714" spans="1:6">
      <c r="A1714" s="32">
        <v>41277</v>
      </c>
      <c r="B1714">
        <v>74.5</v>
      </c>
      <c r="C1714">
        <v>76.25</v>
      </c>
      <c r="D1714">
        <v>74.5</v>
      </c>
      <c r="E1714">
        <v>75.25</v>
      </c>
      <c r="F1714">
        <v>1532700</v>
      </c>
    </row>
    <row r="1715" spans="1:6">
      <c r="A1715" s="32">
        <v>41276</v>
      </c>
      <c r="B1715">
        <v>74.25</v>
      </c>
      <c r="C1715">
        <v>75.25</v>
      </c>
      <c r="D1715">
        <v>74.25</v>
      </c>
      <c r="E1715">
        <v>74.25</v>
      </c>
      <c r="F1715">
        <v>420000</v>
      </c>
    </row>
    <row r="1716" spans="1:6">
      <c r="A1716" s="32">
        <v>41271</v>
      </c>
      <c r="B1716">
        <v>75.5</v>
      </c>
      <c r="C1716">
        <v>76</v>
      </c>
      <c r="D1716">
        <v>74</v>
      </c>
      <c r="E1716">
        <v>74</v>
      </c>
      <c r="F1716">
        <v>817500</v>
      </c>
    </row>
    <row r="1717" spans="1:6">
      <c r="A1717" s="32">
        <v>41270</v>
      </c>
      <c r="B1717">
        <v>74.75</v>
      </c>
      <c r="C1717">
        <v>75.5</v>
      </c>
      <c r="D1717">
        <v>74.25</v>
      </c>
      <c r="E1717">
        <v>75.5</v>
      </c>
      <c r="F1717">
        <v>1370700</v>
      </c>
    </row>
    <row r="1718" spans="1:6">
      <c r="A1718" s="32">
        <v>41269</v>
      </c>
      <c r="B1718">
        <v>74.25</v>
      </c>
      <c r="C1718">
        <v>74.75</v>
      </c>
      <c r="D1718">
        <v>74.25</v>
      </c>
      <c r="E1718">
        <v>74.75</v>
      </c>
      <c r="F1718">
        <v>281800</v>
      </c>
    </row>
    <row r="1719" spans="1:6">
      <c r="A1719" s="32">
        <v>41268</v>
      </c>
      <c r="B1719">
        <v>74.5</v>
      </c>
      <c r="C1719">
        <v>74.75</v>
      </c>
      <c r="D1719">
        <v>74.25</v>
      </c>
      <c r="E1719">
        <v>74.5</v>
      </c>
      <c r="F1719">
        <v>300500</v>
      </c>
    </row>
    <row r="1720" spans="1:6">
      <c r="A1720" s="32">
        <v>41267</v>
      </c>
      <c r="B1720">
        <v>73.75</v>
      </c>
      <c r="C1720">
        <v>74.5</v>
      </c>
      <c r="D1720">
        <v>73.75</v>
      </c>
      <c r="E1720">
        <v>74.5</v>
      </c>
      <c r="F1720">
        <v>317400</v>
      </c>
    </row>
    <row r="1721" spans="1:6">
      <c r="A1721" s="32">
        <v>41264</v>
      </c>
      <c r="B1721">
        <v>73.75</v>
      </c>
      <c r="C1721">
        <v>74.25</v>
      </c>
      <c r="D1721">
        <v>73.75</v>
      </c>
      <c r="E1721">
        <v>74</v>
      </c>
      <c r="F1721">
        <v>366800</v>
      </c>
    </row>
    <row r="1722" spans="1:6">
      <c r="A1722" s="32">
        <v>41263</v>
      </c>
      <c r="B1722">
        <v>74.5</v>
      </c>
      <c r="C1722">
        <v>74.5</v>
      </c>
      <c r="D1722">
        <v>74</v>
      </c>
      <c r="E1722">
        <v>74</v>
      </c>
      <c r="F1722">
        <v>515700</v>
      </c>
    </row>
    <row r="1723" spans="1:6">
      <c r="A1723" s="32">
        <v>41262</v>
      </c>
      <c r="B1723">
        <v>74.5</v>
      </c>
      <c r="C1723">
        <v>74.5</v>
      </c>
      <c r="D1723">
        <v>73.75</v>
      </c>
      <c r="E1723">
        <v>74.5</v>
      </c>
      <c r="F1723">
        <v>1177400</v>
      </c>
    </row>
    <row r="1724" spans="1:6">
      <c r="A1724" s="32">
        <v>41261</v>
      </c>
      <c r="B1724">
        <v>74</v>
      </c>
      <c r="C1724">
        <v>74.25</v>
      </c>
      <c r="D1724">
        <v>73.75</v>
      </c>
      <c r="E1724">
        <v>74.25</v>
      </c>
      <c r="F1724">
        <v>892700</v>
      </c>
    </row>
    <row r="1725" spans="1:6">
      <c r="A1725" s="32">
        <v>41260</v>
      </c>
      <c r="B1725">
        <v>74.25</v>
      </c>
      <c r="C1725">
        <v>74.75</v>
      </c>
      <c r="D1725">
        <v>74</v>
      </c>
      <c r="E1725">
        <v>74</v>
      </c>
      <c r="F1725">
        <v>562900</v>
      </c>
    </row>
    <row r="1726" spans="1:6">
      <c r="A1726" s="32">
        <v>41257</v>
      </c>
      <c r="B1726">
        <v>74.5</v>
      </c>
      <c r="C1726">
        <v>74.5</v>
      </c>
      <c r="D1726">
        <v>74</v>
      </c>
      <c r="E1726">
        <v>74.25</v>
      </c>
      <c r="F1726">
        <v>466700</v>
      </c>
    </row>
    <row r="1727" spans="1:6">
      <c r="A1727" s="32">
        <v>41256</v>
      </c>
      <c r="B1727">
        <v>74.5</v>
      </c>
      <c r="C1727">
        <v>74.5</v>
      </c>
      <c r="D1727">
        <v>74</v>
      </c>
      <c r="E1727">
        <v>74</v>
      </c>
      <c r="F1727">
        <v>548200</v>
      </c>
    </row>
    <row r="1728" spans="1:6">
      <c r="A1728" s="32">
        <v>41255</v>
      </c>
      <c r="B1728">
        <v>74.75</v>
      </c>
      <c r="C1728">
        <v>75</v>
      </c>
      <c r="D1728">
        <v>74</v>
      </c>
      <c r="E1728">
        <v>74</v>
      </c>
      <c r="F1728">
        <v>781100</v>
      </c>
    </row>
    <row r="1729" spans="1:6">
      <c r="A1729" s="32">
        <v>41254</v>
      </c>
      <c r="B1729">
        <v>74.5</v>
      </c>
      <c r="C1729">
        <v>75.25</v>
      </c>
      <c r="D1729">
        <v>74.5</v>
      </c>
      <c r="E1729">
        <v>74.5</v>
      </c>
      <c r="F1729">
        <v>838600</v>
      </c>
    </row>
    <row r="1730" spans="1:6">
      <c r="A1730" s="32">
        <v>41250</v>
      </c>
      <c r="B1730">
        <v>75.5</v>
      </c>
      <c r="C1730">
        <v>75.5</v>
      </c>
      <c r="D1730">
        <v>73.5</v>
      </c>
      <c r="E1730">
        <v>74</v>
      </c>
      <c r="F1730">
        <v>1388200</v>
      </c>
    </row>
    <row r="1731" spans="1:6">
      <c r="A1731" s="32">
        <v>41249</v>
      </c>
      <c r="B1731">
        <v>76</v>
      </c>
      <c r="C1731">
        <v>76.25</v>
      </c>
      <c r="D1731">
        <v>75.75</v>
      </c>
      <c r="E1731">
        <v>76</v>
      </c>
      <c r="F1731">
        <v>454700</v>
      </c>
    </row>
    <row r="1732" spans="1:6">
      <c r="A1732" s="32">
        <v>41247</v>
      </c>
      <c r="B1732">
        <v>76.25</v>
      </c>
      <c r="C1732">
        <v>76.25</v>
      </c>
      <c r="D1732">
        <v>75.25</v>
      </c>
      <c r="E1732">
        <v>75.75</v>
      </c>
      <c r="F1732">
        <v>614800</v>
      </c>
    </row>
    <row r="1733" spans="1:6">
      <c r="A1733" s="32">
        <v>41246</v>
      </c>
      <c r="B1733">
        <v>76</v>
      </c>
      <c r="C1733">
        <v>76.25</v>
      </c>
      <c r="D1733">
        <v>75.5</v>
      </c>
      <c r="E1733">
        <v>76.25</v>
      </c>
      <c r="F1733">
        <v>395400</v>
      </c>
    </row>
    <row r="1734" spans="1:6">
      <c r="A1734" s="32">
        <v>41243</v>
      </c>
      <c r="B1734">
        <v>75</v>
      </c>
      <c r="C1734">
        <v>76</v>
      </c>
      <c r="D1734">
        <v>74.5</v>
      </c>
      <c r="E1734">
        <v>75.25</v>
      </c>
      <c r="F1734">
        <v>915900</v>
      </c>
    </row>
    <row r="1735" spans="1:6">
      <c r="A1735" s="32">
        <v>41242</v>
      </c>
      <c r="B1735">
        <v>74.25</v>
      </c>
      <c r="C1735">
        <v>75</v>
      </c>
      <c r="D1735">
        <v>74.25</v>
      </c>
      <c r="E1735">
        <v>74.75</v>
      </c>
      <c r="F1735">
        <v>386800</v>
      </c>
    </row>
    <row r="1736" spans="1:6">
      <c r="A1736" s="32">
        <v>41241</v>
      </c>
      <c r="B1736">
        <v>74.75</v>
      </c>
      <c r="C1736">
        <v>75.25</v>
      </c>
      <c r="D1736">
        <v>74.25</v>
      </c>
      <c r="E1736">
        <v>74.25</v>
      </c>
      <c r="F1736">
        <v>303300</v>
      </c>
    </row>
    <row r="1737" spans="1:6">
      <c r="A1737" s="32">
        <v>41240</v>
      </c>
      <c r="B1737">
        <v>75</v>
      </c>
      <c r="C1737">
        <v>75</v>
      </c>
      <c r="D1737">
        <v>74.5</v>
      </c>
      <c r="E1737">
        <v>74.75</v>
      </c>
      <c r="F1737">
        <v>272300</v>
      </c>
    </row>
    <row r="1738" spans="1:6">
      <c r="A1738" s="32">
        <v>41239</v>
      </c>
      <c r="B1738">
        <v>75</v>
      </c>
      <c r="C1738">
        <v>75</v>
      </c>
      <c r="D1738">
        <v>74</v>
      </c>
      <c r="E1738">
        <v>74.5</v>
      </c>
      <c r="F1738">
        <v>248600</v>
      </c>
    </row>
    <row r="1739" spans="1:6">
      <c r="A1739" s="32">
        <v>41236</v>
      </c>
      <c r="B1739">
        <v>74</v>
      </c>
      <c r="C1739">
        <v>74.75</v>
      </c>
      <c r="D1739">
        <v>74</v>
      </c>
      <c r="E1739">
        <v>74</v>
      </c>
      <c r="F1739">
        <v>86500</v>
      </c>
    </row>
    <row r="1740" spans="1:6">
      <c r="A1740" s="32">
        <v>41235</v>
      </c>
      <c r="B1740">
        <v>73.75</v>
      </c>
      <c r="C1740">
        <v>74.5</v>
      </c>
      <c r="D1740">
        <v>73.75</v>
      </c>
      <c r="E1740">
        <v>74.25</v>
      </c>
      <c r="F1740">
        <v>196200</v>
      </c>
    </row>
    <row r="1741" spans="1:6">
      <c r="A1741" s="32">
        <v>41234</v>
      </c>
      <c r="B1741">
        <v>74</v>
      </c>
      <c r="C1741">
        <v>74.75</v>
      </c>
      <c r="D1741">
        <v>73.5</v>
      </c>
      <c r="E1741">
        <v>74.25</v>
      </c>
      <c r="F1741">
        <v>569500</v>
      </c>
    </row>
    <row r="1742" spans="1:6">
      <c r="A1742" s="32">
        <v>41233</v>
      </c>
      <c r="B1742">
        <v>75</v>
      </c>
      <c r="C1742">
        <v>75</v>
      </c>
      <c r="D1742">
        <v>73.75</v>
      </c>
      <c r="E1742">
        <v>74</v>
      </c>
      <c r="F1742">
        <v>256600</v>
      </c>
    </row>
    <row r="1743" spans="1:6">
      <c r="A1743" s="32">
        <v>41232</v>
      </c>
      <c r="B1743">
        <v>74.5</v>
      </c>
      <c r="C1743">
        <v>74.75</v>
      </c>
      <c r="D1743">
        <v>74</v>
      </c>
      <c r="E1743">
        <v>74.25</v>
      </c>
      <c r="F1743">
        <v>233600</v>
      </c>
    </row>
    <row r="1744" spans="1:6">
      <c r="A1744" s="32">
        <v>41229</v>
      </c>
      <c r="B1744">
        <v>73.75</v>
      </c>
      <c r="C1744">
        <v>74.75</v>
      </c>
      <c r="D1744">
        <v>73.75</v>
      </c>
      <c r="E1744">
        <v>74.5</v>
      </c>
      <c r="F1744">
        <v>208600</v>
      </c>
    </row>
    <row r="1745" spans="1:6">
      <c r="A1745" s="32">
        <v>41228</v>
      </c>
      <c r="B1745">
        <v>75</v>
      </c>
      <c r="C1745">
        <v>75</v>
      </c>
      <c r="D1745">
        <v>73.75</v>
      </c>
      <c r="E1745">
        <v>74.25</v>
      </c>
      <c r="F1745">
        <v>557700</v>
      </c>
    </row>
    <row r="1746" spans="1:6">
      <c r="A1746" s="32">
        <v>41227</v>
      </c>
      <c r="B1746">
        <v>75.25</v>
      </c>
      <c r="C1746">
        <v>75.75</v>
      </c>
      <c r="D1746">
        <v>75</v>
      </c>
      <c r="E1746">
        <v>75</v>
      </c>
      <c r="F1746">
        <v>273400</v>
      </c>
    </row>
    <row r="1747" spans="1:6">
      <c r="A1747" s="32">
        <v>41226</v>
      </c>
      <c r="B1747">
        <v>76</v>
      </c>
      <c r="C1747">
        <v>76</v>
      </c>
      <c r="D1747">
        <v>75.25</v>
      </c>
      <c r="E1747">
        <v>75.25</v>
      </c>
      <c r="F1747">
        <v>219100</v>
      </c>
    </row>
    <row r="1748" spans="1:6">
      <c r="A1748" s="32">
        <v>41225</v>
      </c>
      <c r="B1748">
        <v>75.75</v>
      </c>
      <c r="C1748">
        <v>76</v>
      </c>
      <c r="D1748">
        <v>75.5</v>
      </c>
      <c r="E1748">
        <v>75.5</v>
      </c>
      <c r="F1748">
        <v>233400</v>
      </c>
    </row>
    <row r="1749" spans="1:6">
      <c r="A1749" s="32">
        <v>41222</v>
      </c>
      <c r="B1749">
        <v>76</v>
      </c>
      <c r="C1749">
        <v>76.25</v>
      </c>
      <c r="D1749">
        <v>75.25</v>
      </c>
      <c r="E1749">
        <v>75.5</v>
      </c>
      <c r="F1749">
        <v>1081000</v>
      </c>
    </row>
    <row r="1750" spans="1:6">
      <c r="A1750" s="32">
        <v>41221</v>
      </c>
      <c r="B1750">
        <v>76.25</v>
      </c>
      <c r="C1750">
        <v>76.5</v>
      </c>
      <c r="D1750">
        <v>75.25</v>
      </c>
      <c r="E1750">
        <v>75.5</v>
      </c>
      <c r="F1750">
        <v>1125800</v>
      </c>
    </row>
    <row r="1751" spans="1:6">
      <c r="A1751" s="32">
        <v>41220</v>
      </c>
      <c r="B1751">
        <v>77</v>
      </c>
      <c r="C1751">
        <v>77.75</v>
      </c>
      <c r="D1751">
        <v>76.5</v>
      </c>
      <c r="E1751">
        <v>77.5</v>
      </c>
      <c r="F1751">
        <v>496500</v>
      </c>
    </row>
    <row r="1752" spans="1:6">
      <c r="A1752" s="32">
        <v>41219</v>
      </c>
      <c r="B1752">
        <v>77</v>
      </c>
      <c r="C1752">
        <v>78.5</v>
      </c>
      <c r="D1752">
        <v>77</v>
      </c>
      <c r="E1752">
        <v>77.5</v>
      </c>
      <c r="F1752">
        <v>937300</v>
      </c>
    </row>
    <row r="1753" spans="1:6">
      <c r="A1753" s="32">
        <v>41218</v>
      </c>
      <c r="B1753">
        <v>75.75</v>
      </c>
      <c r="C1753">
        <v>77.5</v>
      </c>
      <c r="D1753">
        <v>75.5</v>
      </c>
      <c r="E1753">
        <v>76.75</v>
      </c>
      <c r="F1753">
        <v>825400</v>
      </c>
    </row>
    <row r="1754" spans="1:6">
      <c r="A1754" s="32">
        <v>41215</v>
      </c>
      <c r="B1754">
        <v>75.5</v>
      </c>
      <c r="C1754">
        <v>76</v>
      </c>
      <c r="D1754">
        <v>75.5</v>
      </c>
      <c r="E1754">
        <v>75.5</v>
      </c>
      <c r="F1754">
        <v>239200</v>
      </c>
    </row>
    <row r="1755" spans="1:6">
      <c r="A1755" s="32">
        <v>41214</v>
      </c>
      <c r="B1755">
        <v>75.75</v>
      </c>
      <c r="C1755">
        <v>76.25</v>
      </c>
      <c r="D1755">
        <v>75.25</v>
      </c>
      <c r="E1755">
        <v>75.25</v>
      </c>
      <c r="F1755">
        <v>471900</v>
      </c>
    </row>
    <row r="1756" spans="1:6">
      <c r="A1756" s="32">
        <v>41213</v>
      </c>
      <c r="B1756">
        <v>76.25</v>
      </c>
      <c r="C1756">
        <v>76.25</v>
      </c>
      <c r="D1756">
        <v>75.25</v>
      </c>
      <c r="E1756">
        <v>75.75</v>
      </c>
      <c r="F1756">
        <v>518800</v>
      </c>
    </row>
    <row r="1757" spans="1:6">
      <c r="A1757" s="32">
        <v>41212</v>
      </c>
      <c r="B1757">
        <v>75</v>
      </c>
      <c r="C1757">
        <v>76</v>
      </c>
      <c r="D1757">
        <v>75</v>
      </c>
      <c r="E1757">
        <v>75.25</v>
      </c>
      <c r="F1757">
        <v>290700</v>
      </c>
    </row>
    <row r="1758" spans="1:6">
      <c r="A1758" s="32">
        <v>41211</v>
      </c>
      <c r="B1758">
        <v>76.5</v>
      </c>
      <c r="C1758">
        <v>77</v>
      </c>
      <c r="D1758">
        <v>75</v>
      </c>
      <c r="E1758">
        <v>75</v>
      </c>
      <c r="F1758">
        <v>543100</v>
      </c>
    </row>
    <row r="1759" spans="1:6">
      <c r="A1759" s="32">
        <v>41208</v>
      </c>
      <c r="B1759">
        <v>77.5</v>
      </c>
      <c r="C1759">
        <v>77.5</v>
      </c>
      <c r="D1759">
        <v>76.5</v>
      </c>
      <c r="E1759">
        <v>77</v>
      </c>
      <c r="F1759">
        <v>384400</v>
      </c>
    </row>
    <row r="1760" spans="1:6">
      <c r="A1760" s="32">
        <v>41207</v>
      </c>
      <c r="B1760">
        <v>77.25</v>
      </c>
      <c r="C1760">
        <v>78</v>
      </c>
      <c r="D1760">
        <v>77</v>
      </c>
      <c r="E1760">
        <v>78</v>
      </c>
      <c r="F1760">
        <v>568100</v>
      </c>
    </row>
    <row r="1761" spans="1:6">
      <c r="A1761" s="32">
        <v>41206</v>
      </c>
      <c r="B1761">
        <v>77</v>
      </c>
      <c r="C1761">
        <v>77.25</v>
      </c>
      <c r="D1761">
        <v>76.75</v>
      </c>
      <c r="E1761">
        <v>77</v>
      </c>
      <c r="F1761">
        <v>415600</v>
      </c>
    </row>
    <row r="1762" spans="1:6">
      <c r="A1762" s="32">
        <v>41204</v>
      </c>
      <c r="B1762">
        <v>77.75</v>
      </c>
      <c r="C1762">
        <v>77.75</v>
      </c>
      <c r="D1762">
        <v>77</v>
      </c>
      <c r="E1762">
        <v>77.25</v>
      </c>
      <c r="F1762">
        <v>840600</v>
      </c>
    </row>
    <row r="1763" spans="1:6">
      <c r="A1763" s="32">
        <v>41201</v>
      </c>
      <c r="B1763">
        <v>78</v>
      </c>
      <c r="C1763">
        <v>78.25</v>
      </c>
      <c r="D1763">
        <v>77.25</v>
      </c>
      <c r="E1763">
        <v>77.75</v>
      </c>
      <c r="F1763">
        <v>502100</v>
      </c>
    </row>
    <row r="1764" spans="1:6">
      <c r="A1764" s="32">
        <v>41200</v>
      </c>
      <c r="B1764">
        <v>78</v>
      </c>
      <c r="C1764">
        <v>78.75</v>
      </c>
      <c r="D1764">
        <v>77.75</v>
      </c>
      <c r="E1764">
        <v>78</v>
      </c>
      <c r="F1764">
        <v>588000</v>
      </c>
    </row>
    <row r="1765" spans="1:6">
      <c r="A1765" s="32">
        <v>41199</v>
      </c>
      <c r="B1765">
        <v>77</v>
      </c>
      <c r="C1765">
        <v>78.75</v>
      </c>
      <c r="D1765">
        <v>77</v>
      </c>
      <c r="E1765">
        <v>78</v>
      </c>
      <c r="F1765">
        <v>901200</v>
      </c>
    </row>
    <row r="1766" spans="1:6">
      <c r="A1766" s="32">
        <v>41198</v>
      </c>
      <c r="B1766">
        <v>78</v>
      </c>
      <c r="C1766">
        <v>78</v>
      </c>
      <c r="D1766">
        <v>77</v>
      </c>
      <c r="E1766">
        <v>77</v>
      </c>
      <c r="F1766">
        <v>1448500</v>
      </c>
    </row>
    <row r="1767" spans="1:6">
      <c r="A1767" s="32">
        <v>41197</v>
      </c>
      <c r="B1767">
        <v>78.5</v>
      </c>
      <c r="C1767">
        <v>78.75</v>
      </c>
      <c r="D1767">
        <v>78</v>
      </c>
      <c r="E1767">
        <v>78</v>
      </c>
      <c r="F1767">
        <v>825900</v>
      </c>
    </row>
    <row r="1768" spans="1:6">
      <c r="A1768" s="32">
        <v>41194</v>
      </c>
      <c r="B1768">
        <v>80</v>
      </c>
      <c r="C1768">
        <v>80</v>
      </c>
      <c r="D1768">
        <v>78</v>
      </c>
      <c r="E1768">
        <v>79.5</v>
      </c>
      <c r="F1768">
        <v>749700</v>
      </c>
    </row>
    <row r="1769" spans="1:6">
      <c r="A1769" s="32">
        <v>41193</v>
      </c>
      <c r="B1769">
        <v>79.75</v>
      </c>
      <c r="C1769">
        <v>80.75</v>
      </c>
      <c r="D1769">
        <v>79.75</v>
      </c>
      <c r="E1769">
        <v>80</v>
      </c>
      <c r="F1769">
        <v>754800</v>
      </c>
    </row>
    <row r="1770" spans="1:6">
      <c r="A1770" s="32">
        <v>41192</v>
      </c>
      <c r="B1770">
        <v>79.25</v>
      </c>
      <c r="C1770">
        <v>80.25</v>
      </c>
      <c r="D1770">
        <v>79.25</v>
      </c>
      <c r="E1770">
        <v>80.25</v>
      </c>
      <c r="F1770">
        <v>414500</v>
      </c>
    </row>
    <row r="1771" spans="1:6">
      <c r="A1771" s="32">
        <v>41191</v>
      </c>
      <c r="B1771">
        <v>81</v>
      </c>
      <c r="C1771">
        <v>81.25</v>
      </c>
      <c r="D1771">
        <v>80</v>
      </c>
      <c r="E1771">
        <v>80</v>
      </c>
      <c r="F1771">
        <v>1128500</v>
      </c>
    </row>
    <row r="1772" spans="1:6">
      <c r="A1772" s="32">
        <v>41190</v>
      </c>
      <c r="B1772">
        <v>80</v>
      </c>
      <c r="C1772">
        <v>82</v>
      </c>
      <c r="D1772">
        <v>80</v>
      </c>
      <c r="E1772">
        <v>80.75</v>
      </c>
      <c r="F1772">
        <v>1661400</v>
      </c>
    </row>
    <row r="1773" spans="1:6">
      <c r="A1773" s="32">
        <v>41187</v>
      </c>
      <c r="B1773">
        <v>80</v>
      </c>
      <c r="C1773">
        <v>80.5</v>
      </c>
      <c r="D1773">
        <v>79.5</v>
      </c>
      <c r="E1773">
        <v>80.5</v>
      </c>
      <c r="F1773">
        <v>620800</v>
      </c>
    </row>
    <row r="1774" spans="1:6">
      <c r="A1774" s="32">
        <v>41186</v>
      </c>
      <c r="B1774">
        <v>80.5</v>
      </c>
      <c r="C1774">
        <v>80.5</v>
      </c>
      <c r="D1774">
        <v>79.75</v>
      </c>
      <c r="E1774">
        <v>79.75</v>
      </c>
      <c r="F1774">
        <v>486300</v>
      </c>
    </row>
    <row r="1775" spans="1:6">
      <c r="A1775" s="32">
        <v>41185</v>
      </c>
      <c r="B1775">
        <v>80.5</v>
      </c>
      <c r="C1775">
        <v>80.75</v>
      </c>
      <c r="D1775">
        <v>80</v>
      </c>
      <c r="E1775">
        <v>80.25</v>
      </c>
      <c r="F1775">
        <v>728800</v>
      </c>
    </row>
    <row r="1776" spans="1:6">
      <c r="A1776" s="32">
        <v>41184</v>
      </c>
      <c r="B1776">
        <v>80.75</v>
      </c>
      <c r="C1776">
        <v>81.5</v>
      </c>
      <c r="D1776">
        <v>80.75</v>
      </c>
      <c r="E1776">
        <v>80.75</v>
      </c>
      <c r="F1776">
        <v>684400</v>
      </c>
    </row>
    <row r="1777" spans="1:6">
      <c r="A1777" s="32">
        <v>41183</v>
      </c>
      <c r="B1777">
        <v>81.5</v>
      </c>
      <c r="C1777">
        <v>81.75</v>
      </c>
      <c r="D1777">
        <v>80.5</v>
      </c>
      <c r="E1777">
        <v>80.75</v>
      </c>
      <c r="F1777">
        <v>529200</v>
      </c>
    </row>
    <row r="1778" spans="1:6">
      <c r="A1778" s="32">
        <v>41180</v>
      </c>
      <c r="B1778">
        <v>81.75</v>
      </c>
      <c r="C1778">
        <v>82</v>
      </c>
      <c r="D1778">
        <v>81</v>
      </c>
      <c r="E1778">
        <v>82</v>
      </c>
      <c r="F1778">
        <v>1423000</v>
      </c>
    </row>
    <row r="1779" spans="1:6">
      <c r="A1779" s="32">
        <v>41179</v>
      </c>
      <c r="B1779">
        <v>80.75</v>
      </c>
      <c r="C1779">
        <v>81.75</v>
      </c>
      <c r="D1779">
        <v>80.25</v>
      </c>
      <c r="E1779">
        <v>81.5</v>
      </c>
      <c r="F1779">
        <v>1657500</v>
      </c>
    </row>
    <row r="1780" spans="1:6">
      <c r="A1780" s="32">
        <v>41178</v>
      </c>
      <c r="B1780">
        <v>81.25</v>
      </c>
      <c r="C1780">
        <v>81.25</v>
      </c>
      <c r="D1780">
        <v>79.75</v>
      </c>
      <c r="E1780">
        <v>80.5</v>
      </c>
      <c r="F1780">
        <v>1476200</v>
      </c>
    </row>
    <row r="1781" spans="1:6">
      <c r="A1781" s="32">
        <v>41177</v>
      </c>
      <c r="B1781">
        <v>79</v>
      </c>
      <c r="C1781">
        <v>81.25</v>
      </c>
      <c r="D1781">
        <v>79</v>
      </c>
      <c r="E1781">
        <v>81.25</v>
      </c>
      <c r="F1781">
        <v>1798700</v>
      </c>
    </row>
    <row r="1782" spans="1:6">
      <c r="A1782" s="32">
        <v>41176</v>
      </c>
      <c r="B1782">
        <v>78.25</v>
      </c>
      <c r="C1782">
        <v>79</v>
      </c>
      <c r="D1782">
        <v>78.25</v>
      </c>
      <c r="E1782">
        <v>78.75</v>
      </c>
      <c r="F1782">
        <v>504100</v>
      </c>
    </row>
    <row r="1783" spans="1:6">
      <c r="A1783" s="32">
        <v>41173</v>
      </c>
      <c r="B1783">
        <v>79</v>
      </c>
      <c r="C1783">
        <v>79.25</v>
      </c>
      <c r="D1783">
        <v>78.25</v>
      </c>
      <c r="E1783">
        <v>78.75</v>
      </c>
      <c r="F1783">
        <v>1033500</v>
      </c>
    </row>
    <row r="1784" spans="1:6">
      <c r="A1784" s="32">
        <v>41172</v>
      </c>
      <c r="B1784">
        <v>80</v>
      </c>
      <c r="C1784">
        <v>80</v>
      </c>
      <c r="D1784">
        <v>79</v>
      </c>
      <c r="E1784">
        <v>79</v>
      </c>
      <c r="F1784">
        <v>611600</v>
      </c>
    </row>
    <row r="1785" spans="1:6">
      <c r="A1785" s="32">
        <v>41171</v>
      </c>
      <c r="B1785">
        <v>79.25</v>
      </c>
      <c r="C1785">
        <v>80</v>
      </c>
      <c r="D1785">
        <v>79.25</v>
      </c>
      <c r="E1785">
        <v>79.5</v>
      </c>
      <c r="F1785">
        <v>327900</v>
      </c>
    </row>
    <row r="1786" spans="1:6">
      <c r="A1786" s="32">
        <v>41170</v>
      </c>
      <c r="B1786">
        <v>79.25</v>
      </c>
      <c r="C1786">
        <v>80.75</v>
      </c>
      <c r="D1786">
        <v>79</v>
      </c>
      <c r="E1786">
        <v>79.25</v>
      </c>
      <c r="F1786">
        <v>873100</v>
      </c>
    </row>
    <row r="1787" spans="1:6">
      <c r="A1787" s="32">
        <v>41169</v>
      </c>
      <c r="B1787">
        <v>80.25</v>
      </c>
      <c r="C1787">
        <v>80.5</v>
      </c>
      <c r="D1787">
        <v>79.25</v>
      </c>
      <c r="E1787">
        <v>79.75</v>
      </c>
      <c r="F1787">
        <v>1055900</v>
      </c>
    </row>
    <row r="1788" spans="1:6">
      <c r="A1788" s="32">
        <v>41166</v>
      </c>
      <c r="B1788">
        <v>80.75</v>
      </c>
      <c r="C1788">
        <v>82</v>
      </c>
      <c r="D1788">
        <v>80.25</v>
      </c>
      <c r="E1788">
        <v>80.25</v>
      </c>
      <c r="F1788">
        <v>1522000</v>
      </c>
    </row>
    <row r="1789" spans="1:6">
      <c r="A1789" s="32">
        <v>41165</v>
      </c>
      <c r="B1789">
        <v>80.75</v>
      </c>
      <c r="C1789">
        <v>81.25</v>
      </c>
      <c r="D1789">
        <v>80</v>
      </c>
      <c r="E1789">
        <v>80.25</v>
      </c>
      <c r="F1789">
        <v>388500</v>
      </c>
    </row>
    <row r="1790" spans="1:6">
      <c r="A1790" s="32">
        <v>41164</v>
      </c>
      <c r="B1790">
        <v>81.25</v>
      </c>
      <c r="C1790">
        <v>81.5</v>
      </c>
      <c r="D1790">
        <v>80</v>
      </c>
      <c r="E1790">
        <v>80.75</v>
      </c>
      <c r="F1790">
        <v>483600</v>
      </c>
    </row>
    <row r="1791" spans="1:6">
      <c r="A1791" s="32">
        <v>41163</v>
      </c>
      <c r="B1791">
        <v>80.25</v>
      </c>
      <c r="C1791">
        <v>81</v>
      </c>
      <c r="D1791">
        <v>79.5</v>
      </c>
      <c r="E1791">
        <v>81</v>
      </c>
      <c r="F1791">
        <v>499900</v>
      </c>
    </row>
    <row r="1792" spans="1:6">
      <c r="A1792" s="32">
        <v>41162</v>
      </c>
      <c r="B1792">
        <v>80.75</v>
      </c>
      <c r="C1792">
        <v>82</v>
      </c>
      <c r="D1792">
        <v>80</v>
      </c>
      <c r="E1792">
        <v>80</v>
      </c>
      <c r="F1792">
        <v>825800</v>
      </c>
    </row>
    <row r="1793" spans="1:6">
      <c r="A1793" s="32">
        <v>41159</v>
      </c>
      <c r="B1793">
        <v>82.25</v>
      </c>
      <c r="C1793">
        <v>82.5</v>
      </c>
      <c r="D1793">
        <v>80.25</v>
      </c>
      <c r="E1793">
        <v>80.25</v>
      </c>
      <c r="F1793">
        <v>1170200</v>
      </c>
    </row>
    <row r="1794" spans="1:6">
      <c r="A1794" s="32">
        <v>41158</v>
      </c>
      <c r="B1794">
        <v>81.5</v>
      </c>
      <c r="C1794">
        <v>83</v>
      </c>
      <c r="D1794">
        <v>81.5</v>
      </c>
      <c r="E1794">
        <v>81.5</v>
      </c>
      <c r="F1794">
        <v>2484500</v>
      </c>
    </row>
    <row r="1795" spans="1:6">
      <c r="A1795" s="32">
        <v>41157</v>
      </c>
      <c r="B1795">
        <v>78</v>
      </c>
      <c r="C1795">
        <v>82.25</v>
      </c>
      <c r="D1795">
        <v>78</v>
      </c>
      <c r="E1795">
        <v>81.5</v>
      </c>
      <c r="F1795">
        <v>5554900</v>
      </c>
    </row>
    <row r="1796" spans="1:6">
      <c r="A1796" s="32">
        <v>41156</v>
      </c>
      <c r="B1796">
        <v>77</v>
      </c>
      <c r="C1796">
        <v>78.25</v>
      </c>
      <c r="D1796">
        <v>76.75</v>
      </c>
      <c r="E1796">
        <v>78</v>
      </c>
      <c r="F1796">
        <v>1208200</v>
      </c>
    </row>
    <row r="1797" spans="1:6">
      <c r="A1797" s="32">
        <v>41155</v>
      </c>
      <c r="B1797">
        <v>77.75</v>
      </c>
      <c r="C1797">
        <v>78</v>
      </c>
      <c r="D1797">
        <v>76.75</v>
      </c>
      <c r="E1797">
        <v>76.75</v>
      </c>
      <c r="F1797">
        <v>900800</v>
      </c>
    </row>
    <row r="1798" spans="1:6">
      <c r="A1798" s="32">
        <v>41152</v>
      </c>
      <c r="B1798">
        <v>75</v>
      </c>
      <c r="C1798">
        <v>78</v>
      </c>
      <c r="D1798">
        <v>74.5</v>
      </c>
      <c r="E1798">
        <v>78</v>
      </c>
      <c r="F1798">
        <v>1614000</v>
      </c>
    </row>
    <row r="1799" spans="1:6">
      <c r="A1799" s="32">
        <v>41151</v>
      </c>
      <c r="B1799">
        <v>75.75</v>
      </c>
      <c r="C1799">
        <v>76</v>
      </c>
      <c r="D1799">
        <v>74.25</v>
      </c>
      <c r="E1799">
        <v>75.25</v>
      </c>
      <c r="F1799">
        <v>1676900</v>
      </c>
    </row>
    <row r="1800" spans="1:6">
      <c r="A1800" s="32">
        <v>41150</v>
      </c>
      <c r="B1800">
        <v>77.25</v>
      </c>
      <c r="C1800">
        <v>78</v>
      </c>
      <c r="D1800">
        <v>76.25</v>
      </c>
      <c r="E1800">
        <v>76.5</v>
      </c>
      <c r="F1800">
        <v>1165400</v>
      </c>
    </row>
    <row r="1801" spans="1:6">
      <c r="A1801" s="32">
        <v>41149</v>
      </c>
      <c r="B1801">
        <v>77.25</v>
      </c>
      <c r="C1801">
        <v>77.75</v>
      </c>
      <c r="D1801">
        <v>77</v>
      </c>
      <c r="E1801">
        <v>77.25</v>
      </c>
      <c r="F1801">
        <v>385700</v>
      </c>
    </row>
    <row r="1802" spans="1:6">
      <c r="A1802" s="32">
        <v>41148</v>
      </c>
      <c r="B1802">
        <v>78.25</v>
      </c>
      <c r="C1802">
        <v>78.5</v>
      </c>
      <c r="D1802">
        <v>77.25</v>
      </c>
      <c r="E1802">
        <v>77.25</v>
      </c>
      <c r="F1802">
        <v>1384400</v>
      </c>
    </row>
    <row r="1803" spans="1:6">
      <c r="A1803" s="32">
        <v>41145</v>
      </c>
      <c r="B1803">
        <v>75.25</v>
      </c>
      <c r="C1803">
        <v>78</v>
      </c>
      <c r="D1803">
        <v>75.25</v>
      </c>
      <c r="E1803">
        <v>78</v>
      </c>
      <c r="F1803">
        <v>2327100</v>
      </c>
    </row>
    <row r="1804" spans="1:6">
      <c r="A1804" s="32">
        <v>41144</v>
      </c>
      <c r="B1804">
        <v>76</v>
      </c>
      <c r="C1804">
        <v>76.25</v>
      </c>
      <c r="D1804">
        <v>75.75</v>
      </c>
      <c r="E1804">
        <v>76</v>
      </c>
      <c r="F1804">
        <v>636100</v>
      </c>
    </row>
    <row r="1805" spans="1:6">
      <c r="A1805" s="32">
        <v>41143</v>
      </c>
      <c r="B1805">
        <v>76.25</v>
      </c>
      <c r="C1805">
        <v>76.75</v>
      </c>
      <c r="D1805">
        <v>75.75</v>
      </c>
      <c r="E1805">
        <v>76.25</v>
      </c>
      <c r="F1805">
        <v>692400</v>
      </c>
    </row>
    <row r="1806" spans="1:6">
      <c r="A1806" s="32">
        <v>41142</v>
      </c>
      <c r="B1806">
        <v>76.5</v>
      </c>
      <c r="C1806">
        <v>77</v>
      </c>
      <c r="D1806">
        <v>76</v>
      </c>
      <c r="E1806">
        <v>76.5</v>
      </c>
      <c r="F1806">
        <v>976400</v>
      </c>
    </row>
    <row r="1807" spans="1:6">
      <c r="A1807" s="32">
        <v>41141</v>
      </c>
      <c r="B1807">
        <v>76.25</v>
      </c>
      <c r="C1807">
        <v>76.5</v>
      </c>
      <c r="D1807">
        <v>76</v>
      </c>
      <c r="E1807">
        <v>76.25</v>
      </c>
      <c r="F1807">
        <v>307700</v>
      </c>
    </row>
    <row r="1808" spans="1:6">
      <c r="A1808" s="32">
        <v>41138</v>
      </c>
      <c r="B1808">
        <v>76</v>
      </c>
      <c r="C1808">
        <v>76.25</v>
      </c>
      <c r="D1808">
        <v>75.25</v>
      </c>
      <c r="E1808">
        <v>76.25</v>
      </c>
      <c r="F1808">
        <v>1004300</v>
      </c>
    </row>
    <row r="1809" spans="1:6">
      <c r="A1809" s="32">
        <v>41137</v>
      </c>
      <c r="B1809">
        <v>76.25</v>
      </c>
      <c r="C1809">
        <v>76.75</v>
      </c>
      <c r="D1809">
        <v>75.25</v>
      </c>
      <c r="E1809">
        <v>75.5</v>
      </c>
      <c r="F1809">
        <v>1997500</v>
      </c>
    </row>
    <row r="1810" spans="1:6">
      <c r="A1810" s="32">
        <v>41136</v>
      </c>
      <c r="B1810">
        <v>75.25</v>
      </c>
      <c r="C1810">
        <v>75.75</v>
      </c>
      <c r="D1810">
        <v>75</v>
      </c>
      <c r="E1810">
        <v>75.75</v>
      </c>
      <c r="F1810">
        <v>1654000</v>
      </c>
    </row>
    <row r="1811" spans="1:6">
      <c r="A1811" s="32">
        <v>41135</v>
      </c>
      <c r="B1811">
        <v>77</v>
      </c>
      <c r="C1811">
        <v>77.25</v>
      </c>
      <c r="D1811">
        <v>75.5</v>
      </c>
      <c r="E1811">
        <v>75.75</v>
      </c>
      <c r="F1811">
        <v>1314100</v>
      </c>
    </row>
    <row r="1812" spans="1:6">
      <c r="A1812" s="32">
        <v>41131</v>
      </c>
      <c r="B1812">
        <v>78.5</v>
      </c>
      <c r="C1812">
        <v>78.5</v>
      </c>
      <c r="D1812">
        <v>77.5</v>
      </c>
      <c r="E1812">
        <v>77.5</v>
      </c>
      <c r="F1812">
        <v>673000</v>
      </c>
    </row>
    <row r="1813" spans="1:6">
      <c r="A1813" s="32">
        <v>41130</v>
      </c>
      <c r="B1813">
        <v>77.75</v>
      </c>
      <c r="C1813">
        <v>78.5</v>
      </c>
      <c r="D1813">
        <v>77</v>
      </c>
      <c r="E1813">
        <v>78</v>
      </c>
      <c r="F1813">
        <v>1050400</v>
      </c>
    </row>
    <row r="1814" spans="1:6">
      <c r="A1814" s="32">
        <v>41129</v>
      </c>
      <c r="B1814">
        <v>78</v>
      </c>
      <c r="C1814">
        <v>78.5</v>
      </c>
      <c r="D1814">
        <v>77</v>
      </c>
      <c r="E1814">
        <v>77</v>
      </c>
      <c r="F1814">
        <v>1112700</v>
      </c>
    </row>
    <row r="1815" spans="1:6">
      <c r="A1815" s="32">
        <v>41128</v>
      </c>
      <c r="B1815">
        <v>77.75</v>
      </c>
      <c r="C1815">
        <v>79</v>
      </c>
      <c r="D1815">
        <v>77.75</v>
      </c>
      <c r="E1815">
        <v>77.75</v>
      </c>
      <c r="F1815">
        <v>1183500</v>
      </c>
    </row>
    <row r="1816" spans="1:6">
      <c r="A1816" s="32">
        <v>41127</v>
      </c>
      <c r="B1816">
        <v>79</v>
      </c>
      <c r="C1816">
        <v>79.25</v>
      </c>
      <c r="D1816">
        <v>77.5</v>
      </c>
      <c r="E1816">
        <v>78</v>
      </c>
      <c r="F1816">
        <v>699200</v>
      </c>
    </row>
    <row r="1817" spans="1:6">
      <c r="A1817" s="32">
        <v>41124</v>
      </c>
      <c r="B1817">
        <v>77.75</v>
      </c>
      <c r="C1817">
        <v>78.5</v>
      </c>
      <c r="D1817">
        <v>77.25</v>
      </c>
      <c r="E1817">
        <v>78.5</v>
      </c>
      <c r="F1817">
        <v>1244600</v>
      </c>
    </row>
    <row r="1818" spans="1:6">
      <c r="A1818" s="32">
        <v>41122</v>
      </c>
      <c r="B1818">
        <v>75</v>
      </c>
      <c r="C1818">
        <v>78.5</v>
      </c>
      <c r="D1818">
        <v>75</v>
      </c>
      <c r="E1818">
        <v>78.25</v>
      </c>
      <c r="F1818">
        <v>1797900</v>
      </c>
    </row>
    <row r="1819" spans="1:6">
      <c r="A1819" s="32">
        <v>41121</v>
      </c>
      <c r="B1819">
        <v>75.75</v>
      </c>
      <c r="C1819">
        <v>77</v>
      </c>
      <c r="D1819">
        <v>75</v>
      </c>
      <c r="E1819">
        <v>76</v>
      </c>
      <c r="F1819">
        <v>1092500</v>
      </c>
    </row>
    <row r="1820" spans="1:6">
      <c r="A1820" s="32">
        <v>41120</v>
      </c>
      <c r="B1820">
        <v>74.5</v>
      </c>
      <c r="C1820">
        <v>75.5</v>
      </c>
      <c r="D1820">
        <v>74.5</v>
      </c>
      <c r="E1820">
        <v>75</v>
      </c>
      <c r="F1820">
        <v>648200</v>
      </c>
    </row>
    <row r="1821" spans="1:6">
      <c r="A1821" s="32">
        <v>41117</v>
      </c>
      <c r="B1821">
        <v>76</v>
      </c>
      <c r="C1821">
        <v>77</v>
      </c>
      <c r="D1821">
        <v>73.5</v>
      </c>
      <c r="E1821">
        <v>74</v>
      </c>
      <c r="F1821">
        <v>1860900</v>
      </c>
    </row>
    <row r="1822" spans="1:6">
      <c r="A1822" s="32">
        <v>41116</v>
      </c>
      <c r="B1822">
        <v>78.25</v>
      </c>
      <c r="C1822">
        <v>78.25</v>
      </c>
      <c r="D1822">
        <v>75</v>
      </c>
      <c r="E1822">
        <v>75</v>
      </c>
      <c r="F1822">
        <v>1530100</v>
      </c>
    </row>
    <row r="1823" spans="1:6">
      <c r="A1823" s="32">
        <v>41115</v>
      </c>
      <c r="B1823">
        <v>79.5</v>
      </c>
      <c r="C1823">
        <v>80.5</v>
      </c>
      <c r="D1823">
        <v>77.5</v>
      </c>
      <c r="E1823">
        <v>78</v>
      </c>
      <c r="F1823">
        <v>2151000</v>
      </c>
    </row>
    <row r="1824" spans="1:6">
      <c r="A1824" s="32">
        <v>41114</v>
      </c>
      <c r="B1824">
        <v>75</v>
      </c>
      <c r="C1824">
        <v>79</v>
      </c>
      <c r="D1824">
        <v>75</v>
      </c>
      <c r="E1824">
        <v>78.75</v>
      </c>
      <c r="F1824">
        <v>1707400</v>
      </c>
    </row>
    <row r="1825" spans="1:6">
      <c r="A1825" s="32">
        <v>41113</v>
      </c>
      <c r="B1825">
        <v>74.25</v>
      </c>
      <c r="C1825">
        <v>76.5</v>
      </c>
      <c r="D1825">
        <v>73.75</v>
      </c>
      <c r="E1825">
        <v>75</v>
      </c>
      <c r="F1825">
        <v>1492500</v>
      </c>
    </row>
    <row r="1826" spans="1:6">
      <c r="A1826" s="32">
        <v>41110</v>
      </c>
      <c r="B1826">
        <v>77.5</v>
      </c>
      <c r="C1826">
        <v>77.75</v>
      </c>
      <c r="D1826">
        <v>74.25</v>
      </c>
      <c r="E1826">
        <v>75.25</v>
      </c>
      <c r="F1826">
        <v>917700</v>
      </c>
    </row>
    <row r="1827" spans="1:6">
      <c r="A1827" s="32">
        <v>41109</v>
      </c>
      <c r="B1827">
        <v>77.5</v>
      </c>
      <c r="C1827">
        <v>78.25</v>
      </c>
      <c r="D1827">
        <v>77</v>
      </c>
      <c r="E1827">
        <v>77</v>
      </c>
      <c r="F1827">
        <v>920400</v>
      </c>
    </row>
    <row r="1828" spans="1:6">
      <c r="A1828" s="32">
        <v>41108</v>
      </c>
      <c r="B1828">
        <v>79</v>
      </c>
      <c r="C1828">
        <v>79.25</v>
      </c>
      <c r="D1828">
        <v>76.5</v>
      </c>
      <c r="E1828">
        <v>77.25</v>
      </c>
      <c r="F1828">
        <v>2665500</v>
      </c>
    </row>
    <row r="1829" spans="1:6">
      <c r="A1829" s="32">
        <v>41107</v>
      </c>
      <c r="B1829">
        <v>79.75</v>
      </c>
      <c r="C1829">
        <v>80</v>
      </c>
      <c r="D1829">
        <v>78.25</v>
      </c>
      <c r="E1829">
        <v>79</v>
      </c>
      <c r="F1829">
        <v>732900</v>
      </c>
    </row>
    <row r="1830" spans="1:6">
      <c r="A1830" s="32">
        <v>41106</v>
      </c>
      <c r="B1830">
        <v>79.5</v>
      </c>
      <c r="C1830">
        <v>79.5</v>
      </c>
      <c r="D1830">
        <v>78.25</v>
      </c>
      <c r="E1830">
        <v>79.5</v>
      </c>
      <c r="F1830">
        <v>1234900</v>
      </c>
    </row>
    <row r="1831" spans="1:6">
      <c r="A1831" s="32">
        <v>41103</v>
      </c>
      <c r="B1831">
        <v>78.5</v>
      </c>
      <c r="C1831">
        <v>79.5</v>
      </c>
      <c r="D1831">
        <v>78</v>
      </c>
      <c r="E1831">
        <v>79</v>
      </c>
      <c r="F1831">
        <v>1151600</v>
      </c>
    </row>
    <row r="1832" spans="1:6">
      <c r="A1832" s="32">
        <v>41102</v>
      </c>
      <c r="B1832">
        <v>81.25</v>
      </c>
      <c r="C1832">
        <v>81.25</v>
      </c>
      <c r="D1832">
        <v>78.5</v>
      </c>
      <c r="E1832">
        <v>78.75</v>
      </c>
      <c r="F1832">
        <v>1489000</v>
      </c>
    </row>
    <row r="1833" spans="1:6">
      <c r="A1833" s="32">
        <v>41101</v>
      </c>
      <c r="B1833">
        <v>79.25</v>
      </c>
      <c r="C1833">
        <v>82</v>
      </c>
      <c r="D1833">
        <v>79</v>
      </c>
      <c r="E1833">
        <v>81.25</v>
      </c>
      <c r="F1833">
        <v>3588000</v>
      </c>
    </row>
    <row r="1834" spans="1:6">
      <c r="A1834" s="32">
        <v>41100</v>
      </c>
      <c r="B1834">
        <v>83</v>
      </c>
      <c r="C1834">
        <v>83.25</v>
      </c>
      <c r="D1834">
        <v>78</v>
      </c>
      <c r="E1834">
        <v>79.5</v>
      </c>
      <c r="F1834">
        <v>4055500</v>
      </c>
    </row>
    <row r="1835" spans="1:6">
      <c r="A1835" s="32">
        <v>41099</v>
      </c>
      <c r="B1835">
        <v>80.5</v>
      </c>
      <c r="C1835">
        <v>82.5</v>
      </c>
      <c r="D1835">
        <v>80.25</v>
      </c>
      <c r="E1835">
        <v>82</v>
      </c>
      <c r="F1835">
        <v>1994900</v>
      </c>
    </row>
    <row r="1836" spans="1:6">
      <c r="A1836" s="32">
        <v>41096</v>
      </c>
      <c r="B1836">
        <v>78</v>
      </c>
      <c r="C1836">
        <v>85.5</v>
      </c>
      <c r="D1836">
        <v>78</v>
      </c>
      <c r="E1836">
        <v>81.25</v>
      </c>
      <c r="F1836">
        <v>6048200</v>
      </c>
    </row>
    <row r="1837" spans="1:6">
      <c r="A1837" s="32">
        <v>41095</v>
      </c>
      <c r="B1837">
        <v>72.5</v>
      </c>
      <c r="C1837">
        <v>75.75</v>
      </c>
      <c r="D1837">
        <v>72.25</v>
      </c>
      <c r="E1837">
        <v>75.25</v>
      </c>
      <c r="F1837">
        <v>2600800</v>
      </c>
    </row>
    <row r="1838" spans="1:6">
      <c r="A1838" s="32">
        <v>41094</v>
      </c>
      <c r="B1838">
        <v>73</v>
      </c>
      <c r="C1838">
        <v>73.25</v>
      </c>
      <c r="D1838">
        <v>71.75</v>
      </c>
      <c r="E1838">
        <v>72</v>
      </c>
      <c r="F1838">
        <v>501700</v>
      </c>
    </row>
    <row r="1839" spans="1:6">
      <c r="A1839" s="32">
        <v>41093</v>
      </c>
      <c r="B1839">
        <v>72.5</v>
      </c>
      <c r="C1839">
        <v>73.25</v>
      </c>
      <c r="D1839">
        <v>72.25</v>
      </c>
      <c r="E1839">
        <v>72.75</v>
      </c>
      <c r="F1839">
        <v>649300</v>
      </c>
    </row>
    <row r="1840" spans="1:6">
      <c r="A1840" s="32">
        <v>41092</v>
      </c>
      <c r="B1840">
        <v>70</v>
      </c>
      <c r="C1840">
        <v>72.5</v>
      </c>
      <c r="D1840">
        <v>70</v>
      </c>
      <c r="E1840">
        <v>72</v>
      </c>
      <c r="F1840">
        <v>967300</v>
      </c>
    </row>
    <row r="1841" spans="1:6">
      <c r="A1841" s="32">
        <v>41089</v>
      </c>
      <c r="B1841">
        <v>72.5</v>
      </c>
      <c r="C1841">
        <v>73.25</v>
      </c>
      <c r="D1841">
        <v>70</v>
      </c>
      <c r="E1841">
        <v>70</v>
      </c>
      <c r="F1841">
        <v>1398000</v>
      </c>
    </row>
    <row r="1842" spans="1:6">
      <c r="A1842" s="32">
        <v>41088</v>
      </c>
      <c r="B1842">
        <v>73.25</v>
      </c>
      <c r="C1842">
        <v>76.25</v>
      </c>
      <c r="D1842">
        <v>71.75</v>
      </c>
      <c r="E1842">
        <v>71.75</v>
      </c>
      <c r="F1842">
        <v>2900000</v>
      </c>
    </row>
    <row r="1843" spans="1:6">
      <c r="A1843" s="32">
        <v>41087</v>
      </c>
      <c r="B1843">
        <v>71.5</v>
      </c>
      <c r="C1843">
        <v>74</v>
      </c>
      <c r="D1843">
        <v>71.5</v>
      </c>
      <c r="E1843">
        <v>73.75</v>
      </c>
      <c r="F1843">
        <v>2564600</v>
      </c>
    </row>
    <row r="1844" spans="1:6">
      <c r="A1844" s="32">
        <v>41086</v>
      </c>
      <c r="B1844">
        <v>68.5</v>
      </c>
      <c r="C1844">
        <v>71.5</v>
      </c>
      <c r="D1844">
        <v>68.25</v>
      </c>
      <c r="E1844">
        <v>70.5</v>
      </c>
      <c r="F1844">
        <v>2374700</v>
      </c>
    </row>
    <row r="1845" spans="1:6">
      <c r="A1845" s="32">
        <v>41085</v>
      </c>
      <c r="B1845">
        <v>66</v>
      </c>
      <c r="C1845">
        <v>69.5</v>
      </c>
      <c r="D1845">
        <v>66</v>
      </c>
      <c r="E1845">
        <v>68.75</v>
      </c>
      <c r="F1845">
        <v>3207900</v>
      </c>
    </row>
    <row r="1846" spans="1:6">
      <c r="A1846" s="32">
        <v>41082</v>
      </c>
      <c r="B1846">
        <v>64.75</v>
      </c>
      <c r="C1846">
        <v>65.25</v>
      </c>
      <c r="D1846">
        <v>63.5</v>
      </c>
      <c r="E1846">
        <v>65.25</v>
      </c>
      <c r="F1846">
        <v>860600</v>
      </c>
    </row>
    <row r="1847" spans="1:6">
      <c r="A1847" s="32">
        <v>41081</v>
      </c>
      <c r="B1847">
        <v>64</v>
      </c>
      <c r="C1847">
        <v>64.5</v>
      </c>
      <c r="D1847">
        <v>63</v>
      </c>
      <c r="E1847">
        <v>64.5</v>
      </c>
      <c r="F1847">
        <v>831600</v>
      </c>
    </row>
    <row r="1848" spans="1:6">
      <c r="A1848" s="32">
        <v>41080</v>
      </c>
      <c r="B1848">
        <v>63.75</v>
      </c>
      <c r="C1848">
        <v>64.75</v>
      </c>
      <c r="D1848">
        <v>63</v>
      </c>
      <c r="E1848">
        <v>64.5</v>
      </c>
      <c r="F1848">
        <v>1153700</v>
      </c>
    </row>
    <row r="1849" spans="1:6">
      <c r="A1849" s="32">
        <v>41079</v>
      </c>
      <c r="B1849">
        <v>61.25</v>
      </c>
      <c r="C1849">
        <v>63.5</v>
      </c>
      <c r="D1849">
        <v>61</v>
      </c>
      <c r="E1849">
        <v>63.25</v>
      </c>
      <c r="F1849">
        <v>1688300</v>
      </c>
    </row>
    <row r="1850" spans="1:6">
      <c r="A1850" s="32">
        <v>41078</v>
      </c>
      <c r="B1850">
        <v>61</v>
      </c>
      <c r="C1850">
        <v>61.25</v>
      </c>
      <c r="D1850">
        <v>60</v>
      </c>
      <c r="E1850">
        <v>60.25</v>
      </c>
      <c r="F1850">
        <v>638400</v>
      </c>
    </row>
    <row r="1851" spans="1:6">
      <c r="A1851" s="32">
        <v>41075</v>
      </c>
      <c r="B1851">
        <v>60.75</v>
      </c>
      <c r="C1851">
        <v>61</v>
      </c>
      <c r="D1851">
        <v>60.25</v>
      </c>
      <c r="E1851">
        <v>60.5</v>
      </c>
      <c r="F1851">
        <v>785400</v>
      </c>
    </row>
    <row r="1852" spans="1:6">
      <c r="A1852" s="32">
        <v>41074</v>
      </c>
      <c r="B1852">
        <v>60.75</v>
      </c>
      <c r="C1852">
        <v>61.75</v>
      </c>
      <c r="D1852">
        <v>60.5</v>
      </c>
      <c r="E1852">
        <v>60.75</v>
      </c>
      <c r="F1852">
        <v>483400</v>
      </c>
    </row>
    <row r="1853" spans="1:6">
      <c r="A1853" s="32">
        <v>41073</v>
      </c>
      <c r="B1853">
        <v>61.75</v>
      </c>
      <c r="C1853">
        <v>62.25</v>
      </c>
      <c r="D1853">
        <v>61</v>
      </c>
      <c r="E1853">
        <v>61.5</v>
      </c>
      <c r="F1853">
        <v>406400</v>
      </c>
    </row>
    <row r="1854" spans="1:6">
      <c r="A1854" s="32">
        <v>41072</v>
      </c>
      <c r="B1854">
        <v>60.75</v>
      </c>
      <c r="C1854">
        <v>62</v>
      </c>
      <c r="D1854">
        <v>60.5</v>
      </c>
      <c r="E1854">
        <v>61.5</v>
      </c>
      <c r="F1854">
        <v>680900</v>
      </c>
    </row>
    <row r="1855" spans="1:6">
      <c r="A1855" s="32">
        <v>41071</v>
      </c>
      <c r="B1855">
        <v>60.25</v>
      </c>
      <c r="C1855">
        <v>61.75</v>
      </c>
      <c r="D1855">
        <v>60.25</v>
      </c>
      <c r="E1855">
        <v>61</v>
      </c>
      <c r="F1855">
        <v>574800</v>
      </c>
    </row>
    <row r="1856" spans="1:6">
      <c r="A1856" s="32">
        <v>41068</v>
      </c>
      <c r="B1856">
        <v>60.5</v>
      </c>
      <c r="C1856">
        <v>60.5</v>
      </c>
      <c r="D1856">
        <v>59.75</v>
      </c>
      <c r="E1856">
        <v>59.75</v>
      </c>
      <c r="F1856">
        <v>821100</v>
      </c>
    </row>
    <row r="1857" spans="1:6">
      <c r="A1857" s="32">
        <v>41067</v>
      </c>
      <c r="B1857">
        <v>61</v>
      </c>
      <c r="C1857">
        <v>61.25</v>
      </c>
      <c r="D1857">
        <v>60.5</v>
      </c>
      <c r="E1857">
        <v>60.5</v>
      </c>
      <c r="F1857">
        <v>1040000</v>
      </c>
    </row>
    <row r="1858" spans="1:6">
      <c r="A1858" s="32">
        <v>41066</v>
      </c>
      <c r="B1858">
        <v>61.25</v>
      </c>
      <c r="C1858">
        <v>61.25</v>
      </c>
      <c r="D1858">
        <v>60.5</v>
      </c>
      <c r="E1858">
        <v>60.5</v>
      </c>
      <c r="F1858">
        <v>896900</v>
      </c>
    </row>
    <row r="1859" spans="1:6">
      <c r="A1859" s="32">
        <v>41065</v>
      </c>
      <c r="B1859">
        <v>62.5</v>
      </c>
      <c r="C1859">
        <v>62.5</v>
      </c>
      <c r="D1859">
        <v>59.25</v>
      </c>
      <c r="E1859">
        <v>61</v>
      </c>
      <c r="F1859">
        <v>1634800</v>
      </c>
    </row>
    <row r="1860" spans="1:6">
      <c r="A1860" s="32">
        <v>41061</v>
      </c>
      <c r="B1860">
        <v>62.75</v>
      </c>
      <c r="C1860">
        <v>63.25</v>
      </c>
      <c r="D1860">
        <v>62.5</v>
      </c>
      <c r="E1860">
        <v>62.75</v>
      </c>
      <c r="F1860">
        <v>626700</v>
      </c>
    </row>
    <row r="1861" spans="1:6">
      <c r="A1861" s="32">
        <v>41060</v>
      </c>
      <c r="B1861">
        <v>62.75</v>
      </c>
      <c r="C1861">
        <v>65</v>
      </c>
      <c r="D1861">
        <v>62.75</v>
      </c>
      <c r="E1861">
        <v>63</v>
      </c>
      <c r="F1861">
        <v>1217900</v>
      </c>
    </row>
    <row r="1862" spans="1:6">
      <c r="A1862" s="32">
        <v>41059</v>
      </c>
      <c r="B1862">
        <v>64</v>
      </c>
      <c r="C1862">
        <v>64.25</v>
      </c>
      <c r="D1862">
        <v>63</v>
      </c>
      <c r="E1862">
        <v>63</v>
      </c>
      <c r="F1862">
        <v>615500</v>
      </c>
    </row>
    <row r="1863" spans="1:6">
      <c r="A1863" s="32">
        <v>41058</v>
      </c>
      <c r="B1863">
        <v>64</v>
      </c>
      <c r="C1863">
        <v>64.5</v>
      </c>
      <c r="D1863">
        <v>64</v>
      </c>
      <c r="E1863">
        <v>64</v>
      </c>
      <c r="F1863">
        <v>313100</v>
      </c>
    </row>
    <row r="1864" spans="1:6">
      <c r="A1864" s="32">
        <v>41057</v>
      </c>
      <c r="B1864">
        <v>62.75</v>
      </c>
      <c r="C1864">
        <v>64.5</v>
      </c>
      <c r="D1864">
        <v>62.5</v>
      </c>
      <c r="E1864">
        <v>63.5</v>
      </c>
      <c r="F1864">
        <v>980200</v>
      </c>
    </row>
    <row r="1865" spans="1:6">
      <c r="A1865" s="32">
        <v>41054</v>
      </c>
      <c r="B1865">
        <v>62.5</v>
      </c>
      <c r="C1865">
        <v>63.5</v>
      </c>
      <c r="D1865">
        <v>62.5</v>
      </c>
      <c r="E1865">
        <v>63.25</v>
      </c>
      <c r="F1865">
        <v>139500</v>
      </c>
    </row>
    <row r="1866" spans="1:6">
      <c r="A1866" s="32">
        <v>41053</v>
      </c>
      <c r="B1866">
        <v>62.5</v>
      </c>
      <c r="C1866">
        <v>63.25</v>
      </c>
      <c r="D1866">
        <v>61.75</v>
      </c>
      <c r="E1866">
        <v>63</v>
      </c>
      <c r="F1866">
        <v>370800</v>
      </c>
    </row>
    <row r="1867" spans="1:6">
      <c r="A1867" s="32">
        <v>41052</v>
      </c>
      <c r="B1867">
        <v>63</v>
      </c>
      <c r="C1867">
        <v>63</v>
      </c>
      <c r="D1867">
        <v>61.5</v>
      </c>
      <c r="E1867">
        <v>61.5</v>
      </c>
      <c r="F1867">
        <v>274700</v>
      </c>
    </row>
    <row r="1868" spans="1:6">
      <c r="A1868" s="32">
        <v>41051</v>
      </c>
      <c r="B1868">
        <v>64.75</v>
      </c>
      <c r="C1868">
        <v>65</v>
      </c>
      <c r="D1868">
        <v>62.75</v>
      </c>
      <c r="E1868">
        <v>62.75</v>
      </c>
      <c r="F1868">
        <v>720500</v>
      </c>
    </row>
    <row r="1869" spans="1:6">
      <c r="A1869" s="32">
        <v>41050</v>
      </c>
      <c r="B1869">
        <v>65.5</v>
      </c>
      <c r="C1869">
        <v>66</v>
      </c>
      <c r="D1869">
        <v>63.75</v>
      </c>
      <c r="E1869">
        <v>64.5</v>
      </c>
      <c r="F1869">
        <v>1508500</v>
      </c>
    </row>
    <row r="1870" spans="1:6">
      <c r="A1870" s="32">
        <v>41047</v>
      </c>
      <c r="B1870">
        <v>61.5</v>
      </c>
      <c r="C1870">
        <v>64</v>
      </c>
      <c r="D1870">
        <v>61.5</v>
      </c>
      <c r="E1870">
        <v>64</v>
      </c>
      <c r="F1870">
        <v>3480800</v>
      </c>
    </row>
    <row r="1871" spans="1:6">
      <c r="A1871" s="32">
        <v>41046</v>
      </c>
      <c r="B1871">
        <v>61.5</v>
      </c>
      <c r="C1871">
        <v>61.5</v>
      </c>
      <c r="D1871">
        <v>60.75</v>
      </c>
      <c r="E1871">
        <v>61.25</v>
      </c>
      <c r="F1871">
        <v>532200</v>
      </c>
    </row>
    <row r="1872" spans="1:6">
      <c r="A1872" s="32">
        <v>41045</v>
      </c>
      <c r="B1872">
        <v>60</v>
      </c>
      <c r="C1872">
        <v>61.25</v>
      </c>
      <c r="D1872">
        <v>60</v>
      </c>
      <c r="E1872">
        <v>61.25</v>
      </c>
      <c r="F1872">
        <v>2715400</v>
      </c>
    </row>
    <row r="1873" spans="1:6">
      <c r="A1873" s="32">
        <v>41044</v>
      </c>
      <c r="B1873">
        <v>60.75</v>
      </c>
      <c r="C1873">
        <v>61.5</v>
      </c>
      <c r="D1873">
        <v>60</v>
      </c>
      <c r="E1873">
        <v>61</v>
      </c>
      <c r="F1873">
        <v>1104600</v>
      </c>
    </row>
    <row r="1874" spans="1:6">
      <c r="A1874" s="32">
        <v>41043</v>
      </c>
      <c r="B1874">
        <v>63.5</v>
      </c>
      <c r="C1874">
        <v>64.5</v>
      </c>
      <c r="D1874">
        <v>60</v>
      </c>
      <c r="E1874">
        <v>61.75</v>
      </c>
      <c r="F1874">
        <v>3292400</v>
      </c>
    </row>
    <row r="1875" spans="1:6">
      <c r="A1875" s="32">
        <v>41040</v>
      </c>
      <c r="B1875">
        <v>60</v>
      </c>
      <c r="C1875">
        <v>61.75</v>
      </c>
      <c r="D1875">
        <v>59.75</v>
      </c>
      <c r="E1875">
        <v>61</v>
      </c>
      <c r="F1875">
        <v>585400</v>
      </c>
    </row>
    <row r="1876" spans="1:6">
      <c r="A1876" s="32">
        <v>41039</v>
      </c>
      <c r="B1876">
        <v>59.5</v>
      </c>
      <c r="C1876">
        <v>60.25</v>
      </c>
      <c r="D1876">
        <v>58.75</v>
      </c>
      <c r="E1876">
        <v>60</v>
      </c>
      <c r="F1876">
        <v>778700</v>
      </c>
    </row>
    <row r="1877" spans="1:6">
      <c r="A1877" s="32">
        <v>41038</v>
      </c>
      <c r="B1877">
        <v>61</v>
      </c>
      <c r="C1877">
        <v>61.5</v>
      </c>
      <c r="D1877">
        <v>59.75</v>
      </c>
      <c r="E1877">
        <v>59.75</v>
      </c>
      <c r="F1877">
        <v>588900</v>
      </c>
    </row>
    <row r="1878" spans="1:6">
      <c r="A1878" s="32">
        <v>41037</v>
      </c>
      <c r="B1878">
        <v>61</v>
      </c>
      <c r="C1878">
        <v>62</v>
      </c>
      <c r="D1878">
        <v>60.75</v>
      </c>
      <c r="E1878">
        <v>61</v>
      </c>
      <c r="F1878">
        <v>541200</v>
      </c>
    </row>
    <row r="1879" spans="1:6">
      <c r="A1879" s="32">
        <v>41033</v>
      </c>
      <c r="B1879">
        <v>62.25</v>
      </c>
      <c r="C1879">
        <v>62.75</v>
      </c>
      <c r="D1879">
        <v>60.75</v>
      </c>
      <c r="E1879">
        <v>61.25</v>
      </c>
      <c r="F1879">
        <v>674200</v>
      </c>
    </row>
    <row r="1880" spans="1:6">
      <c r="A1880" s="32">
        <v>41032</v>
      </c>
      <c r="B1880">
        <v>62</v>
      </c>
      <c r="C1880">
        <v>63.5</v>
      </c>
      <c r="D1880">
        <v>61.25</v>
      </c>
      <c r="E1880">
        <v>61.75</v>
      </c>
      <c r="F1880">
        <v>2097800</v>
      </c>
    </row>
    <row r="1881" spans="1:6">
      <c r="A1881" s="32">
        <v>41031</v>
      </c>
      <c r="B1881">
        <v>61.5</v>
      </c>
      <c r="C1881">
        <v>61.75</v>
      </c>
      <c r="D1881">
        <v>61</v>
      </c>
      <c r="E1881">
        <v>61.75</v>
      </c>
      <c r="F1881">
        <v>721300</v>
      </c>
    </row>
    <row r="1882" spans="1:6">
      <c r="A1882" s="32">
        <v>41029</v>
      </c>
      <c r="B1882">
        <v>61.25</v>
      </c>
      <c r="C1882">
        <v>61.5</v>
      </c>
      <c r="D1882">
        <v>60</v>
      </c>
      <c r="E1882">
        <v>61</v>
      </c>
      <c r="F1882">
        <v>549400</v>
      </c>
    </row>
    <row r="1883" spans="1:6">
      <c r="A1883" s="32">
        <v>41026</v>
      </c>
      <c r="B1883">
        <v>59.5</v>
      </c>
      <c r="C1883">
        <v>62</v>
      </c>
      <c r="D1883">
        <v>59.5</v>
      </c>
      <c r="E1883">
        <v>61.25</v>
      </c>
      <c r="F1883">
        <v>1272500</v>
      </c>
    </row>
    <row r="1884" spans="1:6">
      <c r="A1884" s="32">
        <v>41025</v>
      </c>
      <c r="B1884">
        <v>59</v>
      </c>
      <c r="C1884">
        <v>60</v>
      </c>
      <c r="D1884">
        <v>58.75</v>
      </c>
      <c r="E1884">
        <v>59.75</v>
      </c>
      <c r="F1884">
        <v>576500</v>
      </c>
    </row>
    <row r="1885" spans="1:6">
      <c r="A1885" s="32">
        <v>41024</v>
      </c>
      <c r="B1885">
        <v>60.5</v>
      </c>
      <c r="C1885">
        <v>60.5</v>
      </c>
      <c r="D1885">
        <v>59</v>
      </c>
      <c r="E1885">
        <v>59</v>
      </c>
      <c r="F1885">
        <v>875500</v>
      </c>
    </row>
    <row r="1886" spans="1:6">
      <c r="A1886" s="32">
        <v>41023</v>
      </c>
      <c r="B1886">
        <v>61</v>
      </c>
      <c r="C1886">
        <v>62.5</v>
      </c>
      <c r="D1886">
        <v>60</v>
      </c>
      <c r="E1886">
        <v>60.75</v>
      </c>
      <c r="F1886">
        <v>1201500</v>
      </c>
    </row>
    <row r="1887" spans="1:6">
      <c r="A1887" s="32">
        <v>41022</v>
      </c>
      <c r="B1887">
        <v>59.25</v>
      </c>
      <c r="C1887">
        <v>62</v>
      </c>
      <c r="D1887">
        <v>59.25</v>
      </c>
      <c r="E1887">
        <v>61.25</v>
      </c>
      <c r="F1887">
        <v>1925000</v>
      </c>
    </row>
    <row r="1888" spans="1:6">
      <c r="A1888" s="32">
        <v>41019</v>
      </c>
      <c r="B1888">
        <v>58.5</v>
      </c>
      <c r="C1888">
        <v>60</v>
      </c>
      <c r="D1888">
        <v>58.25</v>
      </c>
      <c r="E1888">
        <v>59.25</v>
      </c>
      <c r="F1888">
        <v>2006100</v>
      </c>
    </row>
    <row r="1889" spans="1:6">
      <c r="A1889" s="32">
        <v>41018</v>
      </c>
      <c r="B1889">
        <v>54</v>
      </c>
      <c r="C1889">
        <v>58.5</v>
      </c>
      <c r="D1889">
        <v>54</v>
      </c>
      <c r="E1889">
        <v>58.5</v>
      </c>
      <c r="F1889">
        <v>2882600</v>
      </c>
    </row>
    <row r="1890" spans="1:6">
      <c r="A1890" s="32">
        <v>41017</v>
      </c>
      <c r="B1890">
        <v>55</v>
      </c>
      <c r="C1890">
        <v>55.25</v>
      </c>
      <c r="D1890">
        <v>54.5</v>
      </c>
      <c r="E1890">
        <v>54.5</v>
      </c>
      <c r="F1890">
        <v>826500</v>
      </c>
    </row>
    <row r="1891" spans="1:6">
      <c r="A1891" s="32">
        <v>41016</v>
      </c>
      <c r="B1891">
        <v>54.5</v>
      </c>
      <c r="C1891">
        <v>55.25</v>
      </c>
      <c r="D1891">
        <v>54</v>
      </c>
      <c r="E1891">
        <v>55</v>
      </c>
      <c r="F1891">
        <v>805700</v>
      </c>
    </row>
    <row r="1892" spans="1:6">
      <c r="A1892" s="32">
        <v>41011</v>
      </c>
      <c r="B1892">
        <v>54</v>
      </c>
      <c r="C1892">
        <v>55.25</v>
      </c>
      <c r="D1892">
        <v>54</v>
      </c>
      <c r="E1892">
        <v>55</v>
      </c>
      <c r="F1892">
        <v>627700</v>
      </c>
    </row>
    <row r="1893" spans="1:6">
      <c r="A1893" s="32">
        <v>41010</v>
      </c>
      <c r="B1893">
        <v>53.75</v>
      </c>
      <c r="C1893">
        <v>55</v>
      </c>
      <c r="D1893">
        <v>53.75</v>
      </c>
      <c r="E1893">
        <v>54.25</v>
      </c>
      <c r="F1893">
        <v>664900</v>
      </c>
    </row>
    <row r="1894" spans="1:6">
      <c r="A1894" s="32">
        <v>41009</v>
      </c>
      <c r="B1894">
        <v>54</v>
      </c>
      <c r="C1894">
        <v>55</v>
      </c>
      <c r="D1894">
        <v>53.75</v>
      </c>
      <c r="E1894">
        <v>54</v>
      </c>
      <c r="F1894">
        <v>2547100</v>
      </c>
    </row>
    <row r="1895" spans="1:6">
      <c r="A1895" s="32">
        <v>41004</v>
      </c>
      <c r="B1895">
        <v>55</v>
      </c>
      <c r="C1895">
        <v>55.5</v>
      </c>
      <c r="D1895">
        <v>54.75</v>
      </c>
      <c r="E1895">
        <v>54.75</v>
      </c>
      <c r="F1895">
        <v>2683300</v>
      </c>
    </row>
    <row r="1896" spans="1:6">
      <c r="A1896" s="32">
        <v>41003</v>
      </c>
      <c r="B1896">
        <v>56</v>
      </c>
      <c r="C1896">
        <v>56</v>
      </c>
      <c r="D1896">
        <v>55</v>
      </c>
      <c r="E1896">
        <v>55.25</v>
      </c>
      <c r="F1896">
        <v>1777600</v>
      </c>
    </row>
    <row r="1897" spans="1:6">
      <c r="A1897" s="32">
        <v>41002</v>
      </c>
      <c r="B1897">
        <v>54.5</v>
      </c>
      <c r="C1897">
        <v>56.25</v>
      </c>
      <c r="D1897">
        <v>54</v>
      </c>
      <c r="E1897">
        <v>55.75</v>
      </c>
      <c r="F1897">
        <v>2973200</v>
      </c>
    </row>
    <row r="1898" spans="1:6">
      <c r="A1898" s="32">
        <v>41001</v>
      </c>
      <c r="B1898">
        <v>53.5</v>
      </c>
      <c r="C1898">
        <v>55</v>
      </c>
      <c r="D1898">
        <v>53.5</v>
      </c>
      <c r="E1898">
        <v>54.5</v>
      </c>
      <c r="F1898">
        <v>2259900</v>
      </c>
    </row>
    <row r="1899" spans="1:6">
      <c r="A1899" s="32">
        <v>40998</v>
      </c>
      <c r="B1899">
        <v>54.5</v>
      </c>
      <c r="C1899">
        <v>54.5</v>
      </c>
      <c r="D1899">
        <v>53.5</v>
      </c>
      <c r="E1899">
        <v>53.5</v>
      </c>
      <c r="F1899">
        <v>1372900</v>
      </c>
    </row>
    <row r="1900" spans="1:6">
      <c r="A1900" s="32">
        <v>40997</v>
      </c>
      <c r="B1900">
        <v>53.5</v>
      </c>
      <c r="C1900">
        <v>55</v>
      </c>
      <c r="D1900">
        <v>53.5</v>
      </c>
      <c r="E1900">
        <v>54.5</v>
      </c>
      <c r="F1900">
        <v>938300</v>
      </c>
    </row>
    <row r="1901" spans="1:6">
      <c r="A1901" s="32">
        <v>40996</v>
      </c>
      <c r="B1901">
        <v>54</v>
      </c>
      <c r="C1901">
        <v>54</v>
      </c>
      <c r="D1901">
        <v>53</v>
      </c>
      <c r="E1901">
        <v>54</v>
      </c>
      <c r="F1901">
        <v>1117900</v>
      </c>
    </row>
    <row r="1902" spans="1:6">
      <c r="A1902" s="32">
        <v>40995</v>
      </c>
      <c r="B1902">
        <v>54</v>
      </c>
      <c r="C1902">
        <v>54.25</v>
      </c>
      <c r="D1902">
        <v>53.5</v>
      </c>
      <c r="E1902">
        <v>54</v>
      </c>
      <c r="F1902">
        <v>1052900</v>
      </c>
    </row>
    <row r="1903" spans="1:6">
      <c r="A1903" s="32">
        <v>40994</v>
      </c>
      <c r="B1903">
        <v>54.75</v>
      </c>
      <c r="C1903">
        <v>55.25</v>
      </c>
      <c r="D1903">
        <v>53.75</v>
      </c>
      <c r="E1903">
        <v>53.75</v>
      </c>
      <c r="F1903">
        <v>1892500</v>
      </c>
    </row>
    <row r="1904" spans="1:6">
      <c r="A1904" s="32">
        <v>40991</v>
      </c>
      <c r="B1904">
        <v>53.75</v>
      </c>
      <c r="C1904">
        <v>55</v>
      </c>
      <c r="D1904">
        <v>53.75</v>
      </c>
      <c r="E1904">
        <v>54.5</v>
      </c>
      <c r="F1904">
        <v>3041800</v>
      </c>
    </row>
    <row r="1905" spans="1:6">
      <c r="A1905" s="32">
        <v>40990</v>
      </c>
      <c r="B1905">
        <v>54</v>
      </c>
      <c r="C1905">
        <v>54.5</v>
      </c>
      <c r="D1905">
        <v>53.25</v>
      </c>
      <c r="E1905">
        <v>53.75</v>
      </c>
      <c r="F1905">
        <v>2745900</v>
      </c>
    </row>
    <row r="1906" spans="1:6">
      <c r="A1906" s="32">
        <v>40989</v>
      </c>
      <c r="B1906">
        <v>54.5</v>
      </c>
      <c r="C1906">
        <v>55.25</v>
      </c>
      <c r="D1906">
        <v>54</v>
      </c>
      <c r="E1906">
        <v>54.5</v>
      </c>
      <c r="F1906">
        <v>2921300</v>
      </c>
    </row>
    <row r="1907" spans="1:6">
      <c r="A1907" s="32">
        <v>40988</v>
      </c>
      <c r="B1907">
        <v>55</v>
      </c>
      <c r="C1907">
        <v>55.75</v>
      </c>
      <c r="D1907">
        <v>53.25</v>
      </c>
      <c r="E1907">
        <v>54</v>
      </c>
      <c r="F1907">
        <v>1685200</v>
      </c>
    </row>
    <row r="1908" spans="1:6">
      <c r="A1908" s="32">
        <v>40987</v>
      </c>
      <c r="B1908">
        <v>56.5</v>
      </c>
      <c r="C1908">
        <v>56.5</v>
      </c>
      <c r="D1908">
        <v>54.75</v>
      </c>
      <c r="E1908">
        <v>55</v>
      </c>
      <c r="F1908">
        <v>3860400</v>
      </c>
    </row>
    <row r="1909" spans="1:6">
      <c r="A1909" s="32">
        <v>40984</v>
      </c>
      <c r="B1909">
        <v>54.25</v>
      </c>
      <c r="C1909">
        <v>57.5</v>
      </c>
      <c r="D1909">
        <v>54.25</v>
      </c>
      <c r="E1909">
        <v>56.75</v>
      </c>
      <c r="F1909">
        <v>5511100</v>
      </c>
    </row>
    <row r="1910" spans="1:6">
      <c r="A1910" s="32">
        <v>40983</v>
      </c>
      <c r="B1910">
        <v>54.25</v>
      </c>
      <c r="C1910">
        <v>55.75</v>
      </c>
      <c r="D1910">
        <v>54</v>
      </c>
      <c r="E1910">
        <v>54</v>
      </c>
      <c r="F1910">
        <v>3112500</v>
      </c>
    </row>
    <row r="1911" spans="1:6">
      <c r="A1911" s="32">
        <v>40982</v>
      </c>
      <c r="B1911">
        <v>53.75</v>
      </c>
      <c r="C1911">
        <v>54.5</v>
      </c>
      <c r="D1911">
        <v>53.25</v>
      </c>
      <c r="E1911">
        <v>54.25</v>
      </c>
      <c r="F1911">
        <v>3212100</v>
      </c>
    </row>
    <row r="1912" spans="1:6">
      <c r="A1912" s="32">
        <v>40981</v>
      </c>
      <c r="B1912">
        <v>53.5</v>
      </c>
      <c r="C1912">
        <v>53.5</v>
      </c>
      <c r="D1912">
        <v>52.25</v>
      </c>
      <c r="E1912">
        <v>53</v>
      </c>
      <c r="F1912">
        <v>1916400</v>
      </c>
    </row>
    <row r="1913" spans="1:6">
      <c r="A1913" s="32">
        <v>40980</v>
      </c>
      <c r="B1913">
        <v>52</v>
      </c>
      <c r="C1913">
        <v>54</v>
      </c>
      <c r="D1913">
        <v>51.75</v>
      </c>
      <c r="E1913">
        <v>53.75</v>
      </c>
      <c r="F1913">
        <v>3267700</v>
      </c>
    </row>
    <row r="1914" spans="1:6">
      <c r="A1914" s="32">
        <v>40977</v>
      </c>
      <c r="B1914">
        <v>50.5</v>
      </c>
      <c r="C1914">
        <v>54</v>
      </c>
      <c r="D1914">
        <v>50.5</v>
      </c>
      <c r="E1914">
        <v>52.25</v>
      </c>
      <c r="F1914">
        <v>7132300</v>
      </c>
    </row>
    <row r="1915" spans="1:6">
      <c r="A1915" s="32">
        <v>40976</v>
      </c>
      <c r="B1915">
        <v>49.25</v>
      </c>
      <c r="C1915">
        <v>50.5</v>
      </c>
      <c r="D1915">
        <v>49.25</v>
      </c>
      <c r="E1915">
        <v>50</v>
      </c>
      <c r="F1915">
        <v>3766300</v>
      </c>
    </row>
    <row r="1916" spans="1:6">
      <c r="A1916" s="32">
        <v>40974</v>
      </c>
      <c r="B1916">
        <v>48.5</v>
      </c>
      <c r="C1916">
        <v>50.5</v>
      </c>
      <c r="D1916">
        <v>48.5</v>
      </c>
      <c r="E1916">
        <v>49</v>
      </c>
      <c r="F1916">
        <v>3598500</v>
      </c>
    </row>
    <row r="1917" spans="1:6">
      <c r="A1917" s="32">
        <v>40973</v>
      </c>
      <c r="B1917">
        <v>48.5</v>
      </c>
      <c r="C1917">
        <v>49.5</v>
      </c>
      <c r="D1917">
        <v>48.25</v>
      </c>
      <c r="E1917">
        <v>49</v>
      </c>
      <c r="F1917">
        <v>2733000</v>
      </c>
    </row>
    <row r="1918" spans="1:6">
      <c r="A1918" s="32">
        <v>40970</v>
      </c>
      <c r="B1918">
        <v>46.75</v>
      </c>
      <c r="C1918">
        <v>48.5</v>
      </c>
      <c r="D1918">
        <v>46.5</v>
      </c>
      <c r="E1918">
        <v>48</v>
      </c>
      <c r="F1918">
        <v>3277600</v>
      </c>
    </row>
    <row r="1919" spans="1:6">
      <c r="A1919" s="32">
        <v>40969</v>
      </c>
      <c r="B1919">
        <v>46.25</v>
      </c>
      <c r="C1919">
        <v>46.75</v>
      </c>
      <c r="D1919">
        <v>46</v>
      </c>
      <c r="E1919">
        <v>46.5</v>
      </c>
      <c r="F1919">
        <v>1192300</v>
      </c>
    </row>
    <row r="1920" spans="1:6">
      <c r="A1920" s="32">
        <v>40968</v>
      </c>
      <c r="B1920">
        <v>46.25</v>
      </c>
      <c r="C1920">
        <v>46.5</v>
      </c>
      <c r="D1920">
        <v>45.75</v>
      </c>
      <c r="E1920">
        <v>45.75</v>
      </c>
      <c r="F1920">
        <v>1011200</v>
      </c>
    </row>
    <row r="1921" spans="1:6">
      <c r="A1921" s="32">
        <v>40967</v>
      </c>
      <c r="B1921">
        <v>45.5</v>
      </c>
      <c r="C1921">
        <v>46.5</v>
      </c>
      <c r="D1921">
        <v>45.5</v>
      </c>
      <c r="E1921">
        <v>46</v>
      </c>
      <c r="F1921">
        <v>1258600</v>
      </c>
    </row>
    <row r="1922" spans="1:6">
      <c r="A1922" s="32">
        <v>40966</v>
      </c>
      <c r="B1922">
        <v>46.5</v>
      </c>
      <c r="C1922">
        <v>46.5</v>
      </c>
      <c r="D1922">
        <v>45.5</v>
      </c>
      <c r="E1922">
        <v>45.5</v>
      </c>
      <c r="F1922">
        <v>803700</v>
      </c>
    </row>
    <row r="1923" spans="1:6">
      <c r="A1923" s="32">
        <v>40963</v>
      </c>
      <c r="B1923">
        <v>45.5</v>
      </c>
      <c r="C1923">
        <v>46.25</v>
      </c>
      <c r="D1923">
        <v>45.5</v>
      </c>
      <c r="E1923">
        <v>46.25</v>
      </c>
      <c r="F1923">
        <v>936800</v>
      </c>
    </row>
    <row r="1924" spans="1:6">
      <c r="A1924" s="32">
        <v>40962</v>
      </c>
      <c r="B1924">
        <v>45.25</v>
      </c>
      <c r="C1924">
        <v>45.5</v>
      </c>
      <c r="D1924">
        <v>45</v>
      </c>
      <c r="E1924">
        <v>45.5</v>
      </c>
      <c r="F1924">
        <v>1595200</v>
      </c>
    </row>
    <row r="1925" spans="1:6">
      <c r="A1925" s="32">
        <v>40961</v>
      </c>
      <c r="B1925">
        <v>45.25</v>
      </c>
      <c r="C1925">
        <v>45.75</v>
      </c>
      <c r="D1925">
        <v>45</v>
      </c>
      <c r="E1925">
        <v>45.25</v>
      </c>
      <c r="F1925">
        <v>1443800</v>
      </c>
    </row>
    <row r="1926" spans="1:6">
      <c r="A1926" s="32">
        <v>40960</v>
      </c>
      <c r="B1926">
        <v>45.25</v>
      </c>
      <c r="C1926">
        <v>45.25</v>
      </c>
      <c r="D1926">
        <v>45</v>
      </c>
      <c r="E1926">
        <v>45.25</v>
      </c>
      <c r="F1926">
        <v>264200</v>
      </c>
    </row>
    <row r="1927" spans="1:6">
      <c r="A1927" s="32">
        <v>40959</v>
      </c>
      <c r="B1927">
        <v>46</v>
      </c>
      <c r="C1927">
        <v>46</v>
      </c>
      <c r="D1927">
        <v>45</v>
      </c>
      <c r="E1927">
        <v>45</v>
      </c>
      <c r="F1927">
        <v>1224100</v>
      </c>
    </row>
    <row r="1928" spans="1:6">
      <c r="A1928" s="32">
        <v>40956</v>
      </c>
      <c r="B1928">
        <v>45.75</v>
      </c>
      <c r="C1928">
        <v>46</v>
      </c>
      <c r="D1928">
        <v>45.75</v>
      </c>
      <c r="E1928">
        <v>46</v>
      </c>
      <c r="F1928">
        <v>636100</v>
      </c>
    </row>
    <row r="1929" spans="1:6">
      <c r="A1929" s="32">
        <v>40955</v>
      </c>
      <c r="B1929">
        <v>46.25</v>
      </c>
      <c r="C1929">
        <v>46.25</v>
      </c>
      <c r="D1929">
        <v>45.25</v>
      </c>
      <c r="E1929">
        <v>45.25</v>
      </c>
      <c r="F1929">
        <v>676300</v>
      </c>
    </row>
    <row r="1930" spans="1:6">
      <c r="A1930" s="32">
        <v>40954</v>
      </c>
      <c r="B1930">
        <v>45.5</v>
      </c>
      <c r="C1930">
        <v>46.5</v>
      </c>
      <c r="D1930">
        <v>45.5</v>
      </c>
      <c r="E1930">
        <v>46.25</v>
      </c>
      <c r="F1930">
        <v>1317300</v>
      </c>
    </row>
    <row r="1931" spans="1:6">
      <c r="A1931" s="32">
        <v>40953</v>
      </c>
      <c r="B1931">
        <v>45.25</v>
      </c>
      <c r="C1931">
        <v>45.25</v>
      </c>
      <c r="D1931">
        <v>44.75</v>
      </c>
      <c r="E1931">
        <v>45</v>
      </c>
      <c r="F1931">
        <v>1126900</v>
      </c>
    </row>
    <row r="1932" spans="1:6">
      <c r="A1932" s="32">
        <v>40952</v>
      </c>
      <c r="B1932">
        <v>45.5</v>
      </c>
      <c r="C1932">
        <v>45.75</v>
      </c>
      <c r="D1932">
        <v>45</v>
      </c>
      <c r="E1932">
        <v>45</v>
      </c>
      <c r="F1932">
        <v>1639400</v>
      </c>
    </row>
    <row r="1933" spans="1:6">
      <c r="A1933" s="32">
        <v>40949</v>
      </c>
      <c r="B1933">
        <v>43.75</v>
      </c>
      <c r="C1933">
        <v>45.5</v>
      </c>
      <c r="D1933">
        <v>43.75</v>
      </c>
      <c r="E1933">
        <v>45</v>
      </c>
      <c r="F1933">
        <v>4550600</v>
      </c>
    </row>
    <row r="1934" spans="1:6">
      <c r="A1934" s="32">
        <v>40948</v>
      </c>
      <c r="B1934">
        <v>44.75</v>
      </c>
      <c r="C1934">
        <v>44.75</v>
      </c>
      <c r="D1934">
        <v>43.5</v>
      </c>
      <c r="E1934">
        <v>44</v>
      </c>
      <c r="F1934">
        <v>4099200</v>
      </c>
    </row>
    <row r="1935" spans="1:6">
      <c r="A1935" s="32">
        <v>40947</v>
      </c>
      <c r="B1935">
        <v>46</v>
      </c>
      <c r="C1935">
        <v>46.25</v>
      </c>
      <c r="D1935">
        <v>44.75</v>
      </c>
      <c r="E1935">
        <v>44.75</v>
      </c>
      <c r="F1935">
        <v>2749800</v>
      </c>
    </row>
    <row r="1936" spans="1:6">
      <c r="A1936" s="32">
        <v>40946</v>
      </c>
      <c r="B1936">
        <v>46.25</v>
      </c>
      <c r="C1936">
        <v>46.75</v>
      </c>
      <c r="D1936">
        <v>45.5</v>
      </c>
      <c r="E1936">
        <v>46</v>
      </c>
      <c r="F1936">
        <v>1453900</v>
      </c>
    </row>
    <row r="1937" spans="1:6">
      <c r="A1937" s="32">
        <v>40945</v>
      </c>
      <c r="B1937">
        <v>47.25</v>
      </c>
      <c r="C1937">
        <v>47.5</v>
      </c>
      <c r="D1937">
        <v>46.25</v>
      </c>
      <c r="E1937">
        <v>46.25</v>
      </c>
      <c r="F1937">
        <v>759000</v>
      </c>
    </row>
    <row r="1938" spans="1:6">
      <c r="A1938" s="32">
        <v>40942</v>
      </c>
      <c r="B1938">
        <v>47</v>
      </c>
      <c r="C1938">
        <v>47.75</v>
      </c>
      <c r="D1938">
        <v>47</v>
      </c>
      <c r="E1938">
        <v>47.25</v>
      </c>
      <c r="F1938">
        <v>355900</v>
      </c>
    </row>
    <row r="1939" spans="1:6">
      <c r="A1939" s="32">
        <v>40941</v>
      </c>
      <c r="B1939">
        <v>47.75</v>
      </c>
      <c r="C1939">
        <v>48</v>
      </c>
      <c r="D1939">
        <v>46.75</v>
      </c>
      <c r="E1939">
        <v>46.75</v>
      </c>
      <c r="F1939">
        <v>642300</v>
      </c>
    </row>
    <row r="1940" spans="1:6">
      <c r="A1940" s="32">
        <v>40940</v>
      </c>
      <c r="B1940">
        <v>47.5</v>
      </c>
      <c r="C1940">
        <v>48</v>
      </c>
      <c r="D1940">
        <v>47.5</v>
      </c>
      <c r="E1940">
        <v>48</v>
      </c>
      <c r="F1940">
        <v>591900</v>
      </c>
    </row>
    <row r="1941" spans="1:6">
      <c r="A1941" s="32">
        <v>40939</v>
      </c>
      <c r="B1941">
        <v>46.25</v>
      </c>
      <c r="C1941">
        <v>47.5</v>
      </c>
      <c r="D1941">
        <v>46.25</v>
      </c>
      <c r="E1941">
        <v>47.25</v>
      </c>
      <c r="F1941">
        <v>1515400</v>
      </c>
    </row>
    <row r="1942" spans="1:6">
      <c r="A1942" s="32">
        <v>40938</v>
      </c>
      <c r="B1942">
        <v>47</v>
      </c>
      <c r="C1942">
        <v>47.25</v>
      </c>
      <c r="D1942">
        <v>46.25</v>
      </c>
      <c r="E1942">
        <v>46.25</v>
      </c>
      <c r="F1942">
        <v>1080200</v>
      </c>
    </row>
    <row r="1943" spans="1:6">
      <c r="A1943" s="32">
        <v>40935</v>
      </c>
      <c r="B1943">
        <v>47</v>
      </c>
      <c r="C1943">
        <v>47.25</v>
      </c>
      <c r="D1943">
        <v>46.25</v>
      </c>
      <c r="E1943">
        <v>47.25</v>
      </c>
      <c r="F1943">
        <v>1366700</v>
      </c>
    </row>
    <row r="1944" spans="1:6">
      <c r="A1944" s="32">
        <v>40934</v>
      </c>
      <c r="B1944">
        <v>48</v>
      </c>
      <c r="C1944">
        <v>48</v>
      </c>
      <c r="D1944">
        <v>46.75</v>
      </c>
      <c r="E1944">
        <v>47</v>
      </c>
      <c r="F1944">
        <v>1382200</v>
      </c>
    </row>
    <row r="1945" spans="1:6">
      <c r="A1945" s="32">
        <v>40933</v>
      </c>
      <c r="B1945">
        <v>48.25</v>
      </c>
      <c r="C1945">
        <v>48.25</v>
      </c>
      <c r="D1945">
        <v>47.25</v>
      </c>
      <c r="E1945">
        <v>48</v>
      </c>
      <c r="F1945">
        <v>578600</v>
      </c>
    </row>
    <row r="1946" spans="1:6">
      <c r="A1946" s="32">
        <v>40932</v>
      </c>
      <c r="B1946">
        <v>48.25</v>
      </c>
      <c r="C1946">
        <v>48.75</v>
      </c>
      <c r="D1946">
        <v>48</v>
      </c>
      <c r="E1946">
        <v>48</v>
      </c>
      <c r="F1946">
        <v>737400</v>
      </c>
    </row>
    <row r="1947" spans="1:6">
      <c r="A1947" s="32">
        <v>40931</v>
      </c>
      <c r="B1947">
        <v>48</v>
      </c>
      <c r="C1947">
        <v>48.75</v>
      </c>
      <c r="D1947">
        <v>48</v>
      </c>
      <c r="E1947">
        <v>48.25</v>
      </c>
      <c r="F1947">
        <v>360200</v>
      </c>
    </row>
    <row r="1948" spans="1:6">
      <c r="A1948" s="32">
        <v>40928</v>
      </c>
      <c r="B1948">
        <v>48</v>
      </c>
      <c r="C1948">
        <v>48.5</v>
      </c>
      <c r="D1948">
        <v>48</v>
      </c>
      <c r="E1948">
        <v>48.25</v>
      </c>
      <c r="F1948">
        <v>382800</v>
      </c>
    </row>
    <row r="1949" spans="1:6">
      <c r="A1949" s="32">
        <v>40927</v>
      </c>
      <c r="B1949">
        <v>48.75</v>
      </c>
      <c r="C1949">
        <v>49</v>
      </c>
      <c r="D1949">
        <v>48</v>
      </c>
      <c r="E1949">
        <v>48</v>
      </c>
      <c r="F1949">
        <v>973600</v>
      </c>
    </row>
    <row r="1950" spans="1:6">
      <c r="A1950" s="32">
        <v>40926</v>
      </c>
      <c r="B1950">
        <v>50</v>
      </c>
      <c r="C1950">
        <v>50.25</v>
      </c>
      <c r="D1950">
        <v>48</v>
      </c>
      <c r="E1950">
        <v>48.75</v>
      </c>
      <c r="F1950">
        <v>1360200</v>
      </c>
    </row>
    <row r="1951" spans="1:6">
      <c r="A1951" s="32">
        <v>40925</v>
      </c>
      <c r="B1951">
        <v>50</v>
      </c>
      <c r="C1951">
        <v>50.25</v>
      </c>
      <c r="D1951">
        <v>49.25</v>
      </c>
      <c r="E1951">
        <v>49.75</v>
      </c>
      <c r="F1951">
        <v>1098500</v>
      </c>
    </row>
    <row r="1952" spans="1:6">
      <c r="A1952" s="32">
        <v>40924</v>
      </c>
      <c r="B1952">
        <v>48.5</v>
      </c>
      <c r="C1952">
        <v>50</v>
      </c>
      <c r="D1952">
        <v>48.5</v>
      </c>
      <c r="E1952">
        <v>49.75</v>
      </c>
      <c r="F1952">
        <v>180100</v>
      </c>
    </row>
    <row r="1953" spans="1:6">
      <c r="A1953" s="32">
        <v>40921</v>
      </c>
      <c r="B1953">
        <v>50.25</v>
      </c>
      <c r="C1953">
        <v>50.5</v>
      </c>
      <c r="D1953">
        <v>48.5</v>
      </c>
      <c r="E1953">
        <v>49.5</v>
      </c>
      <c r="F1953">
        <v>1381900</v>
      </c>
    </row>
    <row r="1954" spans="1:6">
      <c r="A1954" s="32">
        <v>40920</v>
      </c>
      <c r="B1954">
        <v>50</v>
      </c>
      <c r="C1954">
        <v>51.75</v>
      </c>
      <c r="D1954">
        <v>50</v>
      </c>
      <c r="E1954">
        <v>50</v>
      </c>
      <c r="F1954">
        <v>951800</v>
      </c>
    </row>
    <row r="1955" spans="1:6">
      <c r="A1955" s="32">
        <v>40919</v>
      </c>
      <c r="B1955">
        <v>50.25</v>
      </c>
      <c r="C1955">
        <v>51</v>
      </c>
      <c r="D1955">
        <v>48.75</v>
      </c>
      <c r="E1955">
        <v>50</v>
      </c>
      <c r="F1955">
        <v>1765300</v>
      </c>
    </row>
    <row r="1956" spans="1:6">
      <c r="A1956" s="32">
        <v>40918</v>
      </c>
      <c r="B1956">
        <v>48</v>
      </c>
      <c r="C1956">
        <v>50.5</v>
      </c>
      <c r="D1956">
        <v>48</v>
      </c>
      <c r="E1956">
        <v>50</v>
      </c>
      <c r="F1956">
        <v>2169700</v>
      </c>
    </row>
    <row r="1957" spans="1:6">
      <c r="A1957" s="32">
        <v>40917</v>
      </c>
      <c r="B1957">
        <v>47.75</v>
      </c>
      <c r="C1957">
        <v>48.25</v>
      </c>
      <c r="D1957">
        <v>47.75</v>
      </c>
      <c r="E1957">
        <v>48</v>
      </c>
      <c r="F1957">
        <v>317400</v>
      </c>
    </row>
    <row r="1958" spans="1:6">
      <c r="A1958" s="32">
        <v>40914</v>
      </c>
      <c r="B1958">
        <v>47.75</v>
      </c>
      <c r="C1958">
        <v>48</v>
      </c>
      <c r="D1958">
        <v>47.5</v>
      </c>
      <c r="E1958">
        <v>48</v>
      </c>
      <c r="F1958">
        <v>503100</v>
      </c>
    </row>
    <row r="1959" spans="1:6">
      <c r="A1959" s="32">
        <v>40913</v>
      </c>
      <c r="B1959">
        <v>47.75</v>
      </c>
      <c r="C1959">
        <v>49</v>
      </c>
      <c r="D1959">
        <v>47.75</v>
      </c>
      <c r="E1959">
        <v>48</v>
      </c>
      <c r="F1959">
        <v>2385900</v>
      </c>
    </row>
    <row r="1960" spans="1:6">
      <c r="A1960" s="32">
        <v>40912</v>
      </c>
      <c r="B1960">
        <v>46.75</v>
      </c>
      <c r="C1960">
        <v>47.75</v>
      </c>
      <c r="D1960">
        <v>46.75</v>
      </c>
      <c r="E1960">
        <v>47.5</v>
      </c>
      <c r="F1960">
        <v>1190000</v>
      </c>
    </row>
    <row r="1961" spans="1:6">
      <c r="A1961" s="32">
        <v>40907</v>
      </c>
      <c r="B1961">
        <v>46.25</v>
      </c>
      <c r="C1961">
        <v>46.75</v>
      </c>
      <c r="D1961">
        <v>46</v>
      </c>
      <c r="E1961">
        <v>46.5</v>
      </c>
      <c r="F1961">
        <v>928300</v>
      </c>
    </row>
    <row r="1962" spans="1:6">
      <c r="A1962" s="32">
        <v>40906</v>
      </c>
      <c r="B1962">
        <v>46.5</v>
      </c>
      <c r="C1962">
        <v>47</v>
      </c>
      <c r="D1962">
        <v>45.75</v>
      </c>
      <c r="E1962">
        <v>46</v>
      </c>
      <c r="F1962">
        <v>1291900</v>
      </c>
    </row>
    <row r="1963" spans="1:6">
      <c r="A1963" s="32">
        <v>40905</v>
      </c>
      <c r="B1963">
        <v>46.5</v>
      </c>
      <c r="C1963">
        <v>47.25</v>
      </c>
      <c r="D1963">
        <v>46.25</v>
      </c>
      <c r="E1963">
        <v>46.75</v>
      </c>
      <c r="F1963">
        <v>210800</v>
      </c>
    </row>
    <row r="1964" spans="1:6">
      <c r="A1964" s="32">
        <v>40904</v>
      </c>
      <c r="B1964">
        <v>48.5</v>
      </c>
      <c r="C1964">
        <v>48.5</v>
      </c>
      <c r="D1964">
        <v>46.25</v>
      </c>
      <c r="E1964">
        <v>46.25</v>
      </c>
      <c r="F1964">
        <v>573300</v>
      </c>
    </row>
    <row r="1965" spans="1:6">
      <c r="A1965" s="32">
        <v>40903</v>
      </c>
      <c r="B1965">
        <v>49</v>
      </c>
      <c r="C1965">
        <v>49.25</v>
      </c>
      <c r="D1965">
        <v>47.75</v>
      </c>
      <c r="E1965">
        <v>48.25</v>
      </c>
      <c r="F1965">
        <v>601400</v>
      </c>
    </row>
    <row r="1966" spans="1:6">
      <c r="A1966" s="32">
        <v>40900</v>
      </c>
      <c r="B1966">
        <v>47.75</v>
      </c>
      <c r="C1966">
        <v>49.25</v>
      </c>
      <c r="D1966">
        <v>47.25</v>
      </c>
      <c r="E1966">
        <v>49</v>
      </c>
      <c r="F1966">
        <v>2340100</v>
      </c>
    </row>
    <row r="1967" spans="1:6">
      <c r="A1967" s="32">
        <v>40899</v>
      </c>
      <c r="B1967">
        <v>47.25</v>
      </c>
      <c r="C1967">
        <v>48</v>
      </c>
      <c r="D1967">
        <v>47</v>
      </c>
      <c r="E1967">
        <v>47.5</v>
      </c>
      <c r="F1967">
        <v>1310800</v>
      </c>
    </row>
    <row r="1968" spans="1:6">
      <c r="A1968" s="32">
        <v>40898</v>
      </c>
      <c r="B1968">
        <v>46.5</v>
      </c>
      <c r="C1968">
        <v>47.5</v>
      </c>
      <c r="D1968">
        <v>45.75</v>
      </c>
      <c r="E1968">
        <v>47.25</v>
      </c>
      <c r="F1968">
        <v>2772900</v>
      </c>
    </row>
    <row r="1969" spans="1:6">
      <c r="A1969" s="32">
        <v>40897</v>
      </c>
      <c r="B1969">
        <v>45.75</v>
      </c>
      <c r="C1969">
        <v>46.75</v>
      </c>
      <c r="D1969">
        <v>45.5</v>
      </c>
      <c r="E1969">
        <v>46.25</v>
      </c>
      <c r="F1969">
        <v>1464100</v>
      </c>
    </row>
    <row r="1970" spans="1:6">
      <c r="A1970" s="32">
        <v>40896</v>
      </c>
      <c r="B1970">
        <v>46</v>
      </c>
      <c r="C1970">
        <v>46</v>
      </c>
      <c r="D1970">
        <v>45</v>
      </c>
      <c r="E1970">
        <v>45.75</v>
      </c>
      <c r="F1970">
        <v>1022800</v>
      </c>
    </row>
    <row r="1971" spans="1:6">
      <c r="A1971" s="32">
        <v>40893</v>
      </c>
      <c r="B1971">
        <v>45.5</v>
      </c>
      <c r="C1971">
        <v>46.5</v>
      </c>
      <c r="D1971">
        <v>45.5</v>
      </c>
      <c r="E1971">
        <v>45.75</v>
      </c>
      <c r="F1971">
        <v>544000</v>
      </c>
    </row>
    <row r="1972" spans="1:6">
      <c r="A1972" s="32">
        <v>40892</v>
      </c>
      <c r="B1972">
        <v>45.75</v>
      </c>
      <c r="C1972">
        <v>46.75</v>
      </c>
      <c r="D1972">
        <v>44.75</v>
      </c>
      <c r="E1972">
        <v>45.5</v>
      </c>
      <c r="F1972">
        <v>1304100</v>
      </c>
    </row>
    <row r="1973" spans="1:6">
      <c r="A1973" s="32">
        <v>40891</v>
      </c>
      <c r="B1973">
        <v>46.75</v>
      </c>
      <c r="C1973">
        <v>47.25</v>
      </c>
      <c r="D1973">
        <v>46</v>
      </c>
      <c r="E1973">
        <v>46.25</v>
      </c>
      <c r="F1973">
        <v>625200</v>
      </c>
    </row>
    <row r="1974" spans="1:6">
      <c r="A1974" s="32">
        <v>40890</v>
      </c>
      <c r="B1974">
        <v>46.5</v>
      </c>
      <c r="C1974">
        <v>47.5</v>
      </c>
      <c r="D1974">
        <v>46.5</v>
      </c>
      <c r="E1974">
        <v>46.75</v>
      </c>
      <c r="F1974">
        <v>903500</v>
      </c>
    </row>
    <row r="1975" spans="1:6">
      <c r="A1975" s="32">
        <v>40886</v>
      </c>
      <c r="B1975">
        <v>46.5</v>
      </c>
      <c r="C1975">
        <v>47</v>
      </c>
      <c r="D1975">
        <v>46.25</v>
      </c>
      <c r="E1975">
        <v>46.75</v>
      </c>
      <c r="F1975">
        <v>1393900</v>
      </c>
    </row>
    <row r="1976" spans="1:6">
      <c r="A1976" s="32">
        <v>40885</v>
      </c>
      <c r="B1976">
        <v>47.5</v>
      </c>
      <c r="C1976">
        <v>47.5</v>
      </c>
      <c r="D1976">
        <v>46.75</v>
      </c>
      <c r="E1976">
        <v>47</v>
      </c>
      <c r="F1976">
        <v>730400</v>
      </c>
    </row>
    <row r="1977" spans="1:6">
      <c r="A1977" s="32">
        <v>40884</v>
      </c>
      <c r="B1977">
        <v>45.75</v>
      </c>
      <c r="C1977">
        <v>47.5</v>
      </c>
      <c r="D1977">
        <v>45.75</v>
      </c>
      <c r="E1977">
        <v>47.25</v>
      </c>
      <c r="F1977">
        <v>1367100</v>
      </c>
    </row>
    <row r="1978" spans="1:6">
      <c r="A1978" s="32">
        <v>40883</v>
      </c>
      <c r="B1978">
        <v>47.5</v>
      </c>
      <c r="C1978">
        <v>48.5</v>
      </c>
      <c r="D1978">
        <v>45.25</v>
      </c>
      <c r="E1978">
        <v>45.5</v>
      </c>
      <c r="F1978">
        <v>1935100</v>
      </c>
    </row>
    <row r="1979" spans="1:6">
      <c r="A1979" s="32">
        <v>40879</v>
      </c>
      <c r="B1979">
        <v>47</v>
      </c>
      <c r="C1979">
        <v>47.75</v>
      </c>
      <c r="D1979">
        <v>46.5</v>
      </c>
      <c r="E1979">
        <v>47</v>
      </c>
      <c r="F1979">
        <v>470700</v>
      </c>
    </row>
    <row r="1980" spans="1:6">
      <c r="A1980" s="32">
        <v>40878</v>
      </c>
      <c r="B1980">
        <v>47.75</v>
      </c>
      <c r="C1980">
        <v>47.75</v>
      </c>
      <c r="D1980">
        <v>46.25</v>
      </c>
      <c r="E1980">
        <v>46.25</v>
      </c>
      <c r="F1980">
        <v>1256800</v>
      </c>
    </row>
    <row r="1981" spans="1:6">
      <c r="A1981" s="32">
        <v>40877</v>
      </c>
      <c r="B1981">
        <v>45.75</v>
      </c>
      <c r="C1981">
        <v>48.5</v>
      </c>
      <c r="D1981">
        <v>45.5</v>
      </c>
      <c r="E1981">
        <v>46.75</v>
      </c>
      <c r="F1981">
        <v>2771500</v>
      </c>
    </row>
    <row r="1982" spans="1:6">
      <c r="A1982" s="32">
        <v>40876</v>
      </c>
      <c r="B1982">
        <v>44.25</v>
      </c>
      <c r="C1982">
        <v>47.25</v>
      </c>
      <c r="D1982">
        <v>44</v>
      </c>
      <c r="E1982">
        <v>45.75</v>
      </c>
      <c r="F1982">
        <v>3791200</v>
      </c>
    </row>
    <row r="1983" spans="1:6">
      <c r="A1983" s="32">
        <v>40875</v>
      </c>
      <c r="B1983">
        <v>43.5</v>
      </c>
      <c r="C1983">
        <v>44</v>
      </c>
      <c r="D1983">
        <v>43.5</v>
      </c>
      <c r="E1983">
        <v>44</v>
      </c>
      <c r="F1983">
        <v>175200</v>
      </c>
    </row>
    <row r="1984" spans="1:6">
      <c r="A1984" s="32">
        <v>40872</v>
      </c>
      <c r="B1984">
        <v>44.25</v>
      </c>
      <c r="C1984">
        <v>44.25</v>
      </c>
      <c r="D1984">
        <v>43.5</v>
      </c>
      <c r="E1984">
        <v>43.5</v>
      </c>
      <c r="F1984">
        <v>1054900</v>
      </c>
    </row>
    <row r="1985" spans="1:6">
      <c r="A1985" s="32">
        <v>40871</v>
      </c>
      <c r="B1985">
        <v>43.5</v>
      </c>
      <c r="C1985">
        <v>45</v>
      </c>
      <c r="D1985">
        <v>43.5</v>
      </c>
      <c r="E1985">
        <v>44.25</v>
      </c>
      <c r="F1985">
        <v>1203700</v>
      </c>
    </row>
    <row r="1986" spans="1:6">
      <c r="A1986" s="32">
        <v>40870</v>
      </c>
      <c r="B1986">
        <v>43.5</v>
      </c>
      <c r="C1986">
        <v>44</v>
      </c>
      <c r="D1986">
        <v>42.75</v>
      </c>
      <c r="E1986">
        <v>43.75</v>
      </c>
      <c r="F1986">
        <v>670200</v>
      </c>
    </row>
    <row r="1987" spans="1:6">
      <c r="A1987" s="32">
        <v>40869</v>
      </c>
      <c r="B1987">
        <v>43.5</v>
      </c>
      <c r="C1987">
        <v>44.25</v>
      </c>
      <c r="D1987">
        <v>43.5</v>
      </c>
      <c r="E1987">
        <v>44</v>
      </c>
      <c r="F1987">
        <v>508500</v>
      </c>
    </row>
    <row r="1988" spans="1:6">
      <c r="A1988" s="32">
        <v>40868</v>
      </c>
      <c r="B1988">
        <v>43.25</v>
      </c>
      <c r="C1988">
        <v>44</v>
      </c>
      <c r="D1988">
        <v>43</v>
      </c>
      <c r="E1988">
        <v>43.5</v>
      </c>
      <c r="F1988">
        <v>558500</v>
      </c>
    </row>
    <row r="1989" spans="1:6">
      <c r="A1989" s="32">
        <v>40865</v>
      </c>
      <c r="B1989">
        <v>43.75</v>
      </c>
      <c r="C1989">
        <v>44.5</v>
      </c>
      <c r="D1989">
        <v>43.25</v>
      </c>
      <c r="E1989">
        <v>44</v>
      </c>
      <c r="F1989">
        <v>3666400</v>
      </c>
    </row>
    <row r="1990" spans="1:6">
      <c r="A1990" s="32">
        <v>40864</v>
      </c>
      <c r="B1990">
        <v>40.5</v>
      </c>
      <c r="C1990">
        <v>46.25</v>
      </c>
      <c r="D1990">
        <v>40.5</v>
      </c>
      <c r="E1990">
        <v>44.75</v>
      </c>
      <c r="F1990">
        <v>2016000</v>
      </c>
    </row>
    <row r="1991" spans="1:6">
      <c r="A1991" s="32">
        <v>40863</v>
      </c>
      <c r="B1991">
        <v>40</v>
      </c>
      <c r="C1991">
        <v>40.5</v>
      </c>
      <c r="D1991">
        <v>40</v>
      </c>
      <c r="E1991">
        <v>40.5</v>
      </c>
      <c r="F1991">
        <v>176200</v>
      </c>
    </row>
    <row r="1992" spans="1:6">
      <c r="A1992" s="32">
        <v>40862</v>
      </c>
      <c r="B1992">
        <v>39.75</v>
      </c>
      <c r="C1992">
        <v>40.25</v>
      </c>
      <c r="D1992">
        <v>39.75</v>
      </c>
      <c r="E1992">
        <v>40.25</v>
      </c>
      <c r="F1992">
        <v>229200</v>
      </c>
    </row>
    <row r="1993" spans="1:6">
      <c r="A1993" s="32">
        <v>40861</v>
      </c>
      <c r="B1993">
        <v>40.5</v>
      </c>
      <c r="C1993">
        <v>40.75</v>
      </c>
      <c r="D1993">
        <v>40</v>
      </c>
      <c r="E1993">
        <v>40</v>
      </c>
      <c r="F1993">
        <v>168600</v>
      </c>
    </row>
    <row r="1994" spans="1:6">
      <c r="A1994" s="32">
        <v>40858</v>
      </c>
      <c r="B1994">
        <v>40</v>
      </c>
      <c r="C1994">
        <v>40.25</v>
      </c>
      <c r="D1994">
        <v>39.75</v>
      </c>
      <c r="E1994">
        <v>40</v>
      </c>
      <c r="F1994">
        <v>95000</v>
      </c>
    </row>
    <row r="1995" spans="1:6">
      <c r="A1995" s="32">
        <v>40857</v>
      </c>
      <c r="B1995">
        <v>39.5</v>
      </c>
      <c r="C1995">
        <v>40.25</v>
      </c>
      <c r="D1995">
        <v>39.5</v>
      </c>
      <c r="E1995">
        <v>40.25</v>
      </c>
      <c r="F1995">
        <v>449700</v>
      </c>
    </row>
    <row r="1996" spans="1:6">
      <c r="A1996" s="32">
        <v>40856</v>
      </c>
      <c r="B1996">
        <v>41.25</v>
      </c>
      <c r="C1996">
        <v>41.5</v>
      </c>
      <c r="D1996">
        <v>40</v>
      </c>
      <c r="E1996">
        <v>40</v>
      </c>
      <c r="F1996">
        <v>235600</v>
      </c>
    </row>
    <row r="1997" spans="1:6">
      <c r="A1997" s="32">
        <v>40855</v>
      </c>
      <c r="B1997">
        <v>41</v>
      </c>
      <c r="C1997">
        <v>41</v>
      </c>
      <c r="D1997">
        <v>40.25</v>
      </c>
      <c r="E1997">
        <v>41</v>
      </c>
      <c r="F1997">
        <v>24800</v>
      </c>
    </row>
    <row r="1998" spans="1:6">
      <c r="A1998" s="32">
        <v>40854</v>
      </c>
      <c r="B1998">
        <v>41</v>
      </c>
      <c r="C1998">
        <v>41.25</v>
      </c>
      <c r="D1998">
        <v>40.25</v>
      </c>
      <c r="E1998">
        <v>40.75</v>
      </c>
      <c r="F1998">
        <v>335800</v>
      </c>
    </row>
    <row r="1999" spans="1:6">
      <c r="A1999" s="32">
        <v>40851</v>
      </c>
      <c r="B1999">
        <v>40.25</v>
      </c>
      <c r="C1999">
        <v>41.75</v>
      </c>
      <c r="D1999">
        <v>40.25</v>
      </c>
      <c r="E1999">
        <v>41.75</v>
      </c>
      <c r="F1999">
        <v>1754200</v>
      </c>
    </row>
    <row r="2000" spans="1:6">
      <c r="A2000" s="32">
        <v>40850</v>
      </c>
      <c r="B2000">
        <v>39.75</v>
      </c>
      <c r="C2000">
        <v>40.5</v>
      </c>
      <c r="D2000">
        <v>39.75</v>
      </c>
      <c r="E2000">
        <v>40.25</v>
      </c>
      <c r="F2000">
        <v>172600</v>
      </c>
    </row>
    <row r="2001" spans="1:6">
      <c r="A2001" s="32">
        <v>40849</v>
      </c>
      <c r="B2001">
        <v>39.75</v>
      </c>
      <c r="C2001">
        <v>40.25</v>
      </c>
      <c r="D2001">
        <v>39.5</v>
      </c>
      <c r="E2001">
        <v>40.25</v>
      </c>
      <c r="F2001">
        <v>822800</v>
      </c>
    </row>
    <row r="2002" spans="1:6">
      <c r="A2002" s="32">
        <v>40848</v>
      </c>
      <c r="B2002">
        <v>39.25</v>
      </c>
      <c r="C2002">
        <v>40.25</v>
      </c>
      <c r="D2002">
        <v>39</v>
      </c>
      <c r="E2002">
        <v>39.75</v>
      </c>
      <c r="F2002">
        <v>569600</v>
      </c>
    </row>
    <row r="2003" spans="1:6">
      <c r="A2003" s="32">
        <v>40847</v>
      </c>
      <c r="B2003">
        <v>39.5</v>
      </c>
      <c r="C2003">
        <v>40</v>
      </c>
      <c r="D2003">
        <v>39.25</v>
      </c>
      <c r="E2003">
        <v>39.75</v>
      </c>
      <c r="F2003">
        <v>310000</v>
      </c>
    </row>
    <row r="2004" spans="1:6">
      <c r="A2004" s="32">
        <v>40844</v>
      </c>
      <c r="B2004">
        <v>38.75</v>
      </c>
      <c r="C2004">
        <v>39.75</v>
      </c>
      <c r="D2004">
        <v>38.75</v>
      </c>
      <c r="E2004">
        <v>39.75</v>
      </c>
      <c r="F2004">
        <v>1094000</v>
      </c>
    </row>
    <row r="2005" spans="1:6">
      <c r="A2005" s="32">
        <v>40843</v>
      </c>
      <c r="B2005">
        <v>38.75</v>
      </c>
      <c r="C2005">
        <v>39</v>
      </c>
      <c r="D2005">
        <v>38.5</v>
      </c>
      <c r="E2005">
        <v>38.75</v>
      </c>
      <c r="F2005">
        <v>92900</v>
      </c>
    </row>
    <row r="2006" spans="1:6">
      <c r="A2006" s="32">
        <v>40842</v>
      </c>
      <c r="B2006">
        <v>38.25</v>
      </c>
      <c r="C2006">
        <v>38.75</v>
      </c>
      <c r="D2006">
        <v>38.25</v>
      </c>
      <c r="E2006">
        <v>38.75</v>
      </c>
      <c r="F2006">
        <v>180300</v>
      </c>
    </row>
    <row r="2007" spans="1:6">
      <c r="A2007" s="32">
        <v>40841</v>
      </c>
      <c r="B2007">
        <v>38.5</v>
      </c>
      <c r="C2007">
        <v>38.75</v>
      </c>
      <c r="D2007">
        <v>38.25</v>
      </c>
      <c r="E2007">
        <v>38.75</v>
      </c>
      <c r="F2007">
        <v>778300</v>
      </c>
    </row>
    <row r="2008" spans="1:6">
      <c r="A2008" s="32">
        <v>40837</v>
      </c>
      <c r="B2008">
        <v>38.5</v>
      </c>
      <c r="C2008">
        <v>38.75</v>
      </c>
      <c r="D2008">
        <v>38.25</v>
      </c>
      <c r="E2008">
        <v>38.5</v>
      </c>
      <c r="F2008">
        <v>674500</v>
      </c>
    </row>
    <row r="2009" spans="1:6">
      <c r="A2009" s="32">
        <v>40836</v>
      </c>
      <c r="B2009">
        <v>38</v>
      </c>
      <c r="C2009">
        <v>39</v>
      </c>
      <c r="D2009">
        <v>38</v>
      </c>
      <c r="E2009">
        <v>39</v>
      </c>
      <c r="F2009">
        <v>1109700</v>
      </c>
    </row>
    <row r="2010" spans="1:6">
      <c r="A2010" s="32">
        <v>40835</v>
      </c>
      <c r="B2010">
        <v>38.25</v>
      </c>
      <c r="C2010">
        <v>39</v>
      </c>
      <c r="D2010">
        <v>38.25</v>
      </c>
      <c r="E2010">
        <v>38.75</v>
      </c>
      <c r="F2010">
        <v>171800</v>
      </c>
    </row>
    <row r="2011" spans="1:6">
      <c r="A2011" s="32">
        <v>40834</v>
      </c>
      <c r="B2011">
        <v>38.25</v>
      </c>
      <c r="C2011">
        <v>38.75</v>
      </c>
      <c r="D2011">
        <v>38.25</v>
      </c>
      <c r="E2011">
        <v>38.75</v>
      </c>
      <c r="F2011">
        <v>540500</v>
      </c>
    </row>
    <row r="2012" spans="1:6">
      <c r="A2012" s="32">
        <v>40833</v>
      </c>
      <c r="B2012">
        <v>39.25</v>
      </c>
      <c r="C2012">
        <v>39.25</v>
      </c>
      <c r="D2012">
        <v>38.5</v>
      </c>
      <c r="E2012">
        <v>39</v>
      </c>
      <c r="F2012">
        <v>823400</v>
      </c>
    </row>
    <row r="2013" spans="1:6">
      <c r="A2013" s="32">
        <v>40830</v>
      </c>
      <c r="B2013">
        <v>38.75</v>
      </c>
      <c r="C2013">
        <v>39.25</v>
      </c>
      <c r="D2013">
        <v>38.5</v>
      </c>
      <c r="E2013">
        <v>39.25</v>
      </c>
      <c r="F2013">
        <v>572400</v>
      </c>
    </row>
    <row r="2014" spans="1:6">
      <c r="A2014" s="32">
        <v>40829</v>
      </c>
      <c r="B2014">
        <v>38.5</v>
      </c>
      <c r="C2014">
        <v>38.75</v>
      </c>
      <c r="D2014">
        <v>37.75</v>
      </c>
      <c r="E2014">
        <v>38.5</v>
      </c>
      <c r="F2014">
        <v>712100</v>
      </c>
    </row>
    <row r="2015" spans="1:6">
      <c r="A2015" s="32">
        <v>40828</v>
      </c>
      <c r="B2015">
        <v>40</v>
      </c>
      <c r="C2015">
        <v>40</v>
      </c>
      <c r="D2015">
        <v>37.5</v>
      </c>
      <c r="E2015">
        <v>38.25</v>
      </c>
      <c r="F2015">
        <v>1286600</v>
      </c>
    </row>
    <row r="2016" spans="1:6">
      <c r="A2016" s="32">
        <v>40827</v>
      </c>
      <c r="B2016">
        <v>39.25</v>
      </c>
      <c r="C2016">
        <v>40.5</v>
      </c>
      <c r="D2016">
        <v>39.25</v>
      </c>
      <c r="E2016">
        <v>40</v>
      </c>
      <c r="F2016">
        <v>1529100</v>
      </c>
    </row>
    <row r="2017" spans="1:6">
      <c r="A2017" s="32">
        <v>40826</v>
      </c>
      <c r="B2017">
        <v>38</v>
      </c>
      <c r="C2017">
        <v>38.75</v>
      </c>
      <c r="D2017">
        <v>38</v>
      </c>
      <c r="E2017">
        <v>38.75</v>
      </c>
      <c r="F2017">
        <v>401200</v>
      </c>
    </row>
    <row r="2018" spans="1:6">
      <c r="A2018" s="32">
        <v>40823</v>
      </c>
      <c r="B2018">
        <v>38</v>
      </c>
      <c r="C2018">
        <v>38.75</v>
      </c>
      <c r="D2018">
        <v>37.75</v>
      </c>
      <c r="E2018">
        <v>38.25</v>
      </c>
      <c r="F2018">
        <v>870800</v>
      </c>
    </row>
    <row r="2019" spans="1:6">
      <c r="A2019" s="32">
        <v>40822</v>
      </c>
      <c r="B2019">
        <v>36.5</v>
      </c>
      <c r="C2019">
        <v>37.75</v>
      </c>
      <c r="D2019">
        <v>36.25</v>
      </c>
      <c r="E2019">
        <v>37.75</v>
      </c>
      <c r="F2019">
        <v>573600</v>
      </c>
    </row>
    <row r="2020" spans="1:6">
      <c r="A2020" s="32">
        <v>40821</v>
      </c>
      <c r="B2020">
        <v>36</v>
      </c>
      <c r="C2020">
        <v>36.5</v>
      </c>
      <c r="D2020">
        <v>35.75</v>
      </c>
      <c r="E2020">
        <v>36.25</v>
      </c>
      <c r="F2020">
        <v>782300</v>
      </c>
    </row>
    <row r="2021" spans="1:6">
      <c r="A2021" s="32">
        <v>40820</v>
      </c>
      <c r="B2021">
        <v>36.5</v>
      </c>
      <c r="C2021">
        <v>37</v>
      </c>
      <c r="D2021">
        <v>36</v>
      </c>
      <c r="E2021">
        <v>36.5</v>
      </c>
      <c r="F2021">
        <v>634300</v>
      </c>
    </row>
    <row r="2022" spans="1:6">
      <c r="A2022" s="32">
        <v>40819</v>
      </c>
      <c r="B2022">
        <v>37.5</v>
      </c>
      <c r="C2022">
        <v>37.5</v>
      </c>
      <c r="D2022">
        <v>36</v>
      </c>
      <c r="E2022">
        <v>36.75</v>
      </c>
      <c r="F2022">
        <v>640400</v>
      </c>
    </row>
    <row r="2023" spans="1:6">
      <c r="A2023" s="32">
        <v>40816</v>
      </c>
      <c r="B2023">
        <v>38</v>
      </c>
      <c r="C2023">
        <v>39</v>
      </c>
      <c r="D2023">
        <v>38</v>
      </c>
      <c r="E2023">
        <v>38.75</v>
      </c>
      <c r="F2023">
        <v>1741700</v>
      </c>
    </row>
    <row r="2024" spans="1:6">
      <c r="A2024" s="32">
        <v>40815</v>
      </c>
      <c r="B2024">
        <v>37.5</v>
      </c>
      <c r="C2024">
        <v>38.25</v>
      </c>
      <c r="D2024">
        <v>37.5</v>
      </c>
      <c r="E2024">
        <v>38.25</v>
      </c>
      <c r="F2024">
        <v>417700</v>
      </c>
    </row>
    <row r="2025" spans="1:6">
      <c r="A2025" s="32">
        <v>40814</v>
      </c>
      <c r="B2025">
        <v>37.5</v>
      </c>
      <c r="C2025">
        <v>38.5</v>
      </c>
      <c r="D2025">
        <v>37.25</v>
      </c>
      <c r="E2025">
        <v>38</v>
      </c>
      <c r="F2025">
        <v>1327800</v>
      </c>
    </row>
    <row r="2026" spans="1:6">
      <c r="A2026" s="32">
        <v>40813</v>
      </c>
      <c r="B2026">
        <v>36</v>
      </c>
      <c r="C2026">
        <v>38</v>
      </c>
      <c r="D2026">
        <v>35.75</v>
      </c>
      <c r="E2026">
        <v>38</v>
      </c>
      <c r="F2026">
        <v>1545400</v>
      </c>
    </row>
    <row r="2027" spans="1:6">
      <c r="A2027" s="32">
        <v>40812</v>
      </c>
      <c r="B2027">
        <v>37.25</v>
      </c>
      <c r="C2027">
        <v>37.75</v>
      </c>
      <c r="D2027">
        <v>34.25</v>
      </c>
      <c r="E2027">
        <v>35</v>
      </c>
      <c r="F2027">
        <v>1506200</v>
      </c>
    </row>
    <row r="2028" spans="1:6">
      <c r="A2028" s="32">
        <v>40809</v>
      </c>
      <c r="B2028">
        <v>39</v>
      </c>
      <c r="C2028">
        <v>39.75</v>
      </c>
      <c r="D2028">
        <v>37</v>
      </c>
      <c r="E2028">
        <v>38.5</v>
      </c>
      <c r="F2028">
        <v>1314100</v>
      </c>
    </row>
    <row r="2029" spans="1:6">
      <c r="A2029" s="32">
        <v>40808</v>
      </c>
      <c r="B2029">
        <v>41.75</v>
      </c>
      <c r="C2029">
        <v>42</v>
      </c>
      <c r="D2029">
        <v>40.25</v>
      </c>
      <c r="E2029">
        <v>40.25</v>
      </c>
      <c r="F2029">
        <v>1175100</v>
      </c>
    </row>
    <row r="2030" spans="1:6">
      <c r="A2030" s="32">
        <v>40807</v>
      </c>
      <c r="B2030">
        <v>40.75</v>
      </c>
      <c r="C2030">
        <v>43</v>
      </c>
      <c r="D2030">
        <v>40.75</v>
      </c>
      <c r="E2030">
        <v>42.75</v>
      </c>
      <c r="F2030">
        <v>1833100</v>
      </c>
    </row>
    <row r="2031" spans="1:6">
      <c r="A2031" s="32">
        <v>40806</v>
      </c>
      <c r="B2031">
        <v>41</v>
      </c>
      <c r="C2031">
        <v>41</v>
      </c>
      <c r="D2031">
        <v>40.25</v>
      </c>
      <c r="E2031">
        <v>40.75</v>
      </c>
      <c r="F2031">
        <v>303500</v>
      </c>
    </row>
    <row r="2032" spans="1:6">
      <c r="A2032" s="32">
        <v>40805</v>
      </c>
      <c r="B2032">
        <v>41</v>
      </c>
      <c r="C2032">
        <v>41</v>
      </c>
      <c r="D2032">
        <v>39.75</v>
      </c>
      <c r="E2032">
        <v>40.5</v>
      </c>
      <c r="F2032">
        <v>275200</v>
      </c>
    </row>
    <row r="2033" spans="1:6">
      <c r="A2033" s="32">
        <v>40802</v>
      </c>
      <c r="B2033">
        <v>39</v>
      </c>
      <c r="C2033">
        <v>41</v>
      </c>
      <c r="D2033">
        <v>38.75</v>
      </c>
      <c r="E2033">
        <v>41</v>
      </c>
      <c r="F2033">
        <v>1447100</v>
      </c>
    </row>
    <row r="2034" spans="1:6">
      <c r="A2034" s="32">
        <v>40801</v>
      </c>
      <c r="B2034">
        <v>38</v>
      </c>
      <c r="C2034">
        <v>39</v>
      </c>
      <c r="D2034">
        <v>37.75</v>
      </c>
      <c r="E2034">
        <v>38.75</v>
      </c>
      <c r="F2034">
        <v>331400</v>
      </c>
    </row>
    <row r="2035" spans="1:6">
      <c r="A2035" s="32">
        <v>40800</v>
      </c>
      <c r="B2035">
        <v>37.75</v>
      </c>
      <c r="C2035">
        <v>38.5</v>
      </c>
      <c r="D2035">
        <v>37</v>
      </c>
      <c r="E2035">
        <v>38</v>
      </c>
      <c r="F2035">
        <v>774100</v>
      </c>
    </row>
    <row r="2036" spans="1:6">
      <c r="A2036" s="32">
        <v>40799</v>
      </c>
      <c r="B2036">
        <v>39.25</v>
      </c>
      <c r="C2036">
        <v>39.25</v>
      </c>
      <c r="D2036">
        <v>37.75</v>
      </c>
      <c r="E2036">
        <v>38</v>
      </c>
      <c r="F2036">
        <v>861500</v>
      </c>
    </row>
    <row r="2037" spans="1:6">
      <c r="A2037" s="32">
        <v>40798</v>
      </c>
      <c r="B2037">
        <v>39.5</v>
      </c>
      <c r="C2037">
        <v>40</v>
      </c>
      <c r="D2037">
        <v>39</v>
      </c>
      <c r="E2037">
        <v>39</v>
      </c>
      <c r="F2037">
        <v>523500</v>
      </c>
    </row>
    <row r="2038" spans="1:6">
      <c r="A2038" s="32">
        <v>40795</v>
      </c>
      <c r="B2038">
        <v>40</v>
      </c>
      <c r="C2038">
        <v>41.25</v>
      </c>
      <c r="D2038">
        <v>40</v>
      </c>
      <c r="E2038">
        <v>40.25</v>
      </c>
      <c r="F2038">
        <v>1715600</v>
      </c>
    </row>
    <row r="2039" spans="1:6">
      <c r="A2039" s="32">
        <v>40794</v>
      </c>
      <c r="B2039">
        <v>40.25</v>
      </c>
      <c r="C2039">
        <v>40.5</v>
      </c>
      <c r="D2039">
        <v>39.75</v>
      </c>
      <c r="E2039">
        <v>40.25</v>
      </c>
      <c r="F2039">
        <v>389800</v>
      </c>
    </row>
    <row r="2040" spans="1:6">
      <c r="A2040" s="32">
        <v>40793</v>
      </c>
      <c r="B2040">
        <v>38.5</v>
      </c>
      <c r="C2040">
        <v>40.25</v>
      </c>
      <c r="D2040">
        <v>38.5</v>
      </c>
      <c r="E2040">
        <v>40.25</v>
      </c>
      <c r="F2040">
        <v>2348900</v>
      </c>
    </row>
    <row r="2041" spans="1:6">
      <c r="A2041" s="32">
        <v>40792</v>
      </c>
      <c r="B2041">
        <v>39.25</v>
      </c>
      <c r="C2041">
        <v>39.25</v>
      </c>
      <c r="D2041">
        <v>38</v>
      </c>
      <c r="E2041">
        <v>39</v>
      </c>
      <c r="F2041">
        <v>546000</v>
      </c>
    </row>
    <row r="2042" spans="1:6">
      <c r="A2042" s="32">
        <v>40791</v>
      </c>
      <c r="B2042">
        <v>40.25</v>
      </c>
      <c r="C2042">
        <v>40.25</v>
      </c>
      <c r="D2042">
        <v>39.25</v>
      </c>
      <c r="E2042">
        <v>39.5</v>
      </c>
      <c r="F2042">
        <v>383700</v>
      </c>
    </row>
    <row r="2043" spans="1:6">
      <c r="A2043" s="32">
        <v>40788</v>
      </c>
      <c r="B2043">
        <v>39.25</v>
      </c>
      <c r="C2043">
        <v>41</v>
      </c>
      <c r="D2043">
        <v>39.25</v>
      </c>
      <c r="E2043">
        <v>40.25</v>
      </c>
      <c r="F2043">
        <v>2116700</v>
      </c>
    </row>
    <row r="2044" spans="1:6">
      <c r="A2044" s="32">
        <v>40787</v>
      </c>
      <c r="B2044">
        <v>38.25</v>
      </c>
      <c r="C2044">
        <v>39.5</v>
      </c>
      <c r="D2044">
        <v>38</v>
      </c>
      <c r="E2044">
        <v>39.5</v>
      </c>
      <c r="F2044">
        <v>3419800</v>
      </c>
    </row>
    <row r="2045" spans="1:6">
      <c r="A2045" s="32">
        <v>40786</v>
      </c>
      <c r="B2045">
        <v>38</v>
      </c>
      <c r="C2045">
        <v>38.5</v>
      </c>
      <c r="D2045">
        <v>37.75</v>
      </c>
      <c r="E2045">
        <v>38.25</v>
      </c>
      <c r="F2045">
        <v>1111200</v>
      </c>
    </row>
    <row r="2046" spans="1:6">
      <c r="A2046" s="32">
        <v>40785</v>
      </c>
      <c r="B2046">
        <v>37.5</v>
      </c>
      <c r="C2046">
        <v>38</v>
      </c>
      <c r="D2046">
        <v>36.75</v>
      </c>
      <c r="E2046">
        <v>38</v>
      </c>
      <c r="F2046">
        <v>1993900</v>
      </c>
    </row>
    <row r="2047" spans="1:6">
      <c r="A2047" s="32">
        <v>40784</v>
      </c>
      <c r="B2047">
        <v>36</v>
      </c>
      <c r="C2047">
        <v>37.25</v>
      </c>
      <c r="D2047">
        <v>35.5</v>
      </c>
      <c r="E2047">
        <v>37.25</v>
      </c>
      <c r="F2047">
        <v>1071800</v>
      </c>
    </row>
    <row r="2048" spans="1:6">
      <c r="A2048" s="32">
        <v>40781</v>
      </c>
      <c r="B2048">
        <v>35</v>
      </c>
      <c r="C2048">
        <v>36.5</v>
      </c>
      <c r="D2048">
        <v>35</v>
      </c>
      <c r="E2048">
        <v>36.25</v>
      </c>
      <c r="F2048">
        <v>705800</v>
      </c>
    </row>
    <row r="2049" spans="1:6">
      <c r="A2049" s="32">
        <v>40780</v>
      </c>
      <c r="B2049">
        <v>36.25</v>
      </c>
      <c r="C2049">
        <v>36.5</v>
      </c>
      <c r="D2049">
        <v>36</v>
      </c>
      <c r="E2049">
        <v>36</v>
      </c>
      <c r="F2049">
        <v>518500</v>
      </c>
    </row>
    <row r="2050" spans="1:6">
      <c r="A2050" s="32">
        <v>40779</v>
      </c>
      <c r="B2050">
        <v>36.5</v>
      </c>
      <c r="C2050">
        <v>37</v>
      </c>
      <c r="D2050">
        <v>36</v>
      </c>
      <c r="E2050">
        <v>36</v>
      </c>
      <c r="F2050">
        <v>751200</v>
      </c>
    </row>
    <row r="2051" spans="1:6">
      <c r="A2051" s="32">
        <v>40778</v>
      </c>
      <c r="B2051">
        <v>37</v>
      </c>
      <c r="C2051">
        <v>37.25</v>
      </c>
      <c r="D2051">
        <v>36.5</v>
      </c>
      <c r="E2051">
        <v>36.75</v>
      </c>
      <c r="F2051">
        <v>306500</v>
      </c>
    </row>
    <row r="2052" spans="1:6">
      <c r="A2052" s="32">
        <v>40777</v>
      </c>
      <c r="B2052">
        <v>37</v>
      </c>
      <c r="C2052">
        <v>37.75</v>
      </c>
      <c r="D2052">
        <v>36.75</v>
      </c>
      <c r="E2052">
        <v>37.5</v>
      </c>
      <c r="F2052">
        <v>960300</v>
      </c>
    </row>
    <row r="2053" spans="1:6">
      <c r="A2053" s="32">
        <v>40774</v>
      </c>
      <c r="B2053">
        <v>37</v>
      </c>
      <c r="C2053">
        <v>37.5</v>
      </c>
      <c r="D2053">
        <v>36.5</v>
      </c>
      <c r="E2053">
        <v>37</v>
      </c>
      <c r="F2053">
        <v>731400</v>
      </c>
    </row>
    <row r="2054" spans="1:6">
      <c r="A2054" s="32">
        <v>40773</v>
      </c>
      <c r="B2054">
        <v>39</v>
      </c>
      <c r="C2054">
        <v>39</v>
      </c>
      <c r="D2054">
        <v>37.25</v>
      </c>
      <c r="E2054">
        <v>37.75</v>
      </c>
      <c r="F2054">
        <v>1028900</v>
      </c>
    </row>
    <row r="2055" spans="1:6">
      <c r="A2055" s="32">
        <v>40772</v>
      </c>
      <c r="B2055">
        <v>37.75</v>
      </c>
      <c r="C2055">
        <v>38.25</v>
      </c>
      <c r="D2055">
        <v>37.25</v>
      </c>
      <c r="E2055">
        <v>38</v>
      </c>
      <c r="F2055">
        <v>1471100</v>
      </c>
    </row>
    <row r="2056" spans="1:6">
      <c r="A2056" s="32">
        <v>40771</v>
      </c>
      <c r="B2056">
        <v>36.75</v>
      </c>
      <c r="C2056">
        <v>37.5</v>
      </c>
      <c r="D2056">
        <v>36.25</v>
      </c>
      <c r="E2056">
        <v>37.5</v>
      </c>
      <c r="F2056">
        <v>2580600</v>
      </c>
    </row>
    <row r="2057" spans="1:6">
      <c r="A2057" s="32">
        <v>40770</v>
      </c>
      <c r="B2057">
        <v>35.5</v>
      </c>
      <c r="C2057">
        <v>36.75</v>
      </c>
      <c r="D2057">
        <v>35.25</v>
      </c>
      <c r="E2057">
        <v>36.25</v>
      </c>
      <c r="F2057">
        <v>1432900</v>
      </c>
    </row>
    <row r="2058" spans="1:6">
      <c r="A2058" s="32">
        <v>40766</v>
      </c>
      <c r="B2058">
        <v>35</v>
      </c>
      <c r="C2058">
        <v>36</v>
      </c>
      <c r="D2058">
        <v>34.75</v>
      </c>
      <c r="E2058">
        <v>35.25</v>
      </c>
      <c r="F2058">
        <v>1333900</v>
      </c>
    </row>
    <row r="2059" spans="1:6">
      <c r="A2059" s="32">
        <v>40765</v>
      </c>
      <c r="B2059">
        <v>35.75</v>
      </c>
      <c r="C2059">
        <v>35.75</v>
      </c>
      <c r="D2059">
        <v>34.75</v>
      </c>
      <c r="E2059">
        <v>35</v>
      </c>
      <c r="F2059">
        <v>966300</v>
      </c>
    </row>
    <row r="2060" spans="1:6">
      <c r="A2060" s="32">
        <v>40764</v>
      </c>
      <c r="B2060">
        <v>34.5</v>
      </c>
      <c r="C2060">
        <v>35.25</v>
      </c>
      <c r="D2060">
        <v>34.5</v>
      </c>
      <c r="E2060">
        <v>35.25</v>
      </c>
      <c r="F2060">
        <v>579200</v>
      </c>
    </row>
    <row r="2061" spans="1:6">
      <c r="A2061" s="32">
        <v>40763</v>
      </c>
      <c r="B2061">
        <v>34.5</v>
      </c>
      <c r="C2061">
        <v>35.5</v>
      </c>
      <c r="D2061">
        <v>34.5</v>
      </c>
      <c r="E2061">
        <v>35.25</v>
      </c>
      <c r="F2061">
        <v>1093000</v>
      </c>
    </row>
    <row r="2062" spans="1:6">
      <c r="A2062" s="32">
        <v>40760</v>
      </c>
      <c r="B2062">
        <v>36.75</v>
      </c>
      <c r="C2062">
        <v>37</v>
      </c>
      <c r="D2062">
        <v>36</v>
      </c>
      <c r="E2062">
        <v>36</v>
      </c>
      <c r="F2062">
        <v>1334000</v>
      </c>
    </row>
    <row r="2063" spans="1:6">
      <c r="A2063" s="32">
        <v>40759</v>
      </c>
      <c r="B2063">
        <v>37.5</v>
      </c>
      <c r="C2063">
        <v>38</v>
      </c>
      <c r="D2063">
        <v>37.5</v>
      </c>
      <c r="E2063">
        <v>37.5</v>
      </c>
      <c r="F2063">
        <v>287000</v>
      </c>
    </row>
    <row r="2064" spans="1:6">
      <c r="A2064" s="32">
        <v>40758</v>
      </c>
      <c r="B2064">
        <v>37.5</v>
      </c>
      <c r="C2064">
        <v>37.75</v>
      </c>
      <c r="D2064">
        <v>37.25</v>
      </c>
      <c r="E2064">
        <v>37.5</v>
      </c>
      <c r="F2064">
        <v>571700</v>
      </c>
    </row>
    <row r="2065" spans="1:6">
      <c r="A2065" s="32">
        <v>40757</v>
      </c>
      <c r="B2065">
        <v>38</v>
      </c>
      <c r="C2065">
        <v>38.5</v>
      </c>
      <c r="D2065">
        <v>37.5</v>
      </c>
      <c r="E2065">
        <v>37.75</v>
      </c>
      <c r="F2065">
        <v>1155200</v>
      </c>
    </row>
    <row r="2066" spans="1:6">
      <c r="A2066" s="32">
        <v>40756</v>
      </c>
      <c r="B2066">
        <v>37.75</v>
      </c>
      <c r="C2066">
        <v>38.25</v>
      </c>
      <c r="D2066">
        <v>37.5</v>
      </c>
      <c r="E2066">
        <v>38</v>
      </c>
      <c r="F2066">
        <v>591400</v>
      </c>
    </row>
    <row r="2067" spans="1:6">
      <c r="A2067" s="32">
        <v>40753</v>
      </c>
      <c r="B2067">
        <v>38</v>
      </c>
      <c r="C2067">
        <v>38</v>
      </c>
      <c r="D2067">
        <v>37.25</v>
      </c>
      <c r="E2067">
        <v>37.75</v>
      </c>
      <c r="F2067">
        <v>333700</v>
      </c>
    </row>
    <row r="2068" spans="1:6">
      <c r="A2068" s="32">
        <v>40752</v>
      </c>
      <c r="B2068">
        <v>37.25</v>
      </c>
      <c r="C2068">
        <v>38</v>
      </c>
      <c r="D2068">
        <v>37</v>
      </c>
      <c r="E2068">
        <v>37.75</v>
      </c>
      <c r="F2068">
        <v>1011500</v>
      </c>
    </row>
    <row r="2069" spans="1:6">
      <c r="A2069" s="32">
        <v>40751</v>
      </c>
      <c r="B2069">
        <v>37</v>
      </c>
      <c r="C2069">
        <v>37.5</v>
      </c>
      <c r="D2069">
        <v>37</v>
      </c>
      <c r="E2069">
        <v>37.25</v>
      </c>
      <c r="F2069">
        <v>315800</v>
      </c>
    </row>
    <row r="2070" spans="1:6">
      <c r="A2070" s="32">
        <v>40750</v>
      </c>
      <c r="B2070">
        <v>37.5</v>
      </c>
      <c r="C2070">
        <v>37.5</v>
      </c>
      <c r="D2070">
        <v>37</v>
      </c>
      <c r="E2070">
        <v>37</v>
      </c>
      <c r="F2070">
        <v>535200</v>
      </c>
    </row>
    <row r="2071" spans="1:6">
      <c r="A2071" s="32">
        <v>40749</v>
      </c>
      <c r="B2071">
        <v>37</v>
      </c>
      <c r="C2071">
        <v>37.5</v>
      </c>
      <c r="D2071">
        <v>36.75</v>
      </c>
      <c r="E2071">
        <v>37.5</v>
      </c>
      <c r="F2071">
        <v>1088600</v>
      </c>
    </row>
    <row r="2072" spans="1:6">
      <c r="A2072" s="32">
        <v>40746</v>
      </c>
      <c r="B2072">
        <v>36.75</v>
      </c>
      <c r="C2072">
        <v>37.25</v>
      </c>
      <c r="D2072">
        <v>36.75</v>
      </c>
      <c r="E2072">
        <v>36.75</v>
      </c>
      <c r="F2072">
        <v>995700</v>
      </c>
    </row>
    <row r="2073" spans="1:6">
      <c r="A2073" s="32">
        <v>40745</v>
      </c>
      <c r="B2073">
        <v>36.25</v>
      </c>
      <c r="C2073">
        <v>36.75</v>
      </c>
      <c r="D2073">
        <v>36</v>
      </c>
      <c r="E2073">
        <v>36.5</v>
      </c>
      <c r="F2073">
        <v>842800</v>
      </c>
    </row>
    <row r="2074" spans="1:6">
      <c r="A2074" s="32">
        <v>40744</v>
      </c>
      <c r="B2074">
        <v>36</v>
      </c>
      <c r="C2074">
        <v>36.25</v>
      </c>
      <c r="D2074">
        <v>36</v>
      </c>
      <c r="E2074">
        <v>36</v>
      </c>
      <c r="F2074">
        <v>724100</v>
      </c>
    </row>
    <row r="2075" spans="1:6">
      <c r="A2075" s="32">
        <v>40743</v>
      </c>
      <c r="B2075">
        <v>36</v>
      </c>
      <c r="C2075">
        <v>36.5</v>
      </c>
      <c r="D2075">
        <v>35.75</v>
      </c>
      <c r="E2075">
        <v>35.75</v>
      </c>
      <c r="F2075">
        <v>1196600</v>
      </c>
    </row>
    <row r="2076" spans="1:6">
      <c r="A2076" s="32">
        <v>40742</v>
      </c>
      <c r="B2076">
        <v>36.5</v>
      </c>
      <c r="C2076">
        <v>36.75</v>
      </c>
      <c r="D2076">
        <v>36</v>
      </c>
      <c r="E2076">
        <v>36.25</v>
      </c>
      <c r="F2076">
        <v>240100</v>
      </c>
    </row>
    <row r="2077" spans="1:6">
      <c r="A2077" s="32">
        <v>40738</v>
      </c>
      <c r="B2077">
        <v>36.25</v>
      </c>
      <c r="C2077">
        <v>36.5</v>
      </c>
      <c r="D2077">
        <v>35.75</v>
      </c>
      <c r="E2077">
        <v>36.25</v>
      </c>
      <c r="F2077">
        <v>1226000</v>
      </c>
    </row>
    <row r="2078" spans="1:6">
      <c r="A2078" s="32">
        <v>40737</v>
      </c>
      <c r="B2078">
        <v>36.5</v>
      </c>
      <c r="C2078">
        <v>37.25</v>
      </c>
      <c r="D2078">
        <v>36.5</v>
      </c>
      <c r="E2078">
        <v>36.75</v>
      </c>
      <c r="F2078">
        <v>1208200</v>
      </c>
    </row>
    <row r="2079" spans="1:6">
      <c r="A2079" s="32">
        <v>40736</v>
      </c>
      <c r="B2079">
        <v>36.5</v>
      </c>
      <c r="C2079">
        <v>37</v>
      </c>
      <c r="D2079">
        <v>36.25</v>
      </c>
      <c r="E2079">
        <v>36.75</v>
      </c>
      <c r="F2079">
        <v>333800</v>
      </c>
    </row>
    <row r="2080" spans="1:6">
      <c r="A2080" s="32">
        <v>40735</v>
      </c>
      <c r="B2080">
        <v>38</v>
      </c>
      <c r="C2080">
        <v>38</v>
      </c>
      <c r="D2080">
        <v>36.5</v>
      </c>
      <c r="E2080">
        <v>36.75</v>
      </c>
      <c r="F2080">
        <v>1250400</v>
      </c>
    </row>
    <row r="2081" spans="1:6">
      <c r="A2081" s="32">
        <v>40732</v>
      </c>
      <c r="B2081">
        <v>37.75</v>
      </c>
      <c r="C2081">
        <v>38.5</v>
      </c>
      <c r="D2081">
        <v>37.75</v>
      </c>
      <c r="E2081">
        <v>38</v>
      </c>
      <c r="F2081">
        <v>645900</v>
      </c>
    </row>
    <row r="2082" spans="1:6">
      <c r="A2082" s="32">
        <v>40731</v>
      </c>
      <c r="B2082">
        <v>38</v>
      </c>
      <c r="C2082">
        <v>38</v>
      </c>
      <c r="D2082">
        <v>37.75</v>
      </c>
      <c r="E2082">
        <v>37.75</v>
      </c>
      <c r="F2082">
        <v>176500</v>
      </c>
    </row>
    <row r="2083" spans="1:6">
      <c r="A2083" s="32">
        <v>40730</v>
      </c>
      <c r="B2083">
        <v>38</v>
      </c>
      <c r="C2083">
        <v>38</v>
      </c>
      <c r="D2083">
        <v>37.75</v>
      </c>
      <c r="E2083">
        <v>37.75</v>
      </c>
      <c r="F2083">
        <v>407500</v>
      </c>
    </row>
    <row r="2084" spans="1:6">
      <c r="A2084" s="32">
        <v>40729</v>
      </c>
      <c r="B2084">
        <v>38.25</v>
      </c>
      <c r="C2084">
        <v>38.25</v>
      </c>
      <c r="D2084">
        <v>37.75</v>
      </c>
      <c r="E2084">
        <v>37.75</v>
      </c>
      <c r="F2084">
        <v>332400</v>
      </c>
    </row>
    <row r="2085" spans="1:6">
      <c r="A2085" s="32">
        <v>40728</v>
      </c>
      <c r="B2085">
        <v>37.5</v>
      </c>
      <c r="C2085">
        <v>38</v>
      </c>
      <c r="D2085">
        <v>37.25</v>
      </c>
      <c r="E2085">
        <v>38</v>
      </c>
      <c r="F2085">
        <v>614400</v>
      </c>
    </row>
    <row r="2086" spans="1:6">
      <c r="A2086" s="32">
        <v>40724</v>
      </c>
      <c r="B2086">
        <v>37</v>
      </c>
      <c r="C2086">
        <v>37</v>
      </c>
      <c r="D2086">
        <v>36.25</v>
      </c>
      <c r="E2086">
        <v>36.5</v>
      </c>
      <c r="F2086">
        <v>415500</v>
      </c>
    </row>
    <row r="2087" spans="1:6">
      <c r="A2087" s="32">
        <v>40723</v>
      </c>
      <c r="B2087">
        <v>35.25</v>
      </c>
      <c r="C2087">
        <v>36.75</v>
      </c>
      <c r="D2087">
        <v>35.25</v>
      </c>
      <c r="E2087">
        <v>36.75</v>
      </c>
      <c r="F2087">
        <v>212300</v>
      </c>
    </row>
    <row r="2088" spans="1:6">
      <c r="A2088" s="32">
        <v>40722</v>
      </c>
      <c r="B2088">
        <v>35.25</v>
      </c>
      <c r="C2088">
        <v>35.75</v>
      </c>
      <c r="D2088">
        <v>35</v>
      </c>
      <c r="E2088">
        <v>35.25</v>
      </c>
      <c r="F2088">
        <v>384000</v>
      </c>
    </row>
    <row r="2089" spans="1:6">
      <c r="A2089" s="32">
        <v>40721</v>
      </c>
      <c r="B2089">
        <v>35.75</v>
      </c>
      <c r="C2089">
        <v>35.75</v>
      </c>
      <c r="D2089">
        <v>35</v>
      </c>
      <c r="E2089">
        <v>35</v>
      </c>
      <c r="F2089">
        <v>206500</v>
      </c>
    </row>
    <row r="2090" spans="1:6">
      <c r="A2090" s="32">
        <v>40718</v>
      </c>
      <c r="B2090">
        <v>35.75</v>
      </c>
      <c r="C2090">
        <v>36.25</v>
      </c>
      <c r="D2090">
        <v>35.75</v>
      </c>
      <c r="E2090">
        <v>35.75</v>
      </c>
      <c r="F2090">
        <v>135700</v>
      </c>
    </row>
    <row r="2091" spans="1:6">
      <c r="A2091" s="32">
        <v>40717</v>
      </c>
      <c r="B2091">
        <v>36.5</v>
      </c>
      <c r="C2091">
        <v>36.5</v>
      </c>
      <c r="D2091">
        <v>35.5</v>
      </c>
      <c r="E2091">
        <v>35.5</v>
      </c>
      <c r="F2091">
        <v>320400</v>
      </c>
    </row>
    <row r="2092" spans="1:6">
      <c r="A2092" s="32">
        <v>40716</v>
      </c>
      <c r="B2092">
        <v>36.5</v>
      </c>
      <c r="C2092">
        <v>36.75</v>
      </c>
      <c r="D2092">
        <v>36.25</v>
      </c>
      <c r="E2092">
        <v>36.5</v>
      </c>
      <c r="F2092">
        <v>255400</v>
      </c>
    </row>
    <row r="2093" spans="1:6">
      <c r="A2093" s="32">
        <v>40715</v>
      </c>
      <c r="B2093">
        <v>36.5</v>
      </c>
      <c r="C2093">
        <v>36.75</v>
      </c>
      <c r="D2093">
        <v>36.25</v>
      </c>
      <c r="E2093">
        <v>36.25</v>
      </c>
      <c r="F2093">
        <v>303400</v>
      </c>
    </row>
    <row r="2094" spans="1:6">
      <c r="A2094" s="32">
        <v>40714</v>
      </c>
      <c r="B2094">
        <v>37</v>
      </c>
      <c r="C2094">
        <v>37</v>
      </c>
      <c r="D2094">
        <v>36.25</v>
      </c>
      <c r="E2094">
        <v>36.25</v>
      </c>
      <c r="F2094">
        <v>545700</v>
      </c>
    </row>
    <row r="2095" spans="1:6">
      <c r="A2095" s="32">
        <v>40711</v>
      </c>
      <c r="B2095">
        <v>37.25</v>
      </c>
      <c r="C2095">
        <v>37.5</v>
      </c>
      <c r="D2095">
        <v>36.75</v>
      </c>
      <c r="E2095">
        <v>36.75</v>
      </c>
      <c r="F2095">
        <v>733700</v>
      </c>
    </row>
    <row r="2096" spans="1:6">
      <c r="A2096" s="32">
        <v>40710</v>
      </c>
      <c r="B2096">
        <v>37.5</v>
      </c>
      <c r="C2096">
        <v>37.5</v>
      </c>
      <c r="D2096">
        <v>37</v>
      </c>
      <c r="E2096">
        <v>37</v>
      </c>
      <c r="F2096">
        <v>684400</v>
      </c>
    </row>
    <row r="2097" spans="1:6">
      <c r="A2097" s="32">
        <v>40709</v>
      </c>
      <c r="B2097">
        <v>37.75</v>
      </c>
      <c r="C2097">
        <v>37.75</v>
      </c>
      <c r="D2097">
        <v>37.5</v>
      </c>
      <c r="E2097">
        <v>37.75</v>
      </c>
      <c r="F2097">
        <v>219800</v>
      </c>
    </row>
    <row r="2098" spans="1:6">
      <c r="A2098" s="32">
        <v>40708</v>
      </c>
      <c r="B2098">
        <v>37.25</v>
      </c>
      <c r="C2098">
        <v>37.75</v>
      </c>
      <c r="D2098">
        <v>37</v>
      </c>
      <c r="E2098">
        <v>37.75</v>
      </c>
      <c r="F2098">
        <v>393100</v>
      </c>
    </row>
    <row r="2099" spans="1:6">
      <c r="A2099" s="32">
        <v>40707</v>
      </c>
      <c r="B2099">
        <v>37.25</v>
      </c>
      <c r="C2099">
        <v>38</v>
      </c>
      <c r="D2099">
        <v>37.25</v>
      </c>
      <c r="E2099">
        <v>37.25</v>
      </c>
      <c r="F2099">
        <v>143000</v>
      </c>
    </row>
    <row r="2100" spans="1:6">
      <c r="A2100" s="32">
        <v>40704</v>
      </c>
      <c r="B2100">
        <v>36.75</v>
      </c>
      <c r="C2100">
        <v>38</v>
      </c>
      <c r="D2100">
        <v>36.75</v>
      </c>
      <c r="E2100">
        <v>38</v>
      </c>
      <c r="F2100">
        <v>321600</v>
      </c>
    </row>
    <row r="2101" spans="1:6">
      <c r="A2101" s="32">
        <v>40703</v>
      </c>
      <c r="B2101">
        <v>37.25</v>
      </c>
      <c r="C2101">
        <v>38</v>
      </c>
      <c r="D2101">
        <v>36.75</v>
      </c>
      <c r="E2101">
        <v>37</v>
      </c>
      <c r="F2101">
        <v>921400</v>
      </c>
    </row>
    <row r="2102" spans="1:6">
      <c r="A2102" s="32">
        <v>40702</v>
      </c>
      <c r="B2102">
        <v>38.25</v>
      </c>
      <c r="C2102">
        <v>38.5</v>
      </c>
      <c r="D2102">
        <v>37.25</v>
      </c>
      <c r="E2102">
        <v>38</v>
      </c>
      <c r="F2102">
        <v>1270500</v>
      </c>
    </row>
    <row r="2103" spans="1:6">
      <c r="A2103" s="32">
        <v>40701</v>
      </c>
      <c r="B2103">
        <v>38.5</v>
      </c>
      <c r="C2103">
        <v>38.5</v>
      </c>
      <c r="D2103">
        <v>38</v>
      </c>
      <c r="E2103">
        <v>38.25</v>
      </c>
      <c r="F2103">
        <v>395900</v>
      </c>
    </row>
    <row r="2104" spans="1:6">
      <c r="A2104" s="32">
        <v>40700</v>
      </c>
      <c r="B2104">
        <v>38.5</v>
      </c>
      <c r="C2104">
        <v>39</v>
      </c>
      <c r="D2104">
        <v>38</v>
      </c>
      <c r="E2104">
        <v>38.25</v>
      </c>
      <c r="F2104">
        <v>85200</v>
      </c>
    </row>
    <row r="2105" spans="1:6">
      <c r="A2105" s="32">
        <v>40697</v>
      </c>
      <c r="B2105">
        <v>39</v>
      </c>
      <c r="C2105">
        <v>39</v>
      </c>
      <c r="D2105">
        <v>37.75</v>
      </c>
      <c r="E2105">
        <v>38.5</v>
      </c>
      <c r="F2105">
        <v>345000</v>
      </c>
    </row>
    <row r="2106" spans="1:6">
      <c r="A2106" s="32">
        <v>40696</v>
      </c>
      <c r="B2106">
        <v>38.5</v>
      </c>
      <c r="C2106">
        <v>39</v>
      </c>
      <c r="D2106">
        <v>38.25</v>
      </c>
      <c r="E2106">
        <v>38.5</v>
      </c>
      <c r="F2106">
        <v>215400</v>
      </c>
    </row>
    <row r="2107" spans="1:6">
      <c r="A2107" s="32">
        <v>40695</v>
      </c>
      <c r="B2107">
        <v>39.5</v>
      </c>
      <c r="C2107">
        <v>39.5</v>
      </c>
      <c r="D2107">
        <v>38.5</v>
      </c>
      <c r="E2107">
        <v>38.5</v>
      </c>
      <c r="F2107">
        <v>1009500</v>
      </c>
    </row>
    <row r="2108" spans="1:6">
      <c r="A2108" s="32">
        <v>40694</v>
      </c>
      <c r="B2108">
        <v>37.75</v>
      </c>
      <c r="C2108">
        <v>39</v>
      </c>
      <c r="D2108">
        <v>37.5</v>
      </c>
      <c r="E2108">
        <v>39</v>
      </c>
      <c r="F2108">
        <v>1380800</v>
      </c>
    </row>
    <row r="2109" spans="1:6">
      <c r="A2109" s="32">
        <v>40693</v>
      </c>
      <c r="B2109">
        <v>37.5</v>
      </c>
      <c r="C2109">
        <v>38</v>
      </c>
      <c r="D2109">
        <v>37.25</v>
      </c>
      <c r="E2109">
        <v>37.75</v>
      </c>
      <c r="F2109">
        <v>678700</v>
      </c>
    </row>
    <row r="2110" spans="1:6">
      <c r="A2110" s="32">
        <v>40690</v>
      </c>
      <c r="B2110">
        <v>37.5</v>
      </c>
      <c r="C2110">
        <v>38</v>
      </c>
      <c r="D2110">
        <v>37</v>
      </c>
      <c r="E2110">
        <v>37.5</v>
      </c>
      <c r="F2110">
        <v>1239900</v>
      </c>
    </row>
    <row r="2111" spans="1:6">
      <c r="A2111" s="32">
        <v>40689</v>
      </c>
      <c r="B2111">
        <v>37.75</v>
      </c>
      <c r="C2111">
        <v>38.25</v>
      </c>
      <c r="D2111">
        <v>37.75</v>
      </c>
      <c r="E2111">
        <v>37.75</v>
      </c>
      <c r="F2111">
        <v>153700</v>
      </c>
    </row>
    <row r="2112" spans="1:6">
      <c r="A2112" s="32">
        <v>40688</v>
      </c>
      <c r="B2112">
        <v>38.25</v>
      </c>
      <c r="C2112">
        <v>38.25</v>
      </c>
      <c r="D2112">
        <v>37.75</v>
      </c>
      <c r="E2112">
        <v>37.75</v>
      </c>
      <c r="F2112">
        <v>109000</v>
      </c>
    </row>
    <row r="2113" spans="1:6">
      <c r="A2113" s="32">
        <v>40687</v>
      </c>
      <c r="B2113">
        <v>38</v>
      </c>
      <c r="C2113">
        <v>38.5</v>
      </c>
      <c r="D2113">
        <v>38</v>
      </c>
      <c r="E2113">
        <v>38.5</v>
      </c>
      <c r="F2113">
        <v>118100</v>
      </c>
    </row>
    <row r="2114" spans="1:6">
      <c r="A2114" s="32">
        <v>40686</v>
      </c>
      <c r="B2114">
        <v>38</v>
      </c>
      <c r="C2114">
        <v>38.25</v>
      </c>
      <c r="D2114">
        <v>37.75</v>
      </c>
      <c r="E2114">
        <v>38</v>
      </c>
      <c r="F2114">
        <v>226700</v>
      </c>
    </row>
    <row r="2115" spans="1:6">
      <c r="A2115" s="32">
        <v>40683</v>
      </c>
      <c r="B2115">
        <v>39</v>
      </c>
      <c r="C2115">
        <v>39</v>
      </c>
      <c r="D2115">
        <v>38</v>
      </c>
      <c r="E2115">
        <v>38</v>
      </c>
      <c r="F2115">
        <v>889800</v>
      </c>
    </row>
    <row r="2116" spans="1:6">
      <c r="A2116" s="32">
        <v>40682</v>
      </c>
      <c r="B2116">
        <v>38.25</v>
      </c>
      <c r="C2116">
        <v>39</v>
      </c>
      <c r="D2116">
        <v>37.75</v>
      </c>
      <c r="E2116">
        <v>39</v>
      </c>
      <c r="F2116">
        <v>1776700</v>
      </c>
    </row>
    <row r="2117" spans="1:6">
      <c r="A2117" s="32">
        <v>40681</v>
      </c>
      <c r="B2117">
        <v>37.75</v>
      </c>
      <c r="C2117">
        <v>38.5</v>
      </c>
      <c r="D2117">
        <v>37.75</v>
      </c>
      <c r="E2117">
        <v>38.25</v>
      </c>
      <c r="F2117">
        <v>929200</v>
      </c>
    </row>
    <row r="2118" spans="1:6">
      <c r="A2118" s="32">
        <v>40676</v>
      </c>
      <c r="B2118">
        <v>37.75</v>
      </c>
      <c r="C2118">
        <v>38.5</v>
      </c>
      <c r="D2118">
        <v>37.5</v>
      </c>
      <c r="E2118">
        <v>38</v>
      </c>
      <c r="F2118">
        <v>381200</v>
      </c>
    </row>
    <row r="2119" spans="1:6">
      <c r="A2119" s="32">
        <v>40675</v>
      </c>
      <c r="B2119">
        <v>38</v>
      </c>
      <c r="C2119">
        <v>38.75</v>
      </c>
      <c r="D2119">
        <v>38</v>
      </c>
      <c r="E2119">
        <v>38</v>
      </c>
      <c r="F2119">
        <v>386700</v>
      </c>
    </row>
    <row r="2120" spans="1:6">
      <c r="A2120" s="32">
        <v>40674</v>
      </c>
      <c r="B2120">
        <v>37.75</v>
      </c>
      <c r="C2120">
        <v>38.25</v>
      </c>
      <c r="D2120">
        <v>37.5</v>
      </c>
      <c r="E2120">
        <v>37.75</v>
      </c>
      <c r="F2120">
        <v>666600</v>
      </c>
    </row>
    <row r="2121" spans="1:6">
      <c r="A2121" s="32">
        <v>40673</v>
      </c>
      <c r="B2121">
        <v>37</v>
      </c>
      <c r="C2121">
        <v>37.75</v>
      </c>
      <c r="D2121">
        <v>37</v>
      </c>
      <c r="E2121">
        <v>37.5</v>
      </c>
      <c r="F2121">
        <v>500700</v>
      </c>
    </row>
    <row r="2122" spans="1:6">
      <c r="A2122" s="32">
        <v>40672</v>
      </c>
      <c r="B2122">
        <v>36.5</v>
      </c>
      <c r="C2122">
        <v>37.25</v>
      </c>
      <c r="D2122">
        <v>36.5</v>
      </c>
      <c r="E2122">
        <v>37</v>
      </c>
      <c r="F2122">
        <v>1152700</v>
      </c>
    </row>
    <row r="2123" spans="1:6">
      <c r="A2123" s="32">
        <v>40669</v>
      </c>
      <c r="B2123">
        <v>37.25</v>
      </c>
      <c r="C2123">
        <v>37.5</v>
      </c>
      <c r="D2123">
        <v>36</v>
      </c>
      <c r="E2123">
        <v>36.5</v>
      </c>
      <c r="F2123">
        <v>1646200</v>
      </c>
    </row>
    <row r="2124" spans="1:6">
      <c r="A2124" s="32">
        <v>40667</v>
      </c>
      <c r="B2124">
        <v>37.25</v>
      </c>
      <c r="C2124">
        <v>37.75</v>
      </c>
      <c r="D2124">
        <v>37.25</v>
      </c>
      <c r="E2124">
        <v>37.75</v>
      </c>
      <c r="F2124">
        <v>264000</v>
      </c>
    </row>
    <row r="2125" spans="1:6">
      <c r="A2125" s="32">
        <v>40666</v>
      </c>
      <c r="B2125">
        <v>38.5</v>
      </c>
      <c r="C2125">
        <v>39</v>
      </c>
      <c r="D2125">
        <v>37.25</v>
      </c>
      <c r="E2125">
        <v>37.75</v>
      </c>
      <c r="F2125">
        <v>794600</v>
      </c>
    </row>
    <row r="2126" spans="1:6">
      <c r="A2126" s="32">
        <v>40662</v>
      </c>
      <c r="B2126">
        <v>39.25</v>
      </c>
      <c r="C2126">
        <v>39.25</v>
      </c>
      <c r="D2126">
        <v>38.5</v>
      </c>
      <c r="E2126">
        <v>38.75</v>
      </c>
      <c r="F2126">
        <v>313000</v>
      </c>
    </row>
    <row r="2127" spans="1:6">
      <c r="A2127" s="32">
        <v>40661</v>
      </c>
      <c r="B2127">
        <v>39.75</v>
      </c>
      <c r="C2127">
        <v>40</v>
      </c>
      <c r="D2127">
        <v>39</v>
      </c>
      <c r="E2127">
        <v>39</v>
      </c>
      <c r="F2127">
        <v>649300</v>
      </c>
    </row>
    <row r="2128" spans="1:6">
      <c r="A2128" s="32">
        <v>40660</v>
      </c>
      <c r="B2128">
        <v>39</v>
      </c>
      <c r="C2128">
        <v>40</v>
      </c>
      <c r="D2128">
        <v>39</v>
      </c>
      <c r="E2128">
        <v>39.75</v>
      </c>
      <c r="F2128">
        <v>1811100</v>
      </c>
    </row>
    <row r="2129" spans="1:6">
      <c r="A2129" s="32">
        <v>40659</v>
      </c>
      <c r="B2129">
        <v>38.25</v>
      </c>
      <c r="C2129">
        <v>39</v>
      </c>
      <c r="D2129">
        <v>38.25</v>
      </c>
      <c r="E2129">
        <v>39</v>
      </c>
      <c r="F2129">
        <v>195400</v>
      </c>
    </row>
    <row r="2130" spans="1:6">
      <c r="A2130" s="32">
        <v>40658</v>
      </c>
      <c r="B2130">
        <v>38.75</v>
      </c>
      <c r="C2130">
        <v>39</v>
      </c>
      <c r="D2130">
        <v>38.5</v>
      </c>
      <c r="E2130">
        <v>38.75</v>
      </c>
      <c r="F2130">
        <v>109100</v>
      </c>
    </row>
    <row r="2131" spans="1:6">
      <c r="A2131" s="32">
        <v>40655</v>
      </c>
      <c r="B2131">
        <v>38.5</v>
      </c>
      <c r="C2131">
        <v>39</v>
      </c>
      <c r="D2131">
        <v>38.5</v>
      </c>
      <c r="E2131">
        <v>38.75</v>
      </c>
      <c r="F2131">
        <v>291500</v>
      </c>
    </row>
    <row r="2132" spans="1:6">
      <c r="A2132" s="32">
        <v>40654</v>
      </c>
      <c r="B2132">
        <v>38.75</v>
      </c>
      <c r="C2132">
        <v>39.5</v>
      </c>
      <c r="D2132">
        <v>38.25</v>
      </c>
      <c r="E2132">
        <v>38.75</v>
      </c>
      <c r="F2132">
        <v>846500</v>
      </c>
    </row>
    <row r="2133" spans="1:6">
      <c r="A2133" s="32">
        <v>40653</v>
      </c>
      <c r="B2133">
        <v>38</v>
      </c>
      <c r="C2133">
        <v>38.75</v>
      </c>
      <c r="D2133">
        <v>37.75</v>
      </c>
      <c r="E2133">
        <v>38.5</v>
      </c>
      <c r="F2133">
        <v>806100</v>
      </c>
    </row>
    <row r="2134" spans="1:6">
      <c r="A2134" s="32">
        <v>40652</v>
      </c>
      <c r="B2134">
        <v>38.75</v>
      </c>
      <c r="C2134">
        <v>38.75</v>
      </c>
      <c r="D2134">
        <v>38.25</v>
      </c>
      <c r="E2134">
        <v>38.5</v>
      </c>
      <c r="F2134">
        <v>523100</v>
      </c>
    </row>
    <row r="2135" spans="1:6">
      <c r="A2135" s="32">
        <v>40651</v>
      </c>
      <c r="B2135">
        <v>39</v>
      </c>
      <c r="C2135">
        <v>39.5</v>
      </c>
      <c r="D2135">
        <v>38.75</v>
      </c>
      <c r="E2135">
        <v>38.75</v>
      </c>
      <c r="F2135">
        <v>293900</v>
      </c>
    </row>
    <row r="2136" spans="1:6">
      <c r="A2136" s="32">
        <v>40645</v>
      </c>
      <c r="B2136">
        <v>39.75</v>
      </c>
      <c r="C2136">
        <v>39.75</v>
      </c>
      <c r="D2136">
        <v>39</v>
      </c>
      <c r="E2136">
        <v>39.5</v>
      </c>
      <c r="F2136">
        <v>596700</v>
      </c>
    </row>
    <row r="2137" spans="1:6">
      <c r="A2137" s="32">
        <v>40644</v>
      </c>
      <c r="B2137">
        <v>38</v>
      </c>
      <c r="C2137">
        <v>40</v>
      </c>
      <c r="D2137">
        <v>38</v>
      </c>
      <c r="E2137">
        <v>39.75</v>
      </c>
      <c r="F2137">
        <v>1692600</v>
      </c>
    </row>
    <row r="2138" spans="1:6">
      <c r="A2138" s="32">
        <v>40641</v>
      </c>
      <c r="B2138">
        <v>37.75</v>
      </c>
      <c r="C2138">
        <v>38.25</v>
      </c>
      <c r="D2138">
        <v>37.5</v>
      </c>
      <c r="E2138">
        <v>37.5</v>
      </c>
      <c r="F2138">
        <v>1054300</v>
      </c>
    </row>
    <row r="2139" spans="1:6">
      <c r="A2139" s="32">
        <v>40640</v>
      </c>
      <c r="B2139">
        <v>38.5</v>
      </c>
      <c r="C2139">
        <v>39</v>
      </c>
      <c r="D2139">
        <v>37</v>
      </c>
      <c r="E2139">
        <v>37.75</v>
      </c>
      <c r="F2139">
        <v>1387600</v>
      </c>
    </row>
    <row r="2140" spans="1:6">
      <c r="A2140" s="32">
        <v>40638</v>
      </c>
      <c r="B2140">
        <v>39.25</v>
      </c>
      <c r="C2140">
        <v>39.25</v>
      </c>
      <c r="D2140">
        <v>38.25</v>
      </c>
      <c r="E2140">
        <v>38.25</v>
      </c>
      <c r="F2140">
        <v>294900</v>
      </c>
    </row>
    <row r="2141" spans="1:6">
      <c r="A2141" s="32">
        <v>40637</v>
      </c>
      <c r="B2141">
        <v>39.75</v>
      </c>
      <c r="C2141">
        <v>39.75</v>
      </c>
      <c r="D2141">
        <v>38.5</v>
      </c>
      <c r="E2141">
        <v>39.25</v>
      </c>
      <c r="F2141">
        <v>298200</v>
      </c>
    </row>
    <row r="2142" spans="1:6">
      <c r="A2142" s="32">
        <v>40634</v>
      </c>
      <c r="B2142">
        <v>38.5</v>
      </c>
      <c r="C2142">
        <v>39.75</v>
      </c>
      <c r="D2142">
        <v>38</v>
      </c>
      <c r="E2142">
        <v>39</v>
      </c>
      <c r="F2142">
        <v>2329400</v>
      </c>
    </row>
    <row r="2143" spans="1:6">
      <c r="A2143" s="32">
        <v>40633</v>
      </c>
      <c r="B2143">
        <v>37.75</v>
      </c>
      <c r="C2143">
        <v>38</v>
      </c>
      <c r="D2143">
        <v>37.5</v>
      </c>
      <c r="E2143">
        <v>38</v>
      </c>
      <c r="F2143">
        <v>808400</v>
      </c>
    </row>
    <row r="2144" spans="1:6">
      <c r="A2144" s="32">
        <v>40632</v>
      </c>
      <c r="B2144">
        <v>37.5</v>
      </c>
      <c r="C2144">
        <v>38.25</v>
      </c>
      <c r="D2144">
        <v>37.5</v>
      </c>
      <c r="E2144">
        <v>37.75</v>
      </c>
      <c r="F2144">
        <v>2306800</v>
      </c>
    </row>
    <row r="2145" spans="1:6">
      <c r="A2145" s="32">
        <v>40631</v>
      </c>
      <c r="B2145">
        <v>37.5</v>
      </c>
      <c r="C2145">
        <v>37.75</v>
      </c>
      <c r="D2145">
        <v>37</v>
      </c>
      <c r="E2145">
        <v>37.25</v>
      </c>
      <c r="F2145">
        <v>681300</v>
      </c>
    </row>
    <row r="2146" spans="1:6">
      <c r="A2146" s="32">
        <v>40630</v>
      </c>
      <c r="B2146">
        <v>37.5</v>
      </c>
      <c r="C2146">
        <v>37.5</v>
      </c>
      <c r="D2146">
        <v>37</v>
      </c>
      <c r="E2146">
        <v>37.25</v>
      </c>
      <c r="F2146">
        <v>292000</v>
      </c>
    </row>
    <row r="2147" spans="1:6">
      <c r="A2147" s="32">
        <v>40627</v>
      </c>
      <c r="B2147">
        <v>36.75</v>
      </c>
      <c r="C2147">
        <v>37.75</v>
      </c>
      <c r="D2147">
        <v>36.75</v>
      </c>
      <c r="E2147">
        <v>37.25</v>
      </c>
      <c r="F2147">
        <v>2758300</v>
      </c>
    </row>
    <row r="2148" spans="1:6">
      <c r="A2148" s="32">
        <v>40626</v>
      </c>
      <c r="B2148">
        <v>35.5</v>
      </c>
      <c r="C2148">
        <v>36.5</v>
      </c>
      <c r="D2148">
        <v>35.5</v>
      </c>
      <c r="E2148">
        <v>36.25</v>
      </c>
      <c r="F2148">
        <v>2396300</v>
      </c>
    </row>
    <row r="2149" spans="1:6">
      <c r="A2149" s="32">
        <v>40625</v>
      </c>
      <c r="B2149">
        <v>35.25</v>
      </c>
      <c r="C2149">
        <v>35.75</v>
      </c>
      <c r="D2149">
        <v>35.25</v>
      </c>
      <c r="E2149">
        <v>35.5</v>
      </c>
      <c r="F2149">
        <v>300500</v>
      </c>
    </row>
    <row r="2150" spans="1:6">
      <c r="A2150" s="32">
        <v>40624</v>
      </c>
      <c r="B2150">
        <v>36</v>
      </c>
      <c r="C2150">
        <v>36</v>
      </c>
      <c r="D2150">
        <v>35</v>
      </c>
      <c r="E2150">
        <v>35</v>
      </c>
      <c r="F2150">
        <v>342700</v>
      </c>
    </row>
    <row r="2151" spans="1:6">
      <c r="A2151" s="32">
        <v>40623</v>
      </c>
      <c r="B2151">
        <v>36.25</v>
      </c>
      <c r="C2151">
        <v>36.5</v>
      </c>
      <c r="D2151">
        <v>35.5</v>
      </c>
      <c r="E2151">
        <v>36</v>
      </c>
      <c r="F2151">
        <v>490200</v>
      </c>
    </row>
    <row r="2152" spans="1:6">
      <c r="A2152" s="32">
        <v>40620</v>
      </c>
      <c r="B2152">
        <v>35</v>
      </c>
      <c r="C2152">
        <v>36.25</v>
      </c>
      <c r="D2152">
        <v>35</v>
      </c>
      <c r="E2152">
        <v>35.5</v>
      </c>
      <c r="F2152">
        <v>527600</v>
      </c>
    </row>
    <row r="2153" spans="1:6">
      <c r="A2153" s="32">
        <v>40619</v>
      </c>
      <c r="B2153">
        <v>35</v>
      </c>
      <c r="C2153">
        <v>35</v>
      </c>
      <c r="D2153">
        <v>34.5</v>
      </c>
      <c r="E2153">
        <v>35</v>
      </c>
      <c r="F2153">
        <v>85600</v>
      </c>
    </row>
    <row r="2154" spans="1:6">
      <c r="A2154" s="32">
        <v>40618</v>
      </c>
      <c r="B2154">
        <v>35.5</v>
      </c>
      <c r="C2154">
        <v>36</v>
      </c>
      <c r="D2154">
        <v>34.75</v>
      </c>
      <c r="E2154">
        <v>35</v>
      </c>
      <c r="F2154">
        <v>1482900</v>
      </c>
    </row>
    <row r="2155" spans="1:6">
      <c r="A2155" s="32">
        <v>40617</v>
      </c>
      <c r="B2155">
        <v>34.75</v>
      </c>
      <c r="C2155">
        <v>35.5</v>
      </c>
      <c r="D2155">
        <v>34.25</v>
      </c>
      <c r="E2155">
        <v>35</v>
      </c>
      <c r="F2155">
        <v>1136500</v>
      </c>
    </row>
    <row r="2156" spans="1:6">
      <c r="A2156" s="32">
        <v>40616</v>
      </c>
      <c r="B2156">
        <v>34</v>
      </c>
      <c r="C2156">
        <v>35.25</v>
      </c>
      <c r="D2156">
        <v>34</v>
      </c>
      <c r="E2156">
        <v>35.25</v>
      </c>
      <c r="F2156">
        <v>167400</v>
      </c>
    </row>
    <row r="2157" spans="1:6">
      <c r="A2157" s="32">
        <v>40613</v>
      </c>
      <c r="B2157">
        <v>35.25</v>
      </c>
      <c r="C2157">
        <v>35.75</v>
      </c>
      <c r="D2157">
        <v>34.25</v>
      </c>
      <c r="E2157">
        <v>34.5</v>
      </c>
      <c r="F2157">
        <v>794200</v>
      </c>
    </row>
    <row r="2158" spans="1:6">
      <c r="A2158" s="32">
        <v>40612</v>
      </c>
      <c r="B2158">
        <v>35.75</v>
      </c>
      <c r="C2158">
        <v>36.25</v>
      </c>
      <c r="D2158">
        <v>35.5</v>
      </c>
      <c r="E2158">
        <v>35.75</v>
      </c>
      <c r="F2158">
        <v>1565200</v>
      </c>
    </row>
    <row r="2159" spans="1:6">
      <c r="A2159" s="32">
        <v>40611</v>
      </c>
      <c r="B2159">
        <v>36.25</v>
      </c>
      <c r="C2159">
        <v>36.75</v>
      </c>
      <c r="D2159">
        <v>36</v>
      </c>
      <c r="E2159">
        <v>36.25</v>
      </c>
      <c r="F2159">
        <v>448900</v>
      </c>
    </row>
    <row r="2160" spans="1:6">
      <c r="A2160" s="32">
        <v>40610</v>
      </c>
      <c r="B2160">
        <v>36.75</v>
      </c>
      <c r="C2160">
        <v>37.25</v>
      </c>
      <c r="D2160">
        <v>36</v>
      </c>
      <c r="E2160">
        <v>36.25</v>
      </c>
      <c r="F2160">
        <v>1150600</v>
      </c>
    </row>
    <row r="2161" spans="1:6">
      <c r="A2161" s="32">
        <v>40609</v>
      </c>
      <c r="B2161">
        <v>36</v>
      </c>
      <c r="C2161">
        <v>36.75</v>
      </c>
      <c r="D2161">
        <v>36</v>
      </c>
      <c r="E2161">
        <v>36.5</v>
      </c>
      <c r="F2161">
        <v>642500</v>
      </c>
    </row>
    <row r="2162" spans="1:6">
      <c r="A2162" s="32">
        <v>40606</v>
      </c>
      <c r="B2162">
        <v>35.5</v>
      </c>
      <c r="C2162">
        <v>36.75</v>
      </c>
      <c r="D2162">
        <v>35.5</v>
      </c>
      <c r="E2162">
        <v>35.75</v>
      </c>
      <c r="F2162">
        <v>1162500</v>
      </c>
    </row>
    <row r="2163" spans="1:6">
      <c r="A2163" s="32">
        <v>40605</v>
      </c>
      <c r="B2163">
        <v>36</v>
      </c>
      <c r="C2163">
        <v>36</v>
      </c>
      <c r="D2163">
        <v>34.75</v>
      </c>
      <c r="E2163">
        <v>35.5</v>
      </c>
      <c r="F2163">
        <v>2064300</v>
      </c>
    </row>
    <row r="2164" spans="1:6">
      <c r="A2164" s="32">
        <v>40604</v>
      </c>
      <c r="B2164">
        <v>33.75</v>
      </c>
      <c r="C2164">
        <v>36.25</v>
      </c>
      <c r="D2164">
        <v>33.5</v>
      </c>
      <c r="E2164">
        <v>36.25</v>
      </c>
      <c r="F2164">
        <v>1885800</v>
      </c>
    </row>
    <row r="2165" spans="1:6">
      <c r="A2165" s="32">
        <v>40603</v>
      </c>
      <c r="B2165">
        <v>33.25</v>
      </c>
      <c r="C2165">
        <v>34.5</v>
      </c>
      <c r="D2165">
        <v>33.25</v>
      </c>
      <c r="E2165">
        <v>34</v>
      </c>
      <c r="F2165">
        <v>421200</v>
      </c>
    </row>
    <row r="2166" spans="1:6">
      <c r="A2166" s="32">
        <v>40602</v>
      </c>
      <c r="B2166">
        <v>33.25</v>
      </c>
      <c r="C2166">
        <v>33.5</v>
      </c>
      <c r="D2166">
        <v>33.25</v>
      </c>
      <c r="E2166">
        <v>33.25</v>
      </c>
      <c r="F2166">
        <v>370000</v>
      </c>
    </row>
    <row r="2167" spans="1:6">
      <c r="A2167" s="32">
        <v>40599</v>
      </c>
      <c r="B2167">
        <v>32.5</v>
      </c>
      <c r="C2167">
        <v>33.75</v>
      </c>
      <c r="D2167">
        <v>32.5</v>
      </c>
      <c r="E2167">
        <v>33</v>
      </c>
      <c r="F2167">
        <v>1371200</v>
      </c>
    </row>
    <row r="2168" spans="1:6">
      <c r="A2168" s="32">
        <v>40598</v>
      </c>
      <c r="B2168">
        <v>33.75</v>
      </c>
      <c r="C2168">
        <v>34</v>
      </c>
      <c r="D2168">
        <v>32.5</v>
      </c>
      <c r="E2168">
        <v>32.5</v>
      </c>
      <c r="F2168">
        <v>710200</v>
      </c>
    </row>
    <row r="2169" spans="1:6">
      <c r="A2169" s="32">
        <v>40597</v>
      </c>
      <c r="B2169">
        <v>35.5</v>
      </c>
      <c r="C2169">
        <v>35.5</v>
      </c>
      <c r="D2169">
        <v>33.5</v>
      </c>
      <c r="E2169">
        <v>34</v>
      </c>
      <c r="F2169">
        <v>998300</v>
      </c>
    </row>
    <row r="2170" spans="1:6">
      <c r="A2170" s="32">
        <v>40596</v>
      </c>
      <c r="B2170">
        <v>35</v>
      </c>
      <c r="C2170">
        <v>35.75</v>
      </c>
      <c r="D2170">
        <v>34.75</v>
      </c>
      <c r="E2170">
        <v>35.5</v>
      </c>
      <c r="F2170">
        <v>674900</v>
      </c>
    </row>
    <row r="2171" spans="1:6">
      <c r="A2171" s="32">
        <v>40595</v>
      </c>
      <c r="B2171">
        <v>36.5</v>
      </c>
      <c r="C2171">
        <v>36.5</v>
      </c>
      <c r="D2171">
        <v>34.75</v>
      </c>
      <c r="E2171">
        <v>35.25</v>
      </c>
      <c r="F2171">
        <v>752200</v>
      </c>
    </row>
    <row r="2172" spans="1:6">
      <c r="A2172" s="32">
        <v>40591</v>
      </c>
      <c r="B2172">
        <v>38</v>
      </c>
      <c r="C2172">
        <v>38</v>
      </c>
      <c r="D2172">
        <v>36.25</v>
      </c>
      <c r="E2172">
        <v>36.25</v>
      </c>
      <c r="F2172">
        <v>2142200</v>
      </c>
    </row>
    <row r="2173" spans="1:6">
      <c r="A2173" s="32">
        <v>40590</v>
      </c>
      <c r="B2173">
        <v>36</v>
      </c>
      <c r="C2173">
        <v>37.25</v>
      </c>
      <c r="D2173">
        <v>36</v>
      </c>
      <c r="E2173">
        <v>37.25</v>
      </c>
      <c r="F2173">
        <v>3773400</v>
      </c>
    </row>
    <row r="2174" spans="1:6">
      <c r="A2174" s="32">
        <v>40589</v>
      </c>
      <c r="B2174">
        <v>35</v>
      </c>
      <c r="C2174">
        <v>36.25</v>
      </c>
      <c r="D2174">
        <v>34.25</v>
      </c>
      <c r="E2174">
        <v>35.5</v>
      </c>
      <c r="F2174">
        <v>4338000</v>
      </c>
    </row>
    <row r="2175" spans="1:6">
      <c r="A2175" s="32">
        <v>40588</v>
      </c>
      <c r="B2175">
        <v>33.75</v>
      </c>
      <c r="C2175">
        <v>34.5</v>
      </c>
      <c r="D2175">
        <v>33.75</v>
      </c>
      <c r="E2175">
        <v>34.5</v>
      </c>
      <c r="F2175">
        <v>1134900</v>
      </c>
    </row>
    <row r="2176" spans="1:6">
      <c r="A2176" s="32">
        <v>40585</v>
      </c>
      <c r="B2176">
        <v>33.25</v>
      </c>
      <c r="C2176">
        <v>33.75</v>
      </c>
      <c r="D2176">
        <v>32.75</v>
      </c>
      <c r="E2176">
        <v>33.5</v>
      </c>
      <c r="F2176">
        <v>576700</v>
      </c>
    </row>
    <row r="2177" spans="1:6">
      <c r="A2177" s="32">
        <v>40584</v>
      </c>
      <c r="B2177">
        <v>33</v>
      </c>
      <c r="C2177">
        <v>34.25</v>
      </c>
      <c r="D2177">
        <v>32.75</v>
      </c>
      <c r="E2177">
        <v>33.25</v>
      </c>
      <c r="F2177">
        <v>1126200</v>
      </c>
    </row>
    <row r="2178" spans="1:6">
      <c r="A2178" s="32">
        <v>40583</v>
      </c>
      <c r="B2178">
        <v>33</v>
      </c>
      <c r="C2178">
        <v>33</v>
      </c>
      <c r="D2178">
        <v>32.75</v>
      </c>
      <c r="E2178">
        <v>32.75</v>
      </c>
      <c r="F2178">
        <v>618500</v>
      </c>
    </row>
    <row r="2179" spans="1:6">
      <c r="A2179" s="32">
        <v>40582</v>
      </c>
      <c r="B2179">
        <v>32.75</v>
      </c>
      <c r="C2179">
        <v>33</v>
      </c>
      <c r="D2179">
        <v>32.5</v>
      </c>
      <c r="E2179">
        <v>32.75</v>
      </c>
      <c r="F2179">
        <v>1409200</v>
      </c>
    </row>
    <row r="2180" spans="1:6">
      <c r="A2180" s="32">
        <v>40581</v>
      </c>
      <c r="B2180">
        <v>32.75</v>
      </c>
      <c r="C2180">
        <v>33</v>
      </c>
      <c r="D2180">
        <v>32.5</v>
      </c>
      <c r="E2180">
        <v>32.75</v>
      </c>
      <c r="F2180">
        <v>2275900</v>
      </c>
    </row>
    <row r="2181" spans="1:6">
      <c r="A2181" s="32">
        <v>40578</v>
      </c>
      <c r="B2181">
        <v>32.25</v>
      </c>
      <c r="C2181">
        <v>32.75</v>
      </c>
      <c r="D2181">
        <v>32.25</v>
      </c>
      <c r="E2181">
        <v>32.5</v>
      </c>
      <c r="F2181">
        <v>568900</v>
      </c>
    </row>
    <row r="2182" spans="1:6">
      <c r="A2182" s="32">
        <v>40577</v>
      </c>
      <c r="B2182">
        <v>32.5</v>
      </c>
      <c r="C2182">
        <v>32.5</v>
      </c>
      <c r="D2182">
        <v>32</v>
      </c>
      <c r="E2182">
        <v>32</v>
      </c>
      <c r="F2182">
        <v>312300</v>
      </c>
    </row>
    <row r="2183" spans="1:6">
      <c r="A2183" s="32">
        <v>40576</v>
      </c>
      <c r="B2183">
        <v>32.5</v>
      </c>
      <c r="C2183">
        <v>32.75</v>
      </c>
      <c r="D2183">
        <v>32.5</v>
      </c>
      <c r="E2183">
        <v>32.5</v>
      </c>
      <c r="F2183">
        <v>125800</v>
      </c>
    </row>
    <row r="2184" spans="1:6">
      <c r="A2184" s="32">
        <v>40575</v>
      </c>
      <c r="B2184">
        <v>32.75</v>
      </c>
      <c r="C2184">
        <v>32.75</v>
      </c>
      <c r="D2184">
        <v>32.25</v>
      </c>
      <c r="E2184">
        <v>32.75</v>
      </c>
      <c r="F2184">
        <v>1135000</v>
      </c>
    </row>
    <row r="2185" spans="1:6">
      <c r="A2185" s="32">
        <v>40574</v>
      </c>
      <c r="B2185">
        <v>32.25</v>
      </c>
      <c r="C2185">
        <v>33</v>
      </c>
      <c r="D2185">
        <v>31.75</v>
      </c>
      <c r="E2185">
        <v>32.75</v>
      </c>
      <c r="F2185">
        <v>1201100</v>
      </c>
    </row>
    <row r="2186" spans="1:6">
      <c r="A2186" s="32">
        <v>40571</v>
      </c>
      <c r="B2186">
        <v>32.75</v>
      </c>
      <c r="C2186">
        <v>33</v>
      </c>
      <c r="D2186">
        <v>32</v>
      </c>
      <c r="E2186">
        <v>32.75</v>
      </c>
      <c r="F2186">
        <v>829400</v>
      </c>
    </row>
    <row r="2187" spans="1:6">
      <c r="A2187" s="32">
        <v>40570</v>
      </c>
      <c r="B2187">
        <v>33.5</v>
      </c>
      <c r="C2187">
        <v>33.5</v>
      </c>
      <c r="D2187">
        <v>32.5</v>
      </c>
      <c r="E2187">
        <v>32.75</v>
      </c>
      <c r="F2187">
        <v>412600</v>
      </c>
    </row>
    <row r="2188" spans="1:6">
      <c r="A2188" s="32">
        <v>40569</v>
      </c>
      <c r="B2188">
        <v>31.25</v>
      </c>
      <c r="C2188">
        <v>33.25</v>
      </c>
      <c r="D2188">
        <v>31.25</v>
      </c>
      <c r="E2188">
        <v>33</v>
      </c>
      <c r="F2188">
        <v>2643900</v>
      </c>
    </row>
    <row r="2189" spans="1:6">
      <c r="A2189" s="32">
        <v>40568</v>
      </c>
      <c r="B2189">
        <v>32.5</v>
      </c>
      <c r="C2189">
        <v>32.5</v>
      </c>
      <c r="D2189">
        <v>31.25</v>
      </c>
      <c r="E2189">
        <v>31.25</v>
      </c>
      <c r="F2189">
        <v>2195300</v>
      </c>
    </row>
    <row r="2190" spans="1:6">
      <c r="A2190" s="32">
        <v>40567</v>
      </c>
      <c r="B2190">
        <v>31</v>
      </c>
      <c r="C2190">
        <v>31.5</v>
      </c>
      <c r="D2190">
        <v>30.75</v>
      </c>
      <c r="E2190">
        <v>31.25</v>
      </c>
      <c r="F2190">
        <v>1225900</v>
      </c>
    </row>
    <row r="2191" spans="1:6">
      <c r="A2191" s="32">
        <v>40564</v>
      </c>
      <c r="B2191">
        <v>31</v>
      </c>
      <c r="C2191">
        <v>31.5</v>
      </c>
      <c r="D2191">
        <v>30.75</v>
      </c>
      <c r="E2191">
        <v>31.5</v>
      </c>
      <c r="F2191">
        <v>1658100</v>
      </c>
    </row>
    <row r="2192" spans="1:6">
      <c r="A2192" s="32">
        <v>40563</v>
      </c>
      <c r="B2192">
        <v>31.25</v>
      </c>
      <c r="C2192">
        <v>31.5</v>
      </c>
      <c r="D2192">
        <v>31</v>
      </c>
      <c r="E2192">
        <v>31.25</v>
      </c>
      <c r="F2192">
        <v>226800</v>
      </c>
    </row>
    <row r="2193" spans="1:6">
      <c r="A2193" s="32">
        <v>40562</v>
      </c>
      <c r="B2193">
        <v>31.25</v>
      </c>
      <c r="C2193">
        <v>31.25</v>
      </c>
      <c r="D2193">
        <v>31</v>
      </c>
      <c r="E2193">
        <v>31.25</v>
      </c>
      <c r="F2193">
        <v>351400</v>
      </c>
    </row>
    <row r="2194" spans="1:6">
      <c r="A2194" s="32">
        <v>40561</v>
      </c>
      <c r="B2194">
        <v>31.5</v>
      </c>
      <c r="C2194">
        <v>31.5</v>
      </c>
      <c r="D2194">
        <v>31</v>
      </c>
      <c r="E2194">
        <v>31</v>
      </c>
      <c r="F2194">
        <v>506200</v>
      </c>
    </row>
    <row r="2195" spans="1:6">
      <c r="A2195" s="32">
        <v>40560</v>
      </c>
      <c r="B2195">
        <v>30.75</v>
      </c>
      <c r="C2195">
        <v>31.25</v>
      </c>
      <c r="D2195">
        <v>30.75</v>
      </c>
      <c r="E2195">
        <v>31.25</v>
      </c>
      <c r="F2195">
        <v>1226400</v>
      </c>
    </row>
    <row r="2196" spans="1:6">
      <c r="A2196" s="32">
        <v>40557</v>
      </c>
      <c r="B2196">
        <v>31.5</v>
      </c>
      <c r="C2196">
        <v>31.75</v>
      </c>
      <c r="D2196">
        <v>30.25</v>
      </c>
      <c r="E2196">
        <v>31</v>
      </c>
      <c r="F2196">
        <v>7868000</v>
      </c>
    </row>
    <row r="2197" spans="1:6">
      <c r="A2197" s="32">
        <v>40556</v>
      </c>
      <c r="B2197">
        <v>32.25</v>
      </c>
      <c r="C2197">
        <v>32.25</v>
      </c>
      <c r="D2197">
        <v>31.5</v>
      </c>
      <c r="E2197">
        <v>31.5</v>
      </c>
      <c r="F2197">
        <v>1246200</v>
      </c>
    </row>
    <row r="2198" spans="1:6">
      <c r="A2198" s="32">
        <v>40555</v>
      </c>
      <c r="B2198">
        <v>31.75</v>
      </c>
      <c r="C2198">
        <v>33</v>
      </c>
      <c r="D2198">
        <v>31.75</v>
      </c>
      <c r="E2198">
        <v>32</v>
      </c>
      <c r="F2198">
        <v>2966500</v>
      </c>
    </row>
    <row r="2199" spans="1:6">
      <c r="A2199" s="32">
        <v>40554</v>
      </c>
      <c r="B2199">
        <v>32</v>
      </c>
      <c r="C2199">
        <v>32</v>
      </c>
      <c r="D2199">
        <v>31.25</v>
      </c>
      <c r="E2199">
        <v>31.75</v>
      </c>
      <c r="F2199">
        <v>956800</v>
      </c>
    </row>
    <row r="2200" spans="1:6">
      <c r="A2200" s="32">
        <v>40553</v>
      </c>
      <c r="B2200">
        <v>31.75</v>
      </c>
      <c r="C2200">
        <v>32.25</v>
      </c>
      <c r="D2200">
        <v>31.5</v>
      </c>
      <c r="E2200">
        <v>32</v>
      </c>
      <c r="F2200">
        <v>1840200</v>
      </c>
    </row>
    <row r="2201" spans="1:6">
      <c r="A2201" s="32">
        <v>40550</v>
      </c>
      <c r="B2201">
        <v>31.25</v>
      </c>
      <c r="C2201">
        <v>31.75</v>
      </c>
      <c r="D2201">
        <v>31.25</v>
      </c>
      <c r="E2201">
        <v>31.75</v>
      </c>
      <c r="F2201">
        <v>1140200</v>
      </c>
    </row>
    <row r="2202" spans="1:6">
      <c r="A2202" s="32">
        <v>40549</v>
      </c>
      <c r="B2202">
        <v>31.75</v>
      </c>
      <c r="C2202">
        <v>31.75</v>
      </c>
      <c r="D2202">
        <v>31.25</v>
      </c>
      <c r="E2202">
        <v>31.25</v>
      </c>
      <c r="F2202">
        <v>963600</v>
      </c>
    </row>
    <row r="2203" spans="1:6">
      <c r="A2203" s="32">
        <v>40548</v>
      </c>
      <c r="B2203">
        <v>32</v>
      </c>
      <c r="C2203">
        <v>32.25</v>
      </c>
      <c r="D2203">
        <v>31.25</v>
      </c>
      <c r="E2203">
        <v>31.5</v>
      </c>
      <c r="F2203">
        <v>1129500</v>
      </c>
    </row>
    <row r="2204" spans="1:6">
      <c r="A2204" s="32">
        <v>40547</v>
      </c>
      <c r="B2204">
        <v>31.75</v>
      </c>
      <c r="C2204">
        <v>32.5</v>
      </c>
      <c r="D2204">
        <v>31.75</v>
      </c>
      <c r="E2204">
        <v>31.75</v>
      </c>
      <c r="F2204">
        <v>1056100</v>
      </c>
    </row>
    <row r="2205" spans="1:6">
      <c r="A2205" s="32">
        <v>40542</v>
      </c>
      <c r="B2205">
        <v>31.75</v>
      </c>
      <c r="C2205">
        <v>32.25</v>
      </c>
      <c r="D2205">
        <v>31.75</v>
      </c>
      <c r="E2205">
        <v>31.75</v>
      </c>
      <c r="F2205">
        <v>272200</v>
      </c>
    </row>
    <row r="2206" spans="1:6">
      <c r="A2206" s="32">
        <v>40541</v>
      </c>
      <c r="B2206">
        <v>32</v>
      </c>
      <c r="C2206">
        <v>32.25</v>
      </c>
      <c r="D2206">
        <v>31.5</v>
      </c>
      <c r="E2206">
        <v>31.75</v>
      </c>
      <c r="F2206">
        <v>906400</v>
      </c>
    </row>
    <row r="2207" spans="1:6">
      <c r="A2207" s="32">
        <v>40540</v>
      </c>
      <c r="B2207">
        <v>31.75</v>
      </c>
      <c r="C2207">
        <v>32.25</v>
      </c>
      <c r="D2207">
        <v>31.75</v>
      </c>
      <c r="E2207">
        <v>32</v>
      </c>
      <c r="F2207">
        <v>190600</v>
      </c>
    </row>
    <row r="2208" spans="1:6">
      <c r="A2208" s="32">
        <v>40539</v>
      </c>
      <c r="B2208">
        <v>32</v>
      </c>
      <c r="C2208">
        <v>32.25</v>
      </c>
      <c r="D2208">
        <v>31.5</v>
      </c>
      <c r="E2208">
        <v>31.5</v>
      </c>
      <c r="F2208">
        <v>238400</v>
      </c>
    </row>
    <row r="2209" spans="1:6">
      <c r="A2209" s="32">
        <v>40536</v>
      </c>
      <c r="B2209">
        <v>31.75</v>
      </c>
      <c r="C2209">
        <v>32</v>
      </c>
      <c r="D2209">
        <v>31.75</v>
      </c>
      <c r="E2209">
        <v>32</v>
      </c>
      <c r="F2209">
        <v>151000</v>
      </c>
    </row>
    <row r="2210" spans="1:6">
      <c r="A2210" s="32">
        <v>40535</v>
      </c>
      <c r="B2210">
        <v>31.5</v>
      </c>
      <c r="C2210">
        <v>32.5</v>
      </c>
      <c r="D2210">
        <v>31.25</v>
      </c>
      <c r="E2210">
        <v>31.75</v>
      </c>
      <c r="F2210">
        <v>868300</v>
      </c>
    </row>
    <row r="2211" spans="1:6">
      <c r="A2211" s="32">
        <v>40534</v>
      </c>
      <c r="B2211">
        <v>32.5</v>
      </c>
      <c r="C2211">
        <v>32.5</v>
      </c>
      <c r="D2211">
        <v>31.25</v>
      </c>
      <c r="E2211">
        <v>31.5</v>
      </c>
      <c r="F2211">
        <v>785200</v>
      </c>
    </row>
    <row r="2212" spans="1:6">
      <c r="A2212" s="32">
        <v>40533</v>
      </c>
      <c r="B2212">
        <v>32.25</v>
      </c>
      <c r="C2212">
        <v>32.5</v>
      </c>
      <c r="D2212">
        <v>32</v>
      </c>
      <c r="E2212">
        <v>32</v>
      </c>
      <c r="F2212">
        <v>401600</v>
      </c>
    </row>
    <row r="2213" spans="1:6">
      <c r="A2213" s="32">
        <v>40532</v>
      </c>
      <c r="B2213">
        <v>32.75</v>
      </c>
      <c r="C2213">
        <v>33</v>
      </c>
      <c r="D2213">
        <v>32.25</v>
      </c>
      <c r="E2213">
        <v>32.25</v>
      </c>
      <c r="F2213">
        <v>191200</v>
      </c>
    </row>
    <row r="2214" spans="1:6">
      <c r="A2214" s="32">
        <v>40529</v>
      </c>
      <c r="B2214">
        <v>33.25</v>
      </c>
      <c r="C2214">
        <v>33.25</v>
      </c>
      <c r="D2214">
        <v>32.75</v>
      </c>
      <c r="E2214">
        <v>33</v>
      </c>
      <c r="F2214">
        <v>551200</v>
      </c>
    </row>
    <row r="2215" spans="1:6">
      <c r="A2215" s="32">
        <v>40528</v>
      </c>
      <c r="B2215">
        <v>32.75</v>
      </c>
      <c r="C2215">
        <v>33.25</v>
      </c>
      <c r="D2215">
        <v>32.5</v>
      </c>
      <c r="E2215">
        <v>32.75</v>
      </c>
      <c r="F2215">
        <v>868100</v>
      </c>
    </row>
    <row r="2216" spans="1:6">
      <c r="A2216" s="32">
        <v>40527</v>
      </c>
      <c r="B2216">
        <v>32.5</v>
      </c>
      <c r="C2216">
        <v>33.25</v>
      </c>
      <c r="D2216">
        <v>32</v>
      </c>
      <c r="E2216">
        <v>32.25</v>
      </c>
      <c r="F2216">
        <v>3748200</v>
      </c>
    </row>
    <row r="2217" spans="1:6">
      <c r="A2217" s="32">
        <v>40526</v>
      </c>
      <c r="B2217">
        <v>32</v>
      </c>
      <c r="C2217">
        <v>32.25</v>
      </c>
      <c r="D2217">
        <v>32</v>
      </c>
      <c r="E2217">
        <v>32.25</v>
      </c>
      <c r="F2217">
        <v>1327500</v>
      </c>
    </row>
    <row r="2218" spans="1:6">
      <c r="A2218" s="32">
        <v>40525</v>
      </c>
      <c r="B2218">
        <v>32</v>
      </c>
      <c r="C2218">
        <v>32.25</v>
      </c>
      <c r="D2218">
        <v>31.75</v>
      </c>
      <c r="E2218">
        <v>32</v>
      </c>
      <c r="F2218">
        <v>1186400</v>
      </c>
    </row>
    <row r="2219" spans="1:6">
      <c r="A2219" s="32">
        <v>40521</v>
      </c>
      <c r="B2219">
        <v>31.75</v>
      </c>
      <c r="C2219">
        <v>32.25</v>
      </c>
      <c r="D2219">
        <v>31.75</v>
      </c>
      <c r="E2219">
        <v>31.75</v>
      </c>
      <c r="F2219">
        <v>1417600</v>
      </c>
    </row>
    <row r="2220" spans="1:6">
      <c r="A2220" s="32">
        <v>40520</v>
      </c>
      <c r="B2220">
        <v>32.25</v>
      </c>
      <c r="C2220">
        <v>32.5</v>
      </c>
      <c r="D2220">
        <v>31.5</v>
      </c>
      <c r="E2220">
        <v>31.75</v>
      </c>
      <c r="F2220">
        <v>707200</v>
      </c>
    </row>
    <row r="2221" spans="1:6">
      <c r="A2221" s="32">
        <v>40519</v>
      </c>
      <c r="B2221">
        <v>31.75</v>
      </c>
      <c r="C2221">
        <v>32.75</v>
      </c>
      <c r="D2221">
        <v>31.75</v>
      </c>
      <c r="E2221">
        <v>32.5</v>
      </c>
      <c r="F2221">
        <v>712300</v>
      </c>
    </row>
    <row r="2222" spans="1:6">
      <c r="A2222" s="32">
        <v>40515</v>
      </c>
      <c r="B2222">
        <v>32.5</v>
      </c>
      <c r="C2222">
        <v>32.75</v>
      </c>
      <c r="D2222">
        <v>32</v>
      </c>
      <c r="E2222">
        <v>32</v>
      </c>
      <c r="F2222">
        <v>336300</v>
      </c>
    </row>
    <row r="2223" spans="1:6">
      <c r="A2223" s="32">
        <v>40514</v>
      </c>
      <c r="B2223">
        <v>31.75</v>
      </c>
      <c r="C2223">
        <v>32.25</v>
      </c>
      <c r="D2223">
        <v>31.75</v>
      </c>
      <c r="E2223">
        <v>32.25</v>
      </c>
      <c r="F2223">
        <v>259400</v>
      </c>
    </row>
    <row r="2224" spans="1:6">
      <c r="A2224" s="32">
        <v>40513</v>
      </c>
      <c r="B2224">
        <v>32.75</v>
      </c>
      <c r="C2224">
        <v>32.75</v>
      </c>
      <c r="D2224">
        <v>31.75</v>
      </c>
      <c r="E2224">
        <v>31.75</v>
      </c>
      <c r="F2224">
        <v>1326700</v>
      </c>
    </row>
    <row r="2225" spans="1:6">
      <c r="A2225" s="32">
        <v>40512</v>
      </c>
      <c r="B2225">
        <v>32</v>
      </c>
      <c r="C2225">
        <v>33</v>
      </c>
      <c r="D2225">
        <v>32</v>
      </c>
      <c r="E2225">
        <v>32.75</v>
      </c>
      <c r="F2225">
        <v>951300</v>
      </c>
    </row>
    <row r="2226" spans="1:6">
      <c r="A2226" s="32">
        <v>40511</v>
      </c>
      <c r="B2226">
        <v>32.75</v>
      </c>
      <c r="C2226">
        <v>32.75</v>
      </c>
      <c r="D2226">
        <v>32</v>
      </c>
      <c r="E2226">
        <v>32</v>
      </c>
      <c r="F2226">
        <v>382500</v>
      </c>
    </row>
    <row r="2227" spans="1:6">
      <c r="A2227" s="32">
        <v>40508</v>
      </c>
      <c r="B2227">
        <v>32.25</v>
      </c>
      <c r="C2227">
        <v>32.75</v>
      </c>
      <c r="D2227">
        <v>32</v>
      </c>
      <c r="E2227">
        <v>32.75</v>
      </c>
      <c r="F2227">
        <v>470500</v>
      </c>
    </row>
    <row r="2228" spans="1:6">
      <c r="A2228" s="32">
        <v>40507</v>
      </c>
      <c r="B2228">
        <v>31.75</v>
      </c>
      <c r="C2228">
        <v>33</v>
      </c>
      <c r="D2228">
        <v>31.75</v>
      </c>
      <c r="E2228">
        <v>32.25</v>
      </c>
      <c r="F2228">
        <v>722700</v>
      </c>
    </row>
    <row r="2229" spans="1:6">
      <c r="A2229" s="32">
        <v>40506</v>
      </c>
      <c r="B2229">
        <v>31.75</v>
      </c>
      <c r="C2229">
        <v>32.25</v>
      </c>
      <c r="D2229">
        <v>31.75</v>
      </c>
      <c r="E2229">
        <v>31.75</v>
      </c>
      <c r="F2229">
        <v>111400</v>
      </c>
    </row>
    <row r="2230" spans="1:6">
      <c r="A2230" s="32">
        <v>40505</v>
      </c>
      <c r="B2230">
        <v>32</v>
      </c>
      <c r="C2230">
        <v>32.5</v>
      </c>
      <c r="D2230">
        <v>31.75</v>
      </c>
      <c r="E2230">
        <v>31.75</v>
      </c>
      <c r="F2230">
        <v>335400</v>
      </c>
    </row>
    <row r="2231" spans="1:6">
      <c r="A2231" s="32">
        <v>40504</v>
      </c>
      <c r="B2231">
        <v>32</v>
      </c>
      <c r="C2231">
        <v>33</v>
      </c>
      <c r="D2231">
        <v>31.75</v>
      </c>
      <c r="E2231">
        <v>32.5</v>
      </c>
      <c r="F2231">
        <v>408600</v>
      </c>
    </row>
    <row r="2232" spans="1:6">
      <c r="A2232" s="32">
        <v>40501</v>
      </c>
      <c r="B2232">
        <v>31.75</v>
      </c>
      <c r="C2232">
        <v>32.5</v>
      </c>
      <c r="D2232">
        <v>31.5</v>
      </c>
      <c r="E2232">
        <v>32.25</v>
      </c>
      <c r="F2232">
        <v>568100</v>
      </c>
    </row>
    <row r="2233" spans="1:6">
      <c r="A2233" s="32">
        <v>40500</v>
      </c>
      <c r="B2233">
        <v>32</v>
      </c>
      <c r="C2233">
        <v>33.25</v>
      </c>
      <c r="D2233">
        <v>31.75</v>
      </c>
      <c r="E2233">
        <v>31.75</v>
      </c>
      <c r="F2233">
        <v>268800</v>
      </c>
    </row>
    <row r="2234" spans="1:6">
      <c r="A2234" s="32">
        <v>40499</v>
      </c>
      <c r="B2234">
        <v>31.75</v>
      </c>
      <c r="C2234">
        <v>32.25</v>
      </c>
      <c r="D2234">
        <v>30.75</v>
      </c>
      <c r="E2234">
        <v>32.25</v>
      </c>
      <c r="F2234">
        <v>974500</v>
      </c>
    </row>
    <row r="2235" spans="1:6">
      <c r="A2235" s="32">
        <v>40498</v>
      </c>
      <c r="B2235">
        <v>32.25</v>
      </c>
      <c r="C2235">
        <v>32.5</v>
      </c>
      <c r="D2235">
        <v>32</v>
      </c>
      <c r="E2235">
        <v>32.25</v>
      </c>
      <c r="F2235">
        <v>422500</v>
      </c>
    </row>
    <row r="2236" spans="1:6">
      <c r="A2236" s="32">
        <v>40497</v>
      </c>
      <c r="B2236">
        <v>32.25</v>
      </c>
      <c r="C2236">
        <v>32.5</v>
      </c>
      <c r="D2236">
        <v>32.25</v>
      </c>
      <c r="E2236">
        <v>32.25</v>
      </c>
      <c r="F2236">
        <v>139100</v>
      </c>
    </row>
    <row r="2237" spans="1:6">
      <c r="A2237" s="32">
        <v>40494</v>
      </c>
      <c r="B2237">
        <v>33</v>
      </c>
      <c r="C2237">
        <v>33</v>
      </c>
      <c r="D2237">
        <v>32.25</v>
      </c>
      <c r="E2237">
        <v>32.5</v>
      </c>
      <c r="F2237">
        <v>300700</v>
      </c>
    </row>
    <row r="2238" spans="1:6">
      <c r="A2238" s="32">
        <v>40493</v>
      </c>
      <c r="B2238">
        <v>33.25</v>
      </c>
      <c r="C2238">
        <v>33.25</v>
      </c>
      <c r="D2238">
        <v>32.75</v>
      </c>
      <c r="E2238">
        <v>32.75</v>
      </c>
      <c r="F2238">
        <v>1058300</v>
      </c>
    </row>
    <row r="2239" spans="1:6">
      <c r="A2239" s="32">
        <v>40492</v>
      </c>
      <c r="B2239">
        <v>33.75</v>
      </c>
      <c r="C2239">
        <v>33.75</v>
      </c>
      <c r="D2239">
        <v>33</v>
      </c>
      <c r="E2239">
        <v>33</v>
      </c>
      <c r="F2239">
        <v>884900</v>
      </c>
    </row>
    <row r="2240" spans="1:6">
      <c r="A2240" s="32">
        <v>40491</v>
      </c>
      <c r="B2240">
        <v>34</v>
      </c>
      <c r="C2240">
        <v>34</v>
      </c>
      <c r="D2240">
        <v>33.75</v>
      </c>
      <c r="E2240">
        <v>33.75</v>
      </c>
      <c r="F2240">
        <v>257900</v>
      </c>
    </row>
    <row r="2241" spans="1:6">
      <c r="A2241" s="32">
        <v>40490</v>
      </c>
      <c r="B2241">
        <v>33.5</v>
      </c>
      <c r="C2241">
        <v>34</v>
      </c>
      <c r="D2241">
        <v>33.5</v>
      </c>
      <c r="E2241">
        <v>34</v>
      </c>
      <c r="F2241">
        <v>274900</v>
      </c>
    </row>
    <row r="2242" spans="1:6">
      <c r="A2242" s="32">
        <v>40487</v>
      </c>
      <c r="B2242">
        <v>34</v>
      </c>
      <c r="C2242">
        <v>34</v>
      </c>
      <c r="D2242">
        <v>33.25</v>
      </c>
      <c r="E2242">
        <v>33.5</v>
      </c>
      <c r="F2242">
        <v>757200</v>
      </c>
    </row>
    <row r="2243" spans="1:6">
      <c r="A2243" s="32">
        <v>40486</v>
      </c>
      <c r="B2243">
        <v>34.5</v>
      </c>
      <c r="C2243">
        <v>34.5</v>
      </c>
      <c r="D2243">
        <v>33.75</v>
      </c>
      <c r="E2243">
        <v>34</v>
      </c>
      <c r="F2243">
        <v>1125900</v>
      </c>
    </row>
    <row r="2244" spans="1:6">
      <c r="A2244" s="32">
        <v>40485</v>
      </c>
      <c r="B2244">
        <v>35</v>
      </c>
      <c r="C2244">
        <v>35.25</v>
      </c>
      <c r="D2244">
        <v>34.25</v>
      </c>
      <c r="E2244">
        <v>34.5</v>
      </c>
      <c r="F2244">
        <v>1716300</v>
      </c>
    </row>
    <row r="2245" spans="1:6">
      <c r="A2245" s="32">
        <v>40484</v>
      </c>
      <c r="B2245">
        <v>34.5</v>
      </c>
      <c r="C2245">
        <v>35</v>
      </c>
      <c r="D2245">
        <v>34.25</v>
      </c>
      <c r="E2245">
        <v>34.5</v>
      </c>
      <c r="F2245">
        <v>729600</v>
      </c>
    </row>
    <row r="2246" spans="1:6">
      <c r="A2246" s="32">
        <v>40483</v>
      </c>
      <c r="B2246">
        <v>34.75</v>
      </c>
      <c r="C2246">
        <v>35</v>
      </c>
      <c r="D2246">
        <v>34.25</v>
      </c>
      <c r="E2246">
        <v>34.25</v>
      </c>
      <c r="F2246">
        <v>364800</v>
      </c>
    </row>
    <row r="2247" spans="1:6">
      <c r="A2247" s="32">
        <v>40480</v>
      </c>
      <c r="B2247">
        <v>33.75</v>
      </c>
      <c r="C2247">
        <v>34.5</v>
      </c>
      <c r="D2247">
        <v>33.75</v>
      </c>
      <c r="E2247">
        <v>34.5</v>
      </c>
      <c r="F2247">
        <v>561800</v>
      </c>
    </row>
    <row r="2248" spans="1:6">
      <c r="A2248" s="32">
        <v>40479</v>
      </c>
      <c r="B2248">
        <v>34</v>
      </c>
      <c r="C2248">
        <v>34.25</v>
      </c>
      <c r="D2248">
        <v>33.75</v>
      </c>
      <c r="E2248">
        <v>34</v>
      </c>
      <c r="F2248">
        <v>383000</v>
      </c>
    </row>
    <row r="2249" spans="1:6">
      <c r="A2249" s="32">
        <v>40478</v>
      </c>
      <c r="B2249">
        <v>34.25</v>
      </c>
      <c r="C2249">
        <v>34.75</v>
      </c>
      <c r="D2249">
        <v>34</v>
      </c>
      <c r="E2249">
        <v>34</v>
      </c>
      <c r="F2249">
        <v>376300</v>
      </c>
    </row>
    <row r="2250" spans="1:6">
      <c r="A2250" s="32">
        <v>40477</v>
      </c>
      <c r="B2250">
        <v>34</v>
      </c>
      <c r="C2250">
        <v>34.25</v>
      </c>
      <c r="D2250">
        <v>33.75</v>
      </c>
      <c r="E2250">
        <v>34.25</v>
      </c>
      <c r="F2250">
        <v>1361900</v>
      </c>
    </row>
    <row r="2251" spans="1:6">
      <c r="A2251" s="32">
        <v>40473</v>
      </c>
      <c r="B2251">
        <v>33.75</v>
      </c>
      <c r="C2251">
        <v>34</v>
      </c>
      <c r="D2251">
        <v>33.75</v>
      </c>
      <c r="E2251">
        <v>33.75</v>
      </c>
      <c r="F2251">
        <v>207700</v>
      </c>
    </row>
    <row r="2252" spans="1:6">
      <c r="A2252" s="32">
        <v>40472</v>
      </c>
      <c r="B2252">
        <v>34.5</v>
      </c>
      <c r="C2252">
        <v>34.5</v>
      </c>
      <c r="D2252">
        <v>33.75</v>
      </c>
      <c r="E2252">
        <v>34</v>
      </c>
      <c r="F2252">
        <v>1047900</v>
      </c>
    </row>
    <row r="2253" spans="1:6">
      <c r="A2253" s="32">
        <v>40471</v>
      </c>
      <c r="B2253">
        <v>34.25</v>
      </c>
      <c r="C2253">
        <v>34.75</v>
      </c>
      <c r="D2253">
        <v>34</v>
      </c>
      <c r="E2253">
        <v>34.75</v>
      </c>
      <c r="F2253">
        <v>278400</v>
      </c>
    </row>
    <row r="2254" spans="1:6">
      <c r="A2254" s="32">
        <v>40470</v>
      </c>
      <c r="B2254">
        <v>35</v>
      </c>
      <c r="C2254">
        <v>35</v>
      </c>
      <c r="D2254">
        <v>34.75</v>
      </c>
      <c r="E2254">
        <v>34.75</v>
      </c>
      <c r="F2254">
        <v>356300</v>
      </c>
    </row>
    <row r="2255" spans="1:6">
      <c r="A2255" s="32">
        <v>40469</v>
      </c>
      <c r="B2255">
        <v>34.5</v>
      </c>
      <c r="C2255">
        <v>35</v>
      </c>
      <c r="D2255">
        <v>34.5</v>
      </c>
      <c r="E2255">
        <v>35</v>
      </c>
      <c r="F2255">
        <v>294500</v>
      </c>
    </row>
    <row r="2256" spans="1:6">
      <c r="A2256" s="32">
        <v>40466</v>
      </c>
      <c r="B2256">
        <v>35</v>
      </c>
      <c r="C2256">
        <v>35.25</v>
      </c>
      <c r="D2256">
        <v>34.75</v>
      </c>
      <c r="E2256">
        <v>34.75</v>
      </c>
      <c r="F2256">
        <v>622000</v>
      </c>
    </row>
    <row r="2257" spans="1:6">
      <c r="A2257" s="32">
        <v>40465</v>
      </c>
      <c r="B2257">
        <v>34.75</v>
      </c>
      <c r="C2257">
        <v>34.75</v>
      </c>
      <c r="D2257">
        <v>34.25</v>
      </c>
      <c r="E2257">
        <v>34.75</v>
      </c>
      <c r="F2257">
        <v>265800</v>
      </c>
    </row>
    <row r="2258" spans="1:6">
      <c r="A2258" s="32">
        <v>40464</v>
      </c>
      <c r="B2258">
        <v>34</v>
      </c>
      <c r="C2258">
        <v>34.75</v>
      </c>
      <c r="D2258">
        <v>34</v>
      </c>
      <c r="E2258">
        <v>34.5</v>
      </c>
      <c r="F2258">
        <v>371700</v>
      </c>
    </row>
    <row r="2259" spans="1:6">
      <c r="A2259" s="32">
        <v>40463</v>
      </c>
      <c r="B2259">
        <v>34.5</v>
      </c>
      <c r="C2259">
        <v>34.5</v>
      </c>
      <c r="D2259">
        <v>34</v>
      </c>
      <c r="E2259">
        <v>34</v>
      </c>
      <c r="F2259">
        <v>289300</v>
      </c>
    </row>
    <row r="2260" spans="1:6">
      <c r="A2260" s="32">
        <v>40462</v>
      </c>
      <c r="B2260">
        <v>34</v>
      </c>
      <c r="C2260">
        <v>34.5</v>
      </c>
      <c r="D2260">
        <v>33.75</v>
      </c>
      <c r="E2260">
        <v>34.5</v>
      </c>
      <c r="F2260">
        <v>456200</v>
      </c>
    </row>
    <row r="2261" spans="1:6">
      <c r="A2261" s="32">
        <v>40459</v>
      </c>
      <c r="B2261">
        <v>34</v>
      </c>
      <c r="C2261">
        <v>34.25</v>
      </c>
      <c r="D2261">
        <v>33.5</v>
      </c>
      <c r="E2261">
        <v>34.25</v>
      </c>
      <c r="F2261">
        <v>856500</v>
      </c>
    </row>
    <row r="2262" spans="1:6">
      <c r="A2262" s="32">
        <v>40458</v>
      </c>
      <c r="B2262">
        <v>34.25</v>
      </c>
      <c r="C2262">
        <v>34.5</v>
      </c>
      <c r="D2262">
        <v>33.75</v>
      </c>
      <c r="E2262">
        <v>33.75</v>
      </c>
      <c r="F2262">
        <v>599700</v>
      </c>
    </row>
    <row r="2263" spans="1:6">
      <c r="A2263" s="32">
        <v>40457</v>
      </c>
      <c r="B2263">
        <v>34.75</v>
      </c>
      <c r="C2263">
        <v>35</v>
      </c>
      <c r="D2263">
        <v>34.25</v>
      </c>
      <c r="E2263">
        <v>34.25</v>
      </c>
      <c r="F2263">
        <v>332800</v>
      </c>
    </row>
    <row r="2264" spans="1:6">
      <c r="A2264" s="32">
        <v>40456</v>
      </c>
      <c r="B2264">
        <v>34</v>
      </c>
      <c r="C2264">
        <v>34.75</v>
      </c>
      <c r="D2264">
        <v>34</v>
      </c>
      <c r="E2264">
        <v>34.5</v>
      </c>
      <c r="F2264">
        <v>403300</v>
      </c>
    </row>
    <row r="2265" spans="1:6">
      <c r="A2265" s="32">
        <v>40455</v>
      </c>
      <c r="B2265">
        <v>35</v>
      </c>
      <c r="C2265">
        <v>35</v>
      </c>
      <c r="D2265">
        <v>34</v>
      </c>
      <c r="E2265">
        <v>34</v>
      </c>
      <c r="F2265">
        <v>424900</v>
      </c>
    </row>
    <row r="2266" spans="1:6">
      <c r="A2266" s="32">
        <v>40452</v>
      </c>
      <c r="B2266">
        <v>35.25</v>
      </c>
      <c r="C2266">
        <v>35.25</v>
      </c>
      <c r="D2266">
        <v>35</v>
      </c>
      <c r="E2266">
        <v>35</v>
      </c>
      <c r="F2266">
        <v>187500</v>
      </c>
    </row>
    <row r="2267" spans="1:6">
      <c r="A2267" s="32">
        <v>40451</v>
      </c>
      <c r="B2267">
        <v>35.25</v>
      </c>
      <c r="C2267">
        <v>35.5</v>
      </c>
      <c r="D2267">
        <v>35</v>
      </c>
      <c r="E2267">
        <v>35</v>
      </c>
      <c r="F2267">
        <v>529400</v>
      </c>
    </row>
    <row r="2268" spans="1:6">
      <c r="A2268" s="32">
        <v>40450</v>
      </c>
      <c r="B2268">
        <v>34.25</v>
      </c>
      <c r="C2268">
        <v>35.25</v>
      </c>
      <c r="D2268">
        <v>34.25</v>
      </c>
      <c r="E2268">
        <v>35</v>
      </c>
      <c r="F2268">
        <v>1496900</v>
      </c>
    </row>
    <row r="2269" spans="1:6">
      <c r="A2269" s="32">
        <v>40449</v>
      </c>
      <c r="B2269">
        <v>34.75</v>
      </c>
      <c r="C2269">
        <v>34.75</v>
      </c>
      <c r="D2269">
        <v>34.25</v>
      </c>
      <c r="E2269">
        <v>34.25</v>
      </c>
      <c r="F2269">
        <v>795000</v>
      </c>
    </row>
    <row r="2270" spans="1:6">
      <c r="A2270" s="32">
        <v>40448</v>
      </c>
      <c r="B2270">
        <v>35.25</v>
      </c>
      <c r="C2270">
        <v>35.25</v>
      </c>
      <c r="D2270">
        <v>34.5</v>
      </c>
      <c r="E2270">
        <v>34.75</v>
      </c>
      <c r="F2270">
        <v>1019300</v>
      </c>
    </row>
    <row r="2271" spans="1:6">
      <c r="A2271" s="32">
        <v>40445</v>
      </c>
      <c r="B2271">
        <v>35</v>
      </c>
      <c r="C2271">
        <v>36</v>
      </c>
      <c r="D2271">
        <v>34.25</v>
      </c>
      <c r="E2271">
        <v>35</v>
      </c>
      <c r="F2271">
        <v>645800</v>
      </c>
    </row>
    <row r="2272" spans="1:6">
      <c r="A2272" s="32">
        <v>40444</v>
      </c>
      <c r="B2272">
        <v>36.25</v>
      </c>
      <c r="C2272">
        <v>36.25</v>
      </c>
      <c r="D2272">
        <v>35</v>
      </c>
      <c r="E2272">
        <v>35</v>
      </c>
      <c r="F2272">
        <v>1109100</v>
      </c>
    </row>
    <row r="2273" spans="1:6">
      <c r="A2273" s="32">
        <v>40443</v>
      </c>
      <c r="B2273">
        <v>37</v>
      </c>
      <c r="C2273">
        <v>37.25</v>
      </c>
      <c r="D2273">
        <v>36</v>
      </c>
      <c r="E2273">
        <v>36</v>
      </c>
      <c r="F2273">
        <v>629300</v>
      </c>
    </row>
    <row r="2274" spans="1:6">
      <c r="A2274" s="32">
        <v>40442</v>
      </c>
      <c r="B2274">
        <v>35.5</v>
      </c>
      <c r="C2274">
        <v>36.75</v>
      </c>
      <c r="D2274">
        <v>35.5</v>
      </c>
      <c r="E2274">
        <v>36.75</v>
      </c>
      <c r="F2274">
        <v>959300</v>
      </c>
    </row>
    <row r="2275" spans="1:6">
      <c r="A2275" s="32">
        <v>40441</v>
      </c>
      <c r="B2275">
        <v>37</v>
      </c>
      <c r="C2275">
        <v>37</v>
      </c>
      <c r="D2275">
        <v>35.5</v>
      </c>
      <c r="E2275">
        <v>35.5</v>
      </c>
      <c r="F2275">
        <v>271900</v>
      </c>
    </row>
    <row r="2276" spans="1:6">
      <c r="A2276" s="32">
        <v>40438</v>
      </c>
      <c r="B2276">
        <v>36.75</v>
      </c>
      <c r="C2276">
        <v>37.25</v>
      </c>
      <c r="D2276">
        <v>35.75</v>
      </c>
      <c r="E2276">
        <v>37</v>
      </c>
      <c r="F2276">
        <v>1976300</v>
      </c>
    </row>
    <row r="2277" spans="1:6">
      <c r="A2277" s="32">
        <v>40437</v>
      </c>
      <c r="B2277">
        <v>33.5</v>
      </c>
      <c r="C2277">
        <v>35.5</v>
      </c>
      <c r="D2277">
        <v>33.25</v>
      </c>
      <c r="E2277">
        <v>35</v>
      </c>
      <c r="F2277">
        <v>2637100</v>
      </c>
    </row>
    <row r="2278" spans="1:6">
      <c r="A2278" s="32">
        <v>40436</v>
      </c>
      <c r="B2278">
        <v>34.25</v>
      </c>
      <c r="C2278">
        <v>34.5</v>
      </c>
      <c r="D2278">
        <v>32.5</v>
      </c>
      <c r="E2278">
        <v>33.5</v>
      </c>
      <c r="F2278">
        <v>1111600</v>
      </c>
    </row>
    <row r="2279" spans="1:6">
      <c r="A2279" s="32">
        <v>40435</v>
      </c>
      <c r="B2279">
        <v>32.75</v>
      </c>
      <c r="C2279">
        <v>34</v>
      </c>
      <c r="D2279">
        <v>32.75</v>
      </c>
      <c r="E2279">
        <v>34</v>
      </c>
      <c r="F2279">
        <v>3315800</v>
      </c>
    </row>
    <row r="2280" spans="1:6">
      <c r="A2280" s="32">
        <v>40434</v>
      </c>
      <c r="B2280">
        <v>32.75</v>
      </c>
      <c r="C2280">
        <v>33</v>
      </c>
      <c r="D2280">
        <v>32.5</v>
      </c>
      <c r="E2280">
        <v>32.75</v>
      </c>
      <c r="F2280">
        <v>2880600</v>
      </c>
    </row>
    <row r="2281" spans="1:6">
      <c r="A2281" s="32">
        <v>40431</v>
      </c>
      <c r="B2281">
        <v>32</v>
      </c>
      <c r="C2281">
        <v>32.5</v>
      </c>
      <c r="D2281">
        <v>32</v>
      </c>
      <c r="E2281">
        <v>32.5</v>
      </c>
      <c r="F2281">
        <v>475500</v>
      </c>
    </row>
    <row r="2282" spans="1:6">
      <c r="A2282" s="32">
        <v>40430</v>
      </c>
      <c r="B2282">
        <v>32.75</v>
      </c>
      <c r="C2282">
        <v>32.75</v>
      </c>
      <c r="D2282">
        <v>32</v>
      </c>
      <c r="E2282">
        <v>32</v>
      </c>
      <c r="F2282">
        <v>411200</v>
      </c>
    </row>
    <row r="2283" spans="1:6">
      <c r="A2283" s="32">
        <v>40429</v>
      </c>
      <c r="B2283">
        <v>32.5</v>
      </c>
      <c r="C2283">
        <v>32.75</v>
      </c>
      <c r="D2283">
        <v>32.25</v>
      </c>
      <c r="E2283">
        <v>32.75</v>
      </c>
      <c r="F2283">
        <v>370900</v>
      </c>
    </row>
    <row r="2284" spans="1:6">
      <c r="A2284" s="32">
        <v>40428</v>
      </c>
      <c r="B2284">
        <v>32</v>
      </c>
      <c r="C2284">
        <v>33</v>
      </c>
      <c r="D2284">
        <v>32</v>
      </c>
      <c r="E2284">
        <v>32.25</v>
      </c>
      <c r="F2284">
        <v>611500</v>
      </c>
    </row>
    <row r="2285" spans="1:6">
      <c r="A2285" s="32">
        <v>40427</v>
      </c>
      <c r="B2285">
        <v>32.5</v>
      </c>
      <c r="C2285">
        <v>33</v>
      </c>
      <c r="D2285">
        <v>32</v>
      </c>
      <c r="E2285">
        <v>32</v>
      </c>
      <c r="F2285">
        <v>746900</v>
      </c>
    </row>
    <row r="2286" spans="1:6">
      <c r="A2286" s="32">
        <v>40424</v>
      </c>
      <c r="B2286">
        <v>32.5</v>
      </c>
      <c r="C2286">
        <v>32.75</v>
      </c>
      <c r="D2286">
        <v>32</v>
      </c>
      <c r="E2286">
        <v>32.75</v>
      </c>
      <c r="F2286">
        <v>1037400</v>
      </c>
    </row>
    <row r="2287" spans="1:6">
      <c r="A2287" s="32">
        <v>40423</v>
      </c>
      <c r="B2287">
        <v>32</v>
      </c>
      <c r="C2287">
        <v>32.75</v>
      </c>
      <c r="D2287">
        <v>31.75</v>
      </c>
      <c r="E2287">
        <v>32.5</v>
      </c>
      <c r="F2287">
        <v>2194300</v>
      </c>
    </row>
    <row r="2288" spans="1:6">
      <c r="A2288" s="32">
        <v>40422</v>
      </c>
      <c r="B2288">
        <v>32</v>
      </c>
      <c r="C2288">
        <v>32</v>
      </c>
      <c r="D2288">
        <v>31.25</v>
      </c>
      <c r="E2288">
        <v>31.5</v>
      </c>
      <c r="F2288">
        <v>523300</v>
      </c>
    </row>
    <row r="2289" spans="1:6">
      <c r="A2289" s="32">
        <v>40421</v>
      </c>
      <c r="B2289">
        <v>31.75</v>
      </c>
      <c r="C2289">
        <v>32</v>
      </c>
      <c r="D2289">
        <v>31.5</v>
      </c>
      <c r="E2289">
        <v>32</v>
      </c>
      <c r="F2289">
        <v>1405000</v>
      </c>
    </row>
    <row r="2290" spans="1:6">
      <c r="A2290" s="32">
        <v>40420</v>
      </c>
      <c r="B2290">
        <v>32.5</v>
      </c>
      <c r="C2290">
        <v>33</v>
      </c>
      <c r="D2290">
        <v>31.75</v>
      </c>
      <c r="E2290">
        <v>32</v>
      </c>
      <c r="F2290">
        <v>522600</v>
      </c>
    </row>
    <row r="2291" spans="1:6">
      <c r="A2291" s="32">
        <v>40417</v>
      </c>
      <c r="B2291">
        <v>31.75</v>
      </c>
      <c r="C2291">
        <v>33.25</v>
      </c>
      <c r="D2291">
        <v>31.75</v>
      </c>
      <c r="E2291">
        <v>33</v>
      </c>
      <c r="F2291">
        <v>3394100</v>
      </c>
    </row>
    <row r="2292" spans="1:6">
      <c r="A2292" s="32">
        <v>40416</v>
      </c>
      <c r="B2292">
        <v>31.5</v>
      </c>
      <c r="C2292">
        <v>31.75</v>
      </c>
      <c r="D2292">
        <v>31.5</v>
      </c>
      <c r="E2292">
        <v>31.75</v>
      </c>
      <c r="F2292">
        <v>2273000</v>
      </c>
    </row>
    <row r="2293" spans="1:6">
      <c r="A2293" s="32">
        <v>40415</v>
      </c>
      <c r="B2293">
        <v>31.5</v>
      </c>
      <c r="C2293">
        <v>32</v>
      </c>
      <c r="D2293">
        <v>31.5</v>
      </c>
      <c r="E2293">
        <v>31.75</v>
      </c>
      <c r="F2293">
        <v>739900</v>
      </c>
    </row>
    <row r="2294" spans="1:6">
      <c r="A2294" s="32">
        <v>40414</v>
      </c>
      <c r="B2294">
        <v>31.25</v>
      </c>
      <c r="C2294">
        <v>31.75</v>
      </c>
      <c r="D2294">
        <v>31.25</v>
      </c>
      <c r="E2294">
        <v>31.5</v>
      </c>
      <c r="F2294">
        <v>1014100</v>
      </c>
    </row>
    <row r="2295" spans="1:6">
      <c r="A2295" s="32">
        <v>40413</v>
      </c>
      <c r="B2295">
        <v>31</v>
      </c>
      <c r="C2295">
        <v>31.5</v>
      </c>
      <c r="D2295">
        <v>31</v>
      </c>
      <c r="E2295">
        <v>31.5</v>
      </c>
      <c r="F2295">
        <v>657700</v>
      </c>
    </row>
    <row r="2296" spans="1:6">
      <c r="A2296" s="32">
        <v>40410</v>
      </c>
      <c r="B2296">
        <v>30.25</v>
      </c>
      <c r="C2296">
        <v>31</v>
      </c>
      <c r="D2296">
        <v>30.25</v>
      </c>
      <c r="E2296">
        <v>30.75</v>
      </c>
      <c r="F2296">
        <v>1313800</v>
      </c>
    </row>
    <row r="2297" spans="1:6">
      <c r="A2297" s="32">
        <v>40409</v>
      </c>
      <c r="B2297">
        <v>30.5</v>
      </c>
      <c r="C2297">
        <v>31</v>
      </c>
      <c r="D2297">
        <v>30.25</v>
      </c>
      <c r="E2297">
        <v>30.25</v>
      </c>
      <c r="F2297">
        <v>848300</v>
      </c>
    </row>
    <row r="2298" spans="1:6">
      <c r="A2298" s="32">
        <v>40408</v>
      </c>
      <c r="B2298">
        <v>30.25</v>
      </c>
      <c r="C2298">
        <v>30.5</v>
      </c>
      <c r="D2298">
        <v>30</v>
      </c>
      <c r="E2298">
        <v>30.5</v>
      </c>
      <c r="F2298">
        <v>672400</v>
      </c>
    </row>
    <row r="2299" spans="1:6">
      <c r="A2299" s="32">
        <v>40407</v>
      </c>
      <c r="B2299">
        <v>30</v>
      </c>
      <c r="C2299">
        <v>30.25</v>
      </c>
      <c r="D2299">
        <v>29.75</v>
      </c>
      <c r="E2299">
        <v>30</v>
      </c>
      <c r="F2299">
        <v>504600</v>
      </c>
    </row>
    <row r="2300" spans="1:6">
      <c r="A2300" s="32">
        <v>40406</v>
      </c>
      <c r="B2300">
        <v>30.75</v>
      </c>
      <c r="C2300">
        <v>30.75</v>
      </c>
      <c r="D2300">
        <v>30.25</v>
      </c>
      <c r="E2300">
        <v>30.25</v>
      </c>
      <c r="F2300">
        <v>1277600</v>
      </c>
    </row>
    <row r="2301" spans="1:6">
      <c r="A2301" s="32">
        <v>40401</v>
      </c>
      <c r="B2301">
        <v>30.75</v>
      </c>
      <c r="C2301">
        <v>30.75</v>
      </c>
      <c r="D2301">
        <v>30.25</v>
      </c>
      <c r="E2301">
        <v>30.5</v>
      </c>
      <c r="F2301">
        <v>473100</v>
      </c>
    </row>
    <row r="2302" spans="1:6">
      <c r="A2302" s="32">
        <v>40400</v>
      </c>
      <c r="B2302">
        <v>31</v>
      </c>
      <c r="C2302">
        <v>31</v>
      </c>
      <c r="D2302">
        <v>30.5</v>
      </c>
      <c r="E2302">
        <v>30.5</v>
      </c>
      <c r="F2302">
        <v>1249900</v>
      </c>
    </row>
    <row r="2303" spans="1:6">
      <c r="A2303" s="32">
        <v>40399</v>
      </c>
      <c r="B2303">
        <v>30.75</v>
      </c>
      <c r="C2303">
        <v>31.25</v>
      </c>
      <c r="D2303">
        <v>30.75</v>
      </c>
      <c r="E2303">
        <v>31</v>
      </c>
      <c r="F2303">
        <v>998900</v>
      </c>
    </row>
    <row r="2304" spans="1:6">
      <c r="A2304" s="32">
        <v>40396</v>
      </c>
      <c r="B2304">
        <v>30.5</v>
      </c>
      <c r="C2304">
        <v>31</v>
      </c>
      <c r="D2304">
        <v>30.5</v>
      </c>
      <c r="E2304">
        <v>31</v>
      </c>
      <c r="F2304">
        <v>801800</v>
      </c>
    </row>
    <row r="2305" spans="1:6">
      <c r="A2305" s="32">
        <v>40395</v>
      </c>
      <c r="B2305">
        <v>30.75</v>
      </c>
      <c r="C2305">
        <v>31</v>
      </c>
      <c r="D2305">
        <v>30.5</v>
      </c>
      <c r="E2305">
        <v>30.75</v>
      </c>
      <c r="F2305">
        <v>785300</v>
      </c>
    </row>
    <row r="2306" spans="1:6">
      <c r="A2306" s="32">
        <v>40394</v>
      </c>
      <c r="B2306">
        <v>30.25</v>
      </c>
      <c r="C2306">
        <v>30.75</v>
      </c>
      <c r="D2306">
        <v>30</v>
      </c>
      <c r="E2306">
        <v>30.25</v>
      </c>
      <c r="F2306">
        <v>1510300</v>
      </c>
    </row>
    <row r="2307" spans="1:6">
      <c r="A2307" s="32">
        <v>40393</v>
      </c>
      <c r="B2307">
        <v>29.5</v>
      </c>
      <c r="C2307">
        <v>30.25</v>
      </c>
      <c r="D2307">
        <v>29.5</v>
      </c>
      <c r="E2307">
        <v>30</v>
      </c>
      <c r="F2307">
        <v>1373500</v>
      </c>
    </row>
    <row r="2308" spans="1:6">
      <c r="A2308" s="32">
        <v>40392</v>
      </c>
      <c r="B2308">
        <v>29.75</v>
      </c>
      <c r="C2308">
        <v>29.75</v>
      </c>
      <c r="D2308">
        <v>29.25</v>
      </c>
      <c r="E2308">
        <v>29.5</v>
      </c>
      <c r="F2308">
        <v>861200</v>
      </c>
    </row>
    <row r="2309" spans="1:6">
      <c r="A2309" s="32">
        <v>40389</v>
      </c>
      <c r="B2309">
        <v>29.5</v>
      </c>
      <c r="C2309">
        <v>29.5</v>
      </c>
      <c r="D2309">
        <v>29</v>
      </c>
      <c r="E2309">
        <v>29.25</v>
      </c>
      <c r="F2309">
        <v>1048300</v>
      </c>
    </row>
    <row r="2310" spans="1:6">
      <c r="A2310" s="32">
        <v>40388</v>
      </c>
      <c r="B2310">
        <v>29</v>
      </c>
      <c r="C2310">
        <v>29.5</v>
      </c>
      <c r="D2310">
        <v>28.75</v>
      </c>
      <c r="E2310">
        <v>29.25</v>
      </c>
      <c r="F2310">
        <v>1523700</v>
      </c>
    </row>
    <row r="2311" spans="1:6">
      <c r="A2311" s="32">
        <v>40387</v>
      </c>
      <c r="B2311">
        <v>28.75</v>
      </c>
      <c r="C2311">
        <v>29</v>
      </c>
      <c r="D2311">
        <v>28.75</v>
      </c>
      <c r="E2311">
        <v>29</v>
      </c>
      <c r="F2311">
        <v>1163900</v>
      </c>
    </row>
    <row r="2312" spans="1:6">
      <c r="A2312" s="32">
        <v>40386</v>
      </c>
      <c r="B2312">
        <v>29</v>
      </c>
      <c r="C2312">
        <v>29.25</v>
      </c>
      <c r="D2312">
        <v>28.5</v>
      </c>
      <c r="E2312">
        <v>28.75</v>
      </c>
      <c r="F2312">
        <v>3346300</v>
      </c>
    </row>
    <row r="2313" spans="1:6">
      <c r="A2313" s="32">
        <v>40382</v>
      </c>
      <c r="B2313">
        <v>28.25</v>
      </c>
      <c r="C2313">
        <v>29</v>
      </c>
      <c r="D2313">
        <v>28</v>
      </c>
      <c r="E2313">
        <v>28.75</v>
      </c>
      <c r="F2313">
        <v>2762200</v>
      </c>
    </row>
    <row r="2314" spans="1:6">
      <c r="A2314" s="32">
        <v>40381</v>
      </c>
      <c r="B2314">
        <v>28.75</v>
      </c>
      <c r="C2314">
        <v>28.75</v>
      </c>
      <c r="D2314">
        <v>28</v>
      </c>
      <c r="E2314">
        <v>28.25</v>
      </c>
      <c r="F2314">
        <v>1269600</v>
      </c>
    </row>
    <row r="2315" spans="1:6">
      <c r="A2315" s="32">
        <v>40380</v>
      </c>
      <c r="B2315">
        <v>28.25</v>
      </c>
      <c r="C2315">
        <v>28.75</v>
      </c>
      <c r="D2315">
        <v>28.25</v>
      </c>
      <c r="E2315">
        <v>28.75</v>
      </c>
      <c r="F2315">
        <v>1214900</v>
      </c>
    </row>
    <row r="2316" spans="1:6">
      <c r="A2316" s="32">
        <v>40379</v>
      </c>
      <c r="B2316">
        <v>28.75</v>
      </c>
      <c r="C2316">
        <v>29</v>
      </c>
      <c r="D2316">
        <v>28.25</v>
      </c>
      <c r="E2316">
        <v>28.25</v>
      </c>
      <c r="F2316">
        <v>1455300</v>
      </c>
    </row>
    <row r="2317" spans="1:6">
      <c r="A2317" s="32">
        <v>40378</v>
      </c>
      <c r="B2317">
        <v>29.25</v>
      </c>
      <c r="C2317">
        <v>29.25</v>
      </c>
      <c r="D2317">
        <v>28.5</v>
      </c>
      <c r="E2317">
        <v>28.75</v>
      </c>
      <c r="F2317">
        <v>2304100</v>
      </c>
    </row>
    <row r="2318" spans="1:6">
      <c r="A2318" s="32">
        <v>40375</v>
      </c>
      <c r="B2318">
        <v>30</v>
      </c>
      <c r="C2318">
        <v>30</v>
      </c>
      <c r="D2318">
        <v>29.25</v>
      </c>
      <c r="E2318">
        <v>29.5</v>
      </c>
      <c r="F2318">
        <v>1182900</v>
      </c>
    </row>
    <row r="2319" spans="1:6">
      <c r="A2319" s="32">
        <v>40374</v>
      </c>
      <c r="B2319">
        <v>29.75</v>
      </c>
      <c r="C2319">
        <v>30</v>
      </c>
      <c r="D2319">
        <v>29.75</v>
      </c>
      <c r="E2319">
        <v>30</v>
      </c>
      <c r="F2319">
        <v>534100</v>
      </c>
    </row>
    <row r="2320" spans="1:6">
      <c r="A2320" s="32">
        <v>40373</v>
      </c>
      <c r="B2320">
        <v>30</v>
      </c>
      <c r="C2320">
        <v>30.25</v>
      </c>
      <c r="D2320">
        <v>29.75</v>
      </c>
      <c r="E2320">
        <v>29.75</v>
      </c>
      <c r="F2320">
        <v>753900</v>
      </c>
    </row>
    <row r="2321" spans="1:6">
      <c r="A2321" s="32">
        <v>40372</v>
      </c>
      <c r="B2321">
        <v>29.75</v>
      </c>
      <c r="C2321">
        <v>30</v>
      </c>
      <c r="D2321">
        <v>29.5</v>
      </c>
      <c r="E2321">
        <v>30</v>
      </c>
      <c r="F2321">
        <v>480800</v>
      </c>
    </row>
    <row r="2322" spans="1:6">
      <c r="A2322" s="32">
        <v>40371</v>
      </c>
      <c r="B2322">
        <v>30</v>
      </c>
      <c r="C2322">
        <v>30.25</v>
      </c>
      <c r="D2322">
        <v>29.75</v>
      </c>
      <c r="E2322">
        <v>29.75</v>
      </c>
      <c r="F2322">
        <v>628800</v>
      </c>
    </row>
    <row r="2323" spans="1:6">
      <c r="A2323" s="32">
        <v>40368</v>
      </c>
      <c r="B2323">
        <v>29.75</v>
      </c>
      <c r="C2323">
        <v>30</v>
      </c>
      <c r="D2323">
        <v>29.5</v>
      </c>
      <c r="E2323">
        <v>30</v>
      </c>
      <c r="F2323">
        <v>2380900</v>
      </c>
    </row>
    <row r="2324" spans="1:6">
      <c r="A2324" s="32">
        <v>40367</v>
      </c>
      <c r="B2324">
        <v>30.75</v>
      </c>
      <c r="C2324">
        <v>31</v>
      </c>
      <c r="D2324">
        <v>29.75</v>
      </c>
      <c r="E2324">
        <v>29.75</v>
      </c>
      <c r="F2324">
        <v>1968600</v>
      </c>
    </row>
    <row r="2325" spans="1:6">
      <c r="A2325" s="32">
        <v>40366</v>
      </c>
      <c r="B2325">
        <v>32</v>
      </c>
      <c r="C2325">
        <v>32</v>
      </c>
      <c r="D2325">
        <v>30</v>
      </c>
      <c r="E2325">
        <v>30.5</v>
      </c>
      <c r="F2325">
        <v>2342200</v>
      </c>
    </row>
    <row r="2326" spans="1:6">
      <c r="A2326" s="32">
        <v>40365</v>
      </c>
      <c r="B2326">
        <v>31.25</v>
      </c>
      <c r="C2326">
        <v>32</v>
      </c>
      <c r="D2326">
        <v>31.25</v>
      </c>
      <c r="E2326">
        <v>32</v>
      </c>
      <c r="F2326">
        <v>466600</v>
      </c>
    </row>
    <row r="2327" spans="1:6">
      <c r="A2327" s="32">
        <v>40364</v>
      </c>
      <c r="B2327">
        <v>31</v>
      </c>
      <c r="C2327">
        <v>31.25</v>
      </c>
      <c r="D2327">
        <v>30.75</v>
      </c>
      <c r="E2327">
        <v>31</v>
      </c>
      <c r="F2327">
        <v>183000</v>
      </c>
    </row>
    <row r="2328" spans="1:6">
      <c r="A2328" s="32">
        <v>40361</v>
      </c>
      <c r="B2328">
        <v>31</v>
      </c>
      <c r="C2328">
        <v>31.75</v>
      </c>
      <c r="D2328">
        <v>30.75</v>
      </c>
      <c r="E2328">
        <v>31</v>
      </c>
      <c r="F2328">
        <v>185700</v>
      </c>
    </row>
    <row r="2329" spans="1:6">
      <c r="A2329" s="32">
        <v>40359</v>
      </c>
      <c r="B2329">
        <v>31.25</v>
      </c>
      <c r="C2329">
        <v>31.75</v>
      </c>
      <c r="D2329">
        <v>31</v>
      </c>
      <c r="E2329">
        <v>31</v>
      </c>
      <c r="F2329">
        <v>191800</v>
      </c>
    </row>
    <row r="2330" spans="1:6">
      <c r="A2330" s="32">
        <v>40358</v>
      </c>
      <c r="B2330">
        <v>32.25</v>
      </c>
      <c r="C2330">
        <v>32.25</v>
      </c>
      <c r="D2330">
        <v>31.25</v>
      </c>
      <c r="E2330">
        <v>31.25</v>
      </c>
      <c r="F2330">
        <v>191600</v>
      </c>
    </row>
    <row r="2331" spans="1:6">
      <c r="A2331" s="32">
        <v>40357</v>
      </c>
      <c r="B2331">
        <v>31.5</v>
      </c>
      <c r="C2331">
        <v>32.25</v>
      </c>
      <c r="D2331">
        <v>31.5</v>
      </c>
      <c r="E2331">
        <v>32.25</v>
      </c>
      <c r="F2331">
        <v>57600</v>
      </c>
    </row>
    <row r="2332" spans="1:6">
      <c r="A2332" s="32">
        <v>40354</v>
      </c>
      <c r="B2332">
        <v>32</v>
      </c>
      <c r="C2332">
        <v>32</v>
      </c>
      <c r="D2332">
        <v>31</v>
      </c>
      <c r="E2332">
        <v>31.25</v>
      </c>
      <c r="F2332">
        <v>183900</v>
      </c>
    </row>
    <row r="2333" spans="1:6">
      <c r="A2333" s="32">
        <v>40353</v>
      </c>
      <c r="B2333">
        <v>33</v>
      </c>
      <c r="C2333">
        <v>33</v>
      </c>
      <c r="D2333">
        <v>32</v>
      </c>
      <c r="E2333">
        <v>32</v>
      </c>
      <c r="F2333">
        <v>735000</v>
      </c>
    </row>
    <row r="2334" spans="1:6">
      <c r="A2334" s="32">
        <v>40352</v>
      </c>
      <c r="B2334">
        <v>33</v>
      </c>
      <c r="C2334">
        <v>33.25</v>
      </c>
      <c r="D2334">
        <v>32.75</v>
      </c>
      <c r="E2334">
        <v>33</v>
      </c>
      <c r="F2334">
        <v>747100</v>
      </c>
    </row>
    <row r="2335" spans="1:6">
      <c r="A2335" s="32">
        <v>40351</v>
      </c>
      <c r="B2335">
        <v>31.75</v>
      </c>
      <c r="C2335">
        <v>33.5</v>
      </c>
      <c r="D2335">
        <v>31.5</v>
      </c>
      <c r="E2335">
        <v>32.75</v>
      </c>
      <c r="F2335">
        <v>3274400</v>
      </c>
    </row>
    <row r="2336" spans="1:6">
      <c r="A2336" s="32">
        <v>40350</v>
      </c>
      <c r="B2336">
        <v>31.25</v>
      </c>
      <c r="C2336">
        <v>32</v>
      </c>
      <c r="D2336">
        <v>31.25</v>
      </c>
      <c r="E2336">
        <v>31.75</v>
      </c>
      <c r="F2336">
        <v>723900</v>
      </c>
    </row>
    <row r="2337" spans="1:6">
      <c r="A2337" s="32">
        <v>40347</v>
      </c>
      <c r="B2337">
        <v>30.75</v>
      </c>
      <c r="C2337">
        <v>31.25</v>
      </c>
      <c r="D2337">
        <v>30.25</v>
      </c>
      <c r="E2337">
        <v>31</v>
      </c>
      <c r="F2337">
        <v>1797500</v>
      </c>
    </row>
    <row r="2338" spans="1:6">
      <c r="A2338" s="32">
        <v>40346</v>
      </c>
      <c r="B2338">
        <v>30.5</v>
      </c>
      <c r="C2338">
        <v>31</v>
      </c>
      <c r="D2338">
        <v>30.25</v>
      </c>
      <c r="E2338">
        <v>30.5</v>
      </c>
      <c r="F2338">
        <v>862300</v>
      </c>
    </row>
    <row r="2339" spans="1:6">
      <c r="A2339" s="32">
        <v>40345</v>
      </c>
      <c r="B2339">
        <v>30.5</v>
      </c>
      <c r="C2339">
        <v>30.75</v>
      </c>
      <c r="D2339">
        <v>30.25</v>
      </c>
      <c r="E2339">
        <v>30.25</v>
      </c>
      <c r="F2339">
        <v>102200</v>
      </c>
    </row>
    <row r="2340" spans="1:6">
      <c r="A2340" s="32">
        <v>40344</v>
      </c>
      <c r="B2340">
        <v>30.5</v>
      </c>
      <c r="C2340">
        <v>30.5</v>
      </c>
      <c r="D2340">
        <v>30.25</v>
      </c>
      <c r="E2340">
        <v>30.5</v>
      </c>
      <c r="F2340">
        <v>213500</v>
      </c>
    </row>
    <row r="2341" spans="1:6">
      <c r="A2341" s="32">
        <v>40343</v>
      </c>
      <c r="B2341">
        <v>30.5</v>
      </c>
      <c r="C2341">
        <v>30.5</v>
      </c>
      <c r="D2341">
        <v>30.25</v>
      </c>
      <c r="E2341">
        <v>30.25</v>
      </c>
      <c r="F2341">
        <v>398300</v>
      </c>
    </row>
    <row r="2342" spans="1:6">
      <c r="A2342" s="32">
        <v>40340</v>
      </c>
      <c r="B2342">
        <v>31.25</v>
      </c>
      <c r="C2342">
        <v>31.25</v>
      </c>
      <c r="D2342">
        <v>30.5</v>
      </c>
      <c r="E2342">
        <v>30.5</v>
      </c>
      <c r="F2342">
        <v>191400</v>
      </c>
    </row>
    <row r="2343" spans="1:6">
      <c r="A2343" s="32">
        <v>40339</v>
      </c>
      <c r="B2343">
        <v>30.25</v>
      </c>
      <c r="C2343">
        <v>31</v>
      </c>
      <c r="D2343">
        <v>30.25</v>
      </c>
      <c r="E2343">
        <v>31</v>
      </c>
      <c r="F2343">
        <v>325500</v>
      </c>
    </row>
    <row r="2344" spans="1:6">
      <c r="A2344" s="32">
        <v>40338</v>
      </c>
      <c r="B2344">
        <v>30.75</v>
      </c>
      <c r="C2344">
        <v>30.75</v>
      </c>
      <c r="D2344">
        <v>30.5</v>
      </c>
      <c r="E2344">
        <v>30.75</v>
      </c>
      <c r="F2344">
        <v>184400</v>
      </c>
    </row>
    <row r="2345" spans="1:6">
      <c r="A2345" s="32">
        <v>40337</v>
      </c>
      <c r="B2345">
        <v>31</v>
      </c>
      <c r="C2345">
        <v>31</v>
      </c>
      <c r="D2345">
        <v>30.75</v>
      </c>
      <c r="E2345">
        <v>31</v>
      </c>
      <c r="F2345">
        <v>67300</v>
      </c>
    </row>
    <row r="2346" spans="1:6">
      <c r="A2346" s="32">
        <v>40336</v>
      </c>
      <c r="B2346">
        <v>31.25</v>
      </c>
      <c r="C2346">
        <v>31.25</v>
      </c>
      <c r="D2346">
        <v>30.75</v>
      </c>
      <c r="E2346">
        <v>31</v>
      </c>
      <c r="F2346">
        <v>145100</v>
      </c>
    </row>
    <row r="2347" spans="1:6">
      <c r="A2347" s="32">
        <v>40333</v>
      </c>
      <c r="B2347">
        <v>30.25</v>
      </c>
      <c r="C2347">
        <v>32</v>
      </c>
      <c r="D2347">
        <v>30.25</v>
      </c>
      <c r="E2347">
        <v>32</v>
      </c>
      <c r="F2347">
        <v>553000</v>
      </c>
    </row>
    <row r="2348" spans="1:6">
      <c r="A2348" s="32">
        <v>40332</v>
      </c>
      <c r="B2348">
        <v>30.5</v>
      </c>
      <c r="C2348">
        <v>30.5</v>
      </c>
      <c r="D2348">
        <v>30.25</v>
      </c>
      <c r="E2348">
        <v>30.25</v>
      </c>
      <c r="F2348">
        <v>66500</v>
      </c>
    </row>
    <row r="2349" spans="1:6">
      <c r="A2349" s="32">
        <v>40331</v>
      </c>
      <c r="B2349">
        <v>30.5</v>
      </c>
      <c r="C2349">
        <v>30.75</v>
      </c>
      <c r="D2349">
        <v>30.5</v>
      </c>
      <c r="E2349">
        <v>30.5</v>
      </c>
      <c r="F2349">
        <v>239300</v>
      </c>
    </row>
    <row r="2350" spans="1:6">
      <c r="A2350" s="32">
        <v>40330</v>
      </c>
      <c r="B2350">
        <v>30.75</v>
      </c>
      <c r="C2350">
        <v>30.75</v>
      </c>
      <c r="D2350">
        <v>30.25</v>
      </c>
      <c r="E2350">
        <v>30.75</v>
      </c>
      <c r="F2350">
        <v>109000</v>
      </c>
    </row>
    <row r="2351" spans="1:6">
      <c r="A2351" s="32">
        <v>40329</v>
      </c>
      <c r="B2351">
        <v>30.75</v>
      </c>
      <c r="C2351">
        <v>31</v>
      </c>
      <c r="D2351">
        <v>30.5</v>
      </c>
      <c r="E2351">
        <v>30.75</v>
      </c>
      <c r="F2351">
        <v>583200</v>
      </c>
    </row>
    <row r="2352" spans="1:6">
      <c r="A2352" s="32">
        <v>40325</v>
      </c>
      <c r="B2352">
        <v>30.25</v>
      </c>
      <c r="C2352">
        <v>31</v>
      </c>
      <c r="D2352">
        <v>30</v>
      </c>
      <c r="E2352">
        <v>31</v>
      </c>
      <c r="F2352">
        <v>369500</v>
      </c>
    </row>
    <row r="2353" spans="1:6">
      <c r="A2353" s="32">
        <v>40324</v>
      </c>
      <c r="B2353">
        <v>29.75</v>
      </c>
      <c r="C2353">
        <v>31</v>
      </c>
      <c r="D2353">
        <v>29.75</v>
      </c>
      <c r="E2353">
        <v>30.5</v>
      </c>
      <c r="F2353">
        <v>288100</v>
      </c>
    </row>
    <row r="2354" spans="1:6">
      <c r="A2354" s="32">
        <v>40323</v>
      </c>
      <c r="B2354">
        <v>29.75</v>
      </c>
      <c r="C2354">
        <v>30.75</v>
      </c>
      <c r="D2354">
        <v>29.25</v>
      </c>
      <c r="E2354">
        <v>30.25</v>
      </c>
      <c r="F2354">
        <v>557300</v>
      </c>
    </row>
    <row r="2355" spans="1:6">
      <c r="A2355" s="32">
        <v>40322</v>
      </c>
      <c r="B2355">
        <v>30.25</v>
      </c>
      <c r="C2355">
        <v>30.25</v>
      </c>
      <c r="D2355">
        <v>29.5</v>
      </c>
      <c r="E2355">
        <v>30.25</v>
      </c>
      <c r="F2355">
        <v>449100</v>
      </c>
    </row>
    <row r="2356" spans="1:6">
      <c r="A2356" s="32">
        <v>40317</v>
      </c>
      <c r="B2356">
        <v>30.5</v>
      </c>
      <c r="C2356">
        <v>30.5</v>
      </c>
      <c r="D2356">
        <v>29.75</v>
      </c>
      <c r="E2356">
        <v>30</v>
      </c>
      <c r="F2356">
        <v>328400</v>
      </c>
    </row>
    <row r="2357" spans="1:6">
      <c r="A2357" s="32">
        <v>40316</v>
      </c>
      <c r="B2357">
        <v>29.75</v>
      </c>
      <c r="C2357">
        <v>31</v>
      </c>
      <c r="D2357">
        <v>29.75</v>
      </c>
      <c r="E2357">
        <v>30.5</v>
      </c>
      <c r="F2357">
        <v>213800</v>
      </c>
    </row>
    <row r="2358" spans="1:6">
      <c r="A2358" s="32">
        <v>40315</v>
      </c>
      <c r="B2358">
        <v>29.75</v>
      </c>
      <c r="C2358">
        <v>30</v>
      </c>
      <c r="D2358">
        <v>29.5</v>
      </c>
      <c r="E2358">
        <v>29.75</v>
      </c>
      <c r="F2358">
        <v>133400</v>
      </c>
    </row>
    <row r="2359" spans="1:6">
      <c r="A2359" s="32">
        <v>40312</v>
      </c>
      <c r="B2359">
        <v>30</v>
      </c>
      <c r="C2359">
        <v>30.75</v>
      </c>
      <c r="D2359">
        <v>30</v>
      </c>
      <c r="E2359">
        <v>30.75</v>
      </c>
      <c r="F2359">
        <v>416300</v>
      </c>
    </row>
    <row r="2360" spans="1:6">
      <c r="A2360" s="32">
        <v>40311</v>
      </c>
      <c r="B2360">
        <v>30.25</v>
      </c>
      <c r="C2360">
        <v>30.25</v>
      </c>
      <c r="D2360">
        <v>29.5</v>
      </c>
      <c r="E2360">
        <v>29.75</v>
      </c>
      <c r="F2360">
        <v>119300</v>
      </c>
    </row>
    <row r="2361" spans="1:6">
      <c r="A2361" s="32">
        <v>40310</v>
      </c>
      <c r="B2361">
        <v>30</v>
      </c>
      <c r="C2361">
        <v>30.75</v>
      </c>
      <c r="D2361">
        <v>29.75</v>
      </c>
      <c r="E2361">
        <v>30.75</v>
      </c>
      <c r="F2361">
        <v>481100</v>
      </c>
    </row>
    <row r="2362" spans="1:6">
      <c r="A2362" s="32">
        <v>40309</v>
      </c>
      <c r="B2362">
        <v>29.75</v>
      </c>
      <c r="C2362">
        <v>30.25</v>
      </c>
      <c r="D2362">
        <v>29.75</v>
      </c>
      <c r="E2362">
        <v>30.25</v>
      </c>
      <c r="F2362">
        <v>467700</v>
      </c>
    </row>
    <row r="2363" spans="1:6">
      <c r="A2363" s="32">
        <v>40308</v>
      </c>
      <c r="B2363">
        <v>30</v>
      </c>
      <c r="C2363">
        <v>30</v>
      </c>
      <c r="D2363">
        <v>29.5</v>
      </c>
      <c r="E2363">
        <v>29.5</v>
      </c>
      <c r="F2363">
        <v>259700</v>
      </c>
    </row>
    <row r="2364" spans="1:6">
      <c r="A2364" s="32">
        <v>40305</v>
      </c>
      <c r="B2364">
        <v>30</v>
      </c>
      <c r="C2364">
        <v>30</v>
      </c>
      <c r="D2364">
        <v>29.25</v>
      </c>
      <c r="E2364">
        <v>30</v>
      </c>
      <c r="F2364">
        <v>319700</v>
      </c>
    </row>
    <row r="2365" spans="1:6">
      <c r="A2365" s="32">
        <v>40304</v>
      </c>
      <c r="B2365">
        <v>31</v>
      </c>
      <c r="C2365">
        <v>31.25</v>
      </c>
      <c r="D2365">
        <v>30.5</v>
      </c>
      <c r="E2365">
        <v>30.5</v>
      </c>
      <c r="F2365">
        <v>178100</v>
      </c>
    </row>
    <row r="2366" spans="1:6">
      <c r="A2366" s="32">
        <v>40302</v>
      </c>
      <c r="B2366">
        <v>30.25</v>
      </c>
      <c r="C2366">
        <v>31.5</v>
      </c>
      <c r="D2366">
        <v>30.25</v>
      </c>
      <c r="E2366">
        <v>31.25</v>
      </c>
      <c r="F2366">
        <v>325500</v>
      </c>
    </row>
    <row r="2367" spans="1:6">
      <c r="A2367" s="32">
        <v>40298</v>
      </c>
      <c r="B2367">
        <v>29.75</v>
      </c>
      <c r="C2367">
        <v>30</v>
      </c>
      <c r="D2367">
        <v>29.75</v>
      </c>
      <c r="E2367">
        <v>30</v>
      </c>
      <c r="F2367">
        <v>1100</v>
      </c>
    </row>
    <row r="2368" spans="1:6">
      <c r="A2368" s="32">
        <v>40297</v>
      </c>
      <c r="B2368">
        <v>30.25</v>
      </c>
      <c r="C2368">
        <v>30.25</v>
      </c>
      <c r="D2368">
        <v>29.75</v>
      </c>
      <c r="E2368">
        <v>29.75</v>
      </c>
      <c r="F2368">
        <v>104500</v>
      </c>
    </row>
    <row r="2369" spans="1:6">
      <c r="A2369" s="32">
        <v>40296</v>
      </c>
      <c r="B2369">
        <v>29.75</v>
      </c>
      <c r="C2369">
        <v>30.25</v>
      </c>
      <c r="D2369">
        <v>29.75</v>
      </c>
      <c r="E2369">
        <v>30.25</v>
      </c>
      <c r="F2369">
        <v>106900</v>
      </c>
    </row>
    <row r="2370" spans="1:6">
      <c r="A2370" s="32">
        <v>40295</v>
      </c>
      <c r="B2370">
        <v>29.75</v>
      </c>
      <c r="C2370">
        <v>30.25</v>
      </c>
      <c r="D2370">
        <v>29.5</v>
      </c>
      <c r="E2370">
        <v>30</v>
      </c>
      <c r="F2370">
        <v>168700</v>
      </c>
    </row>
    <row r="2371" spans="1:6">
      <c r="A2371" s="32">
        <v>40294</v>
      </c>
      <c r="B2371">
        <v>30.25</v>
      </c>
      <c r="C2371">
        <v>30.25</v>
      </c>
      <c r="D2371">
        <v>29.75</v>
      </c>
      <c r="E2371">
        <v>29.75</v>
      </c>
      <c r="F2371">
        <v>205500</v>
      </c>
    </row>
    <row r="2372" spans="1:6">
      <c r="A2372" s="32">
        <v>40291</v>
      </c>
      <c r="B2372">
        <v>29.5</v>
      </c>
      <c r="C2372">
        <v>30</v>
      </c>
      <c r="D2372">
        <v>29.5</v>
      </c>
      <c r="E2372">
        <v>29.75</v>
      </c>
      <c r="F2372">
        <v>147000</v>
      </c>
    </row>
    <row r="2373" spans="1:6">
      <c r="A2373" s="32">
        <v>40290</v>
      </c>
      <c r="B2373">
        <v>30</v>
      </c>
      <c r="C2373">
        <v>30.5</v>
      </c>
      <c r="D2373">
        <v>30</v>
      </c>
      <c r="E2373">
        <v>30</v>
      </c>
      <c r="F2373">
        <v>173700</v>
      </c>
    </row>
    <row r="2374" spans="1:6">
      <c r="A2374" s="32">
        <v>40289</v>
      </c>
      <c r="B2374">
        <v>30.75</v>
      </c>
      <c r="C2374">
        <v>30.75</v>
      </c>
      <c r="D2374">
        <v>29.5</v>
      </c>
      <c r="E2374">
        <v>29.75</v>
      </c>
      <c r="F2374">
        <v>550400</v>
      </c>
    </row>
    <row r="2375" spans="1:6">
      <c r="A2375" s="32">
        <v>40288</v>
      </c>
      <c r="B2375">
        <v>29.25</v>
      </c>
      <c r="C2375">
        <v>30</v>
      </c>
      <c r="D2375">
        <v>29.25</v>
      </c>
      <c r="E2375">
        <v>30</v>
      </c>
      <c r="F2375">
        <v>549900</v>
      </c>
    </row>
    <row r="2376" spans="1:6">
      <c r="A2376" s="32">
        <v>40287</v>
      </c>
      <c r="B2376">
        <v>30</v>
      </c>
      <c r="C2376">
        <v>30</v>
      </c>
      <c r="D2376">
        <v>29.25</v>
      </c>
      <c r="E2376">
        <v>29.5</v>
      </c>
      <c r="F2376">
        <v>725800</v>
      </c>
    </row>
    <row r="2377" spans="1:6">
      <c r="A2377" s="32">
        <v>40284</v>
      </c>
      <c r="B2377">
        <v>30</v>
      </c>
      <c r="C2377">
        <v>30.5</v>
      </c>
      <c r="D2377">
        <v>30</v>
      </c>
      <c r="E2377">
        <v>30.25</v>
      </c>
      <c r="F2377">
        <v>564900</v>
      </c>
    </row>
    <row r="2378" spans="1:6">
      <c r="A2378" s="32">
        <v>40280</v>
      </c>
      <c r="B2378">
        <v>30.25</v>
      </c>
      <c r="C2378">
        <v>30.75</v>
      </c>
      <c r="D2378">
        <v>29.25</v>
      </c>
      <c r="E2378">
        <v>30.75</v>
      </c>
      <c r="F2378">
        <v>901700</v>
      </c>
    </row>
    <row r="2379" spans="1:6">
      <c r="A2379" s="32">
        <v>40277</v>
      </c>
      <c r="B2379">
        <v>31</v>
      </c>
      <c r="C2379">
        <v>31</v>
      </c>
      <c r="D2379">
        <v>30.5</v>
      </c>
      <c r="E2379">
        <v>30.75</v>
      </c>
      <c r="F2379">
        <v>396000</v>
      </c>
    </row>
    <row r="2380" spans="1:6">
      <c r="A2380" s="32">
        <v>40276</v>
      </c>
      <c r="B2380">
        <v>32.5</v>
      </c>
      <c r="C2380">
        <v>32.5</v>
      </c>
      <c r="D2380">
        <v>31</v>
      </c>
      <c r="E2380">
        <v>31.75</v>
      </c>
      <c r="F2380">
        <v>494900</v>
      </c>
    </row>
    <row r="2381" spans="1:6">
      <c r="A2381" s="32">
        <v>40275</v>
      </c>
      <c r="B2381">
        <v>31.5</v>
      </c>
      <c r="C2381">
        <v>32</v>
      </c>
      <c r="D2381">
        <v>31.5</v>
      </c>
      <c r="E2381">
        <v>32</v>
      </c>
      <c r="F2381">
        <v>492900</v>
      </c>
    </row>
    <row r="2382" spans="1:6">
      <c r="A2382" s="32">
        <v>40273</v>
      </c>
      <c r="B2382">
        <v>31.5</v>
      </c>
      <c r="C2382">
        <v>31.5</v>
      </c>
      <c r="D2382">
        <v>30.75</v>
      </c>
      <c r="E2382">
        <v>31.5</v>
      </c>
      <c r="F2382">
        <v>37000</v>
      </c>
    </row>
    <row r="2383" spans="1:6">
      <c r="A2383" s="32">
        <v>40270</v>
      </c>
      <c r="B2383">
        <v>31.75</v>
      </c>
      <c r="C2383">
        <v>31.75</v>
      </c>
      <c r="D2383">
        <v>31</v>
      </c>
      <c r="E2383">
        <v>31</v>
      </c>
      <c r="F2383">
        <v>91500</v>
      </c>
    </row>
    <row r="2384" spans="1:6">
      <c r="A2384" s="32">
        <v>40269</v>
      </c>
      <c r="B2384">
        <v>30.75</v>
      </c>
      <c r="C2384">
        <v>31.5</v>
      </c>
      <c r="D2384">
        <v>30.5</v>
      </c>
      <c r="E2384">
        <v>31</v>
      </c>
      <c r="F2384">
        <v>250600</v>
      </c>
    </row>
    <row r="2385" spans="1:6">
      <c r="A2385" s="32">
        <v>40268</v>
      </c>
      <c r="B2385">
        <v>31.5</v>
      </c>
      <c r="C2385">
        <v>31.5</v>
      </c>
      <c r="D2385">
        <v>30.75</v>
      </c>
      <c r="E2385">
        <v>30.75</v>
      </c>
      <c r="F2385">
        <v>237200</v>
      </c>
    </row>
    <row r="2386" spans="1:6">
      <c r="A2386" s="32">
        <v>40267</v>
      </c>
      <c r="B2386">
        <v>31.75</v>
      </c>
      <c r="C2386">
        <v>31.75</v>
      </c>
      <c r="D2386">
        <v>31.25</v>
      </c>
      <c r="E2386">
        <v>31.5</v>
      </c>
      <c r="F2386">
        <v>312700</v>
      </c>
    </row>
    <row r="2387" spans="1:6">
      <c r="A2387" s="32">
        <v>40266</v>
      </c>
      <c r="B2387">
        <v>31.75</v>
      </c>
      <c r="C2387">
        <v>31.75</v>
      </c>
      <c r="D2387">
        <v>31</v>
      </c>
      <c r="E2387">
        <v>31</v>
      </c>
      <c r="F2387">
        <v>73700</v>
      </c>
    </row>
    <row r="2388" spans="1:6">
      <c r="A2388" s="32">
        <v>40263</v>
      </c>
      <c r="B2388">
        <v>31.5</v>
      </c>
      <c r="C2388">
        <v>31.75</v>
      </c>
      <c r="D2388">
        <v>31</v>
      </c>
      <c r="E2388">
        <v>31</v>
      </c>
      <c r="F2388">
        <v>101100</v>
      </c>
    </row>
    <row r="2389" spans="1:6">
      <c r="A2389" s="32">
        <v>40262</v>
      </c>
      <c r="B2389">
        <v>32</v>
      </c>
      <c r="C2389">
        <v>32</v>
      </c>
      <c r="D2389">
        <v>31.5</v>
      </c>
      <c r="E2389">
        <v>31.75</v>
      </c>
      <c r="F2389">
        <v>178000</v>
      </c>
    </row>
    <row r="2390" spans="1:6">
      <c r="A2390" s="32">
        <v>40261</v>
      </c>
      <c r="B2390">
        <v>31.75</v>
      </c>
      <c r="C2390">
        <v>32</v>
      </c>
      <c r="D2390">
        <v>31.75</v>
      </c>
      <c r="E2390">
        <v>31.75</v>
      </c>
      <c r="F2390">
        <v>216400</v>
      </c>
    </row>
    <row r="2391" spans="1:6">
      <c r="A2391" s="32">
        <v>40260</v>
      </c>
      <c r="B2391">
        <v>32.75</v>
      </c>
      <c r="C2391">
        <v>32.75</v>
      </c>
      <c r="D2391">
        <v>31.5</v>
      </c>
      <c r="E2391">
        <v>32</v>
      </c>
      <c r="F2391">
        <v>306600</v>
      </c>
    </row>
    <row r="2392" spans="1:6">
      <c r="A2392" s="32">
        <v>40259</v>
      </c>
      <c r="B2392">
        <v>31.5</v>
      </c>
      <c r="C2392">
        <v>33</v>
      </c>
      <c r="D2392">
        <v>31.5</v>
      </c>
      <c r="E2392">
        <v>32.5</v>
      </c>
      <c r="F2392">
        <v>302600</v>
      </c>
    </row>
    <row r="2393" spans="1:6">
      <c r="A2393" s="32">
        <v>40256</v>
      </c>
      <c r="B2393">
        <v>31</v>
      </c>
      <c r="C2393">
        <v>32.5</v>
      </c>
      <c r="D2393">
        <v>31</v>
      </c>
      <c r="E2393">
        <v>32.5</v>
      </c>
      <c r="F2393">
        <v>478600</v>
      </c>
    </row>
    <row r="2394" spans="1:6">
      <c r="A2394" s="32">
        <v>40255</v>
      </c>
      <c r="B2394">
        <v>31.5</v>
      </c>
      <c r="C2394">
        <v>32.5</v>
      </c>
      <c r="D2394">
        <v>31</v>
      </c>
      <c r="E2394">
        <v>31</v>
      </c>
      <c r="F2394">
        <v>256400</v>
      </c>
    </row>
    <row r="2395" spans="1:6">
      <c r="A2395" s="32">
        <v>40254</v>
      </c>
      <c r="B2395">
        <v>31.5</v>
      </c>
      <c r="C2395">
        <v>32</v>
      </c>
      <c r="D2395">
        <v>30.75</v>
      </c>
      <c r="E2395">
        <v>31.5</v>
      </c>
      <c r="F2395">
        <v>401900</v>
      </c>
    </row>
    <row r="2396" spans="1:6">
      <c r="A2396" s="32">
        <v>40253</v>
      </c>
      <c r="B2396">
        <v>30.75</v>
      </c>
      <c r="C2396">
        <v>31.25</v>
      </c>
      <c r="D2396">
        <v>30.75</v>
      </c>
      <c r="E2396">
        <v>31</v>
      </c>
      <c r="F2396">
        <v>222900</v>
      </c>
    </row>
    <row r="2397" spans="1:6">
      <c r="A2397" s="32">
        <v>40252</v>
      </c>
      <c r="B2397">
        <v>30.75</v>
      </c>
      <c r="C2397">
        <v>31</v>
      </c>
      <c r="D2397">
        <v>30.75</v>
      </c>
      <c r="E2397">
        <v>30.75</v>
      </c>
      <c r="F2397">
        <v>152700</v>
      </c>
    </row>
    <row r="2398" spans="1:6">
      <c r="A2398" s="32">
        <v>40249</v>
      </c>
      <c r="B2398">
        <v>31</v>
      </c>
      <c r="C2398">
        <v>31</v>
      </c>
      <c r="D2398">
        <v>30</v>
      </c>
      <c r="E2398">
        <v>30.75</v>
      </c>
      <c r="F2398">
        <v>200600</v>
      </c>
    </row>
    <row r="2399" spans="1:6">
      <c r="A2399" s="32">
        <v>40248</v>
      </c>
      <c r="B2399">
        <v>29.5</v>
      </c>
      <c r="C2399">
        <v>30.5</v>
      </c>
      <c r="D2399">
        <v>29.5</v>
      </c>
      <c r="E2399">
        <v>30.25</v>
      </c>
      <c r="F2399">
        <v>512900</v>
      </c>
    </row>
    <row r="2400" spans="1:6">
      <c r="A2400" s="32">
        <v>40247</v>
      </c>
      <c r="B2400">
        <v>30.75</v>
      </c>
      <c r="C2400">
        <v>30.75</v>
      </c>
      <c r="D2400">
        <v>30</v>
      </c>
      <c r="E2400">
        <v>30.25</v>
      </c>
      <c r="F2400">
        <v>219700</v>
      </c>
    </row>
    <row r="2401" spans="1:6">
      <c r="A2401" s="32">
        <v>40246</v>
      </c>
      <c r="B2401">
        <v>30.75</v>
      </c>
      <c r="C2401">
        <v>31</v>
      </c>
      <c r="D2401">
        <v>30</v>
      </c>
      <c r="E2401">
        <v>30.25</v>
      </c>
      <c r="F2401">
        <v>281600</v>
      </c>
    </row>
    <row r="2402" spans="1:6">
      <c r="A2402" s="32">
        <v>40245</v>
      </c>
      <c r="B2402">
        <v>30.5</v>
      </c>
      <c r="C2402">
        <v>30.75</v>
      </c>
      <c r="D2402">
        <v>30.25</v>
      </c>
      <c r="E2402">
        <v>30.75</v>
      </c>
      <c r="F2402">
        <v>72700</v>
      </c>
    </row>
    <row r="2403" spans="1:6">
      <c r="A2403" s="32">
        <v>40242</v>
      </c>
      <c r="B2403">
        <v>31</v>
      </c>
      <c r="C2403">
        <v>31</v>
      </c>
      <c r="D2403">
        <v>30.5</v>
      </c>
      <c r="E2403">
        <v>30.5</v>
      </c>
      <c r="F2403">
        <v>537500</v>
      </c>
    </row>
    <row r="2404" spans="1:6">
      <c r="A2404" s="32">
        <v>40241</v>
      </c>
      <c r="B2404">
        <v>30.25</v>
      </c>
      <c r="C2404">
        <v>30.5</v>
      </c>
      <c r="D2404">
        <v>30</v>
      </c>
      <c r="E2404">
        <v>30.25</v>
      </c>
      <c r="F2404">
        <v>622600</v>
      </c>
    </row>
    <row r="2405" spans="1:6">
      <c r="A2405" s="32">
        <v>40240</v>
      </c>
      <c r="B2405">
        <v>31</v>
      </c>
      <c r="C2405">
        <v>31.5</v>
      </c>
      <c r="D2405">
        <v>30.25</v>
      </c>
      <c r="E2405">
        <v>30.5</v>
      </c>
      <c r="F2405">
        <v>353300</v>
      </c>
    </row>
    <row r="2406" spans="1:6">
      <c r="A2406" s="32">
        <v>40239</v>
      </c>
      <c r="B2406">
        <v>31</v>
      </c>
      <c r="C2406">
        <v>31.5</v>
      </c>
      <c r="D2406">
        <v>31</v>
      </c>
      <c r="E2406">
        <v>31</v>
      </c>
      <c r="F2406">
        <v>1507200</v>
      </c>
    </row>
    <row r="2407" spans="1:6">
      <c r="A2407" s="32">
        <v>40235</v>
      </c>
      <c r="B2407">
        <v>30.5</v>
      </c>
      <c r="C2407">
        <v>31.25</v>
      </c>
      <c r="D2407">
        <v>30.5</v>
      </c>
      <c r="E2407">
        <v>31</v>
      </c>
      <c r="F2407">
        <v>1480200</v>
      </c>
    </row>
    <row r="2408" spans="1:6">
      <c r="A2408" s="32">
        <v>40234</v>
      </c>
      <c r="B2408">
        <v>30</v>
      </c>
      <c r="C2408">
        <v>30</v>
      </c>
      <c r="D2408">
        <v>29.75</v>
      </c>
      <c r="E2408">
        <v>30</v>
      </c>
      <c r="F2408">
        <v>463600</v>
      </c>
    </row>
    <row r="2409" spans="1:6">
      <c r="A2409" s="32">
        <v>40233</v>
      </c>
      <c r="B2409">
        <v>29.5</v>
      </c>
      <c r="C2409">
        <v>29.75</v>
      </c>
      <c r="D2409">
        <v>29.5</v>
      </c>
      <c r="E2409">
        <v>29.75</v>
      </c>
      <c r="F2409">
        <v>599800</v>
      </c>
    </row>
    <row r="2410" spans="1:6">
      <c r="A2410" s="32">
        <v>40232</v>
      </c>
      <c r="B2410">
        <v>29.5</v>
      </c>
      <c r="C2410">
        <v>29.75</v>
      </c>
      <c r="D2410">
        <v>29.5</v>
      </c>
      <c r="E2410">
        <v>29.5</v>
      </c>
      <c r="F2410">
        <v>183300</v>
      </c>
    </row>
    <row r="2411" spans="1:6">
      <c r="A2411" s="32">
        <v>40231</v>
      </c>
      <c r="B2411">
        <v>28.75</v>
      </c>
      <c r="C2411">
        <v>30</v>
      </c>
      <c r="D2411">
        <v>28.5</v>
      </c>
      <c r="E2411">
        <v>29.5</v>
      </c>
      <c r="F2411">
        <v>361800</v>
      </c>
    </row>
    <row r="2412" spans="1:6">
      <c r="A2412" s="32">
        <v>40228</v>
      </c>
      <c r="B2412">
        <v>28.5</v>
      </c>
      <c r="C2412">
        <v>28.5</v>
      </c>
      <c r="D2412">
        <v>28.25</v>
      </c>
      <c r="E2412">
        <v>28.5</v>
      </c>
      <c r="F2412">
        <v>84600</v>
      </c>
    </row>
    <row r="2413" spans="1:6">
      <c r="A2413" s="32">
        <v>40227</v>
      </c>
      <c r="B2413">
        <v>28.75</v>
      </c>
      <c r="C2413">
        <v>28.75</v>
      </c>
      <c r="D2413">
        <v>28.5</v>
      </c>
      <c r="E2413">
        <v>28.5</v>
      </c>
      <c r="F2413">
        <v>233800</v>
      </c>
    </row>
    <row r="2414" spans="1:6">
      <c r="A2414" s="32">
        <v>40226</v>
      </c>
      <c r="B2414">
        <v>29</v>
      </c>
      <c r="C2414">
        <v>29</v>
      </c>
      <c r="D2414">
        <v>28.75</v>
      </c>
      <c r="E2414">
        <v>28.75</v>
      </c>
      <c r="F2414">
        <v>81300</v>
      </c>
    </row>
    <row r="2415" spans="1:6">
      <c r="A2415" s="32">
        <v>40225</v>
      </c>
      <c r="B2415">
        <v>28.25</v>
      </c>
      <c r="C2415">
        <v>29</v>
      </c>
      <c r="D2415">
        <v>28.25</v>
      </c>
      <c r="E2415">
        <v>29</v>
      </c>
      <c r="F2415">
        <v>49600</v>
      </c>
    </row>
    <row r="2416" spans="1:6">
      <c r="A2416" s="32">
        <v>40224</v>
      </c>
      <c r="B2416">
        <v>29</v>
      </c>
      <c r="C2416">
        <v>29</v>
      </c>
      <c r="D2416">
        <v>28.5</v>
      </c>
      <c r="E2416">
        <v>28.5</v>
      </c>
      <c r="F2416">
        <v>29000</v>
      </c>
    </row>
    <row r="2417" spans="1:6">
      <c r="A2417" s="32">
        <v>40221</v>
      </c>
      <c r="B2417">
        <v>29</v>
      </c>
      <c r="C2417">
        <v>29.25</v>
      </c>
      <c r="D2417">
        <v>28.75</v>
      </c>
      <c r="E2417">
        <v>29</v>
      </c>
      <c r="F2417">
        <v>156600</v>
      </c>
    </row>
    <row r="2418" spans="1:6">
      <c r="A2418" s="32">
        <v>40220</v>
      </c>
      <c r="B2418">
        <v>28.75</v>
      </c>
      <c r="C2418">
        <v>29.25</v>
      </c>
      <c r="D2418">
        <v>28.75</v>
      </c>
      <c r="E2418">
        <v>29</v>
      </c>
      <c r="F2418">
        <v>510000</v>
      </c>
    </row>
    <row r="2419" spans="1:6">
      <c r="A2419" s="32">
        <v>40219</v>
      </c>
      <c r="B2419">
        <v>29</v>
      </c>
      <c r="C2419">
        <v>29</v>
      </c>
      <c r="D2419">
        <v>28.75</v>
      </c>
      <c r="E2419">
        <v>29</v>
      </c>
      <c r="F2419">
        <v>26900</v>
      </c>
    </row>
    <row r="2420" spans="1:6">
      <c r="A2420" s="32">
        <v>40218</v>
      </c>
      <c r="B2420">
        <v>28.25</v>
      </c>
      <c r="C2420">
        <v>28.5</v>
      </c>
      <c r="D2420">
        <v>28</v>
      </c>
      <c r="E2420">
        <v>28.5</v>
      </c>
      <c r="F2420">
        <v>107700</v>
      </c>
    </row>
    <row r="2421" spans="1:6">
      <c r="A2421" s="32">
        <v>40217</v>
      </c>
      <c r="B2421">
        <v>28.5</v>
      </c>
      <c r="C2421">
        <v>28.75</v>
      </c>
      <c r="D2421">
        <v>28</v>
      </c>
      <c r="E2421">
        <v>28.5</v>
      </c>
      <c r="F2421">
        <v>475000</v>
      </c>
    </row>
    <row r="2422" spans="1:6">
      <c r="A2422" s="32">
        <v>40214</v>
      </c>
      <c r="B2422">
        <v>28.75</v>
      </c>
      <c r="C2422">
        <v>29</v>
      </c>
      <c r="D2422">
        <v>28.75</v>
      </c>
      <c r="E2422">
        <v>28.75</v>
      </c>
      <c r="F2422">
        <v>255800</v>
      </c>
    </row>
    <row r="2423" spans="1:6">
      <c r="A2423" s="32">
        <v>40213</v>
      </c>
      <c r="B2423">
        <v>29.25</v>
      </c>
      <c r="C2423">
        <v>29.25</v>
      </c>
      <c r="D2423">
        <v>29</v>
      </c>
      <c r="E2423">
        <v>29</v>
      </c>
      <c r="F2423">
        <v>124200</v>
      </c>
    </row>
    <row r="2424" spans="1:6">
      <c r="A2424" s="32">
        <v>40212</v>
      </c>
      <c r="B2424">
        <v>29.25</v>
      </c>
      <c r="C2424">
        <v>29.5</v>
      </c>
      <c r="D2424">
        <v>29</v>
      </c>
      <c r="E2424">
        <v>29.25</v>
      </c>
      <c r="F2424">
        <v>609800</v>
      </c>
    </row>
    <row r="2425" spans="1:6">
      <c r="A2425" s="32">
        <v>40211</v>
      </c>
      <c r="B2425">
        <v>28.5</v>
      </c>
      <c r="C2425">
        <v>29.25</v>
      </c>
      <c r="D2425">
        <v>28.5</v>
      </c>
      <c r="E2425">
        <v>29.25</v>
      </c>
      <c r="F2425">
        <v>369600</v>
      </c>
    </row>
    <row r="2426" spans="1:6">
      <c r="A2426" s="32">
        <v>40210</v>
      </c>
      <c r="B2426">
        <v>28.25</v>
      </c>
      <c r="C2426">
        <v>28.5</v>
      </c>
      <c r="D2426">
        <v>28</v>
      </c>
      <c r="E2426">
        <v>28.5</v>
      </c>
      <c r="F2426">
        <v>314500</v>
      </c>
    </row>
    <row r="2427" spans="1:6">
      <c r="A2427" s="32">
        <v>40207</v>
      </c>
      <c r="B2427">
        <v>28</v>
      </c>
      <c r="C2427">
        <v>28.5</v>
      </c>
      <c r="D2427">
        <v>28</v>
      </c>
      <c r="E2427">
        <v>28.5</v>
      </c>
      <c r="F2427">
        <v>166000</v>
      </c>
    </row>
    <row r="2428" spans="1:6">
      <c r="A2428" s="32">
        <v>40206</v>
      </c>
      <c r="B2428">
        <v>28.5</v>
      </c>
      <c r="C2428">
        <v>28.75</v>
      </c>
      <c r="D2428">
        <v>28</v>
      </c>
      <c r="E2428">
        <v>28.5</v>
      </c>
      <c r="F2428">
        <v>710600</v>
      </c>
    </row>
    <row r="2429" spans="1:6">
      <c r="A2429" s="32">
        <v>40205</v>
      </c>
      <c r="B2429">
        <v>29</v>
      </c>
      <c r="C2429">
        <v>29</v>
      </c>
      <c r="D2429">
        <v>28.5</v>
      </c>
      <c r="E2429">
        <v>28.75</v>
      </c>
      <c r="F2429">
        <v>209600</v>
      </c>
    </row>
    <row r="2430" spans="1:6">
      <c r="A2430" s="32">
        <v>40204</v>
      </c>
      <c r="B2430">
        <v>29.5</v>
      </c>
      <c r="C2430">
        <v>29.5</v>
      </c>
      <c r="D2430">
        <v>29</v>
      </c>
      <c r="E2430">
        <v>29</v>
      </c>
      <c r="F2430">
        <v>233300</v>
      </c>
    </row>
    <row r="2431" spans="1:6">
      <c r="A2431" s="32">
        <v>40203</v>
      </c>
      <c r="B2431">
        <v>29.25</v>
      </c>
      <c r="C2431">
        <v>29.5</v>
      </c>
      <c r="D2431">
        <v>29.25</v>
      </c>
      <c r="E2431">
        <v>29.5</v>
      </c>
      <c r="F2431">
        <v>212200</v>
      </c>
    </row>
    <row r="2432" spans="1:6">
      <c r="A2432" s="32">
        <v>40200</v>
      </c>
      <c r="B2432">
        <v>29.75</v>
      </c>
      <c r="C2432">
        <v>30</v>
      </c>
      <c r="D2432">
        <v>29</v>
      </c>
      <c r="E2432">
        <v>29.5</v>
      </c>
      <c r="F2432">
        <v>1267000</v>
      </c>
    </row>
    <row r="2433" spans="1:6">
      <c r="A2433" s="32">
        <v>40199</v>
      </c>
      <c r="B2433">
        <v>30</v>
      </c>
      <c r="C2433">
        <v>30.5</v>
      </c>
      <c r="D2433">
        <v>29.75</v>
      </c>
      <c r="E2433">
        <v>30</v>
      </c>
      <c r="F2433">
        <v>535300</v>
      </c>
    </row>
    <row r="2434" spans="1:6">
      <c r="A2434" s="32">
        <v>40198</v>
      </c>
      <c r="B2434">
        <v>31.25</v>
      </c>
      <c r="C2434">
        <v>31.25</v>
      </c>
      <c r="D2434">
        <v>30</v>
      </c>
      <c r="E2434">
        <v>30.25</v>
      </c>
      <c r="F2434">
        <v>248200</v>
      </c>
    </row>
    <row r="2435" spans="1:6">
      <c r="A2435" s="32">
        <v>40197</v>
      </c>
      <c r="B2435">
        <v>32.25</v>
      </c>
      <c r="C2435">
        <v>32.25</v>
      </c>
      <c r="D2435">
        <v>31</v>
      </c>
      <c r="E2435">
        <v>31.25</v>
      </c>
      <c r="F2435">
        <v>400100</v>
      </c>
    </row>
    <row r="2436" spans="1:6">
      <c r="A2436" s="32">
        <v>40196</v>
      </c>
      <c r="B2436">
        <v>32.5</v>
      </c>
      <c r="C2436">
        <v>32.5</v>
      </c>
      <c r="D2436">
        <v>31.75</v>
      </c>
      <c r="E2436">
        <v>32.25</v>
      </c>
      <c r="F2436">
        <v>205800</v>
      </c>
    </row>
    <row r="2437" spans="1:6">
      <c r="A2437" s="32">
        <v>40193</v>
      </c>
      <c r="B2437">
        <v>30.25</v>
      </c>
      <c r="C2437">
        <v>32.75</v>
      </c>
      <c r="D2437">
        <v>30.25</v>
      </c>
      <c r="E2437">
        <v>32.25</v>
      </c>
      <c r="F2437">
        <v>2556800</v>
      </c>
    </row>
    <row r="2438" spans="1:6">
      <c r="A2438" s="32">
        <v>40192</v>
      </c>
      <c r="B2438">
        <v>30.25</v>
      </c>
      <c r="C2438">
        <v>30.25</v>
      </c>
      <c r="D2438">
        <v>30</v>
      </c>
      <c r="E2438">
        <v>30.25</v>
      </c>
      <c r="F2438">
        <v>457200</v>
      </c>
    </row>
    <row r="2439" spans="1:6">
      <c r="A2439" s="32">
        <v>40191</v>
      </c>
      <c r="B2439">
        <v>30.25</v>
      </c>
      <c r="C2439">
        <v>30.25</v>
      </c>
      <c r="D2439">
        <v>30</v>
      </c>
      <c r="E2439">
        <v>30.25</v>
      </c>
      <c r="F2439">
        <v>116600</v>
      </c>
    </row>
    <row r="2440" spans="1:6">
      <c r="A2440" s="32">
        <v>40190</v>
      </c>
      <c r="B2440">
        <v>30.25</v>
      </c>
      <c r="C2440">
        <v>30.5</v>
      </c>
      <c r="D2440">
        <v>30</v>
      </c>
      <c r="E2440">
        <v>30</v>
      </c>
      <c r="F2440">
        <v>204000</v>
      </c>
    </row>
    <row r="2441" spans="1:6">
      <c r="A2441" s="32">
        <v>40189</v>
      </c>
      <c r="B2441">
        <v>30</v>
      </c>
      <c r="C2441">
        <v>30.5</v>
      </c>
      <c r="D2441">
        <v>30</v>
      </c>
      <c r="E2441">
        <v>30.25</v>
      </c>
      <c r="F2441">
        <v>167600</v>
      </c>
    </row>
    <row r="2442" spans="1:6">
      <c r="A2442" s="32">
        <v>40186</v>
      </c>
      <c r="B2442">
        <v>30.25</v>
      </c>
      <c r="C2442">
        <v>30.75</v>
      </c>
      <c r="D2442">
        <v>30</v>
      </c>
      <c r="E2442">
        <v>30</v>
      </c>
      <c r="F2442">
        <v>293100</v>
      </c>
    </row>
    <row r="2443" spans="1:6">
      <c r="A2443" s="32">
        <v>40185</v>
      </c>
      <c r="B2443">
        <v>30.25</v>
      </c>
      <c r="C2443">
        <v>30.5</v>
      </c>
      <c r="D2443">
        <v>30</v>
      </c>
      <c r="E2443">
        <v>30.5</v>
      </c>
      <c r="F2443">
        <v>245700</v>
      </c>
    </row>
    <row r="2444" spans="1:6">
      <c r="A2444" s="32">
        <v>40184</v>
      </c>
      <c r="B2444">
        <v>30.5</v>
      </c>
      <c r="C2444">
        <v>30.5</v>
      </c>
      <c r="D2444">
        <v>29.75</v>
      </c>
      <c r="E2444">
        <v>30</v>
      </c>
      <c r="F2444">
        <v>1105700</v>
      </c>
    </row>
    <row r="2445" spans="1:6">
      <c r="A2445" s="32">
        <v>40183</v>
      </c>
      <c r="B2445">
        <v>30.25</v>
      </c>
      <c r="C2445">
        <v>30.25</v>
      </c>
      <c r="D2445">
        <v>29.75</v>
      </c>
      <c r="E2445">
        <v>29.75</v>
      </c>
      <c r="F2445">
        <v>524400</v>
      </c>
    </row>
    <row r="2446" spans="1:6">
      <c r="A2446" s="32">
        <v>40182</v>
      </c>
      <c r="B2446">
        <v>29.5</v>
      </c>
      <c r="C2446">
        <v>30.25</v>
      </c>
      <c r="D2446">
        <v>29.5</v>
      </c>
      <c r="E2446">
        <v>29.75</v>
      </c>
      <c r="F2446">
        <v>231800</v>
      </c>
    </row>
    <row r="2447" spans="1:6">
      <c r="A2447" s="32">
        <v>40177</v>
      </c>
      <c r="B2447">
        <v>30</v>
      </c>
      <c r="C2447">
        <v>30</v>
      </c>
      <c r="D2447">
        <v>29.5</v>
      </c>
      <c r="E2447">
        <v>29.5</v>
      </c>
      <c r="F2447">
        <v>119100</v>
      </c>
    </row>
    <row r="2448" spans="1:6">
      <c r="A2448" s="32">
        <v>40176</v>
      </c>
      <c r="B2448">
        <v>29.75</v>
      </c>
      <c r="C2448">
        <v>30</v>
      </c>
      <c r="D2448">
        <v>29.5</v>
      </c>
      <c r="E2448">
        <v>30</v>
      </c>
      <c r="F2448">
        <v>222200</v>
      </c>
    </row>
    <row r="2449" spans="1:6">
      <c r="A2449" s="32">
        <v>40175</v>
      </c>
      <c r="B2449">
        <v>30</v>
      </c>
      <c r="C2449">
        <v>30</v>
      </c>
      <c r="D2449">
        <v>29.5</v>
      </c>
      <c r="E2449">
        <v>29.75</v>
      </c>
      <c r="F2449">
        <v>93600</v>
      </c>
    </row>
    <row r="2450" spans="1:6">
      <c r="A2450" s="32">
        <v>40172</v>
      </c>
      <c r="B2450">
        <v>29.75</v>
      </c>
      <c r="C2450">
        <v>29.75</v>
      </c>
      <c r="D2450">
        <v>29.5</v>
      </c>
      <c r="E2450">
        <v>29.75</v>
      </c>
      <c r="F2450">
        <v>121600</v>
      </c>
    </row>
    <row r="2451" spans="1:6">
      <c r="A2451" s="32">
        <v>40171</v>
      </c>
      <c r="B2451">
        <v>30</v>
      </c>
      <c r="C2451">
        <v>30</v>
      </c>
      <c r="D2451">
        <v>29.75</v>
      </c>
      <c r="E2451">
        <v>29.75</v>
      </c>
      <c r="F2451">
        <v>764400</v>
      </c>
    </row>
    <row r="2452" spans="1:6">
      <c r="A2452" s="32">
        <v>40170</v>
      </c>
      <c r="B2452">
        <v>30</v>
      </c>
      <c r="C2452">
        <v>30</v>
      </c>
      <c r="D2452">
        <v>29.25</v>
      </c>
      <c r="E2452">
        <v>29.5</v>
      </c>
      <c r="F2452">
        <v>2357400</v>
      </c>
    </row>
    <row r="2453" spans="1:6">
      <c r="A2453" s="32">
        <v>40169</v>
      </c>
      <c r="B2453">
        <v>30</v>
      </c>
      <c r="C2453">
        <v>30</v>
      </c>
      <c r="D2453">
        <v>29.75</v>
      </c>
      <c r="E2453">
        <v>29.75</v>
      </c>
      <c r="F2453">
        <v>952300</v>
      </c>
    </row>
    <row r="2454" spans="1:6">
      <c r="A2454" s="32">
        <v>40168</v>
      </c>
      <c r="B2454">
        <v>30.5</v>
      </c>
      <c r="C2454">
        <v>30.5</v>
      </c>
      <c r="D2454">
        <v>29.75</v>
      </c>
      <c r="E2454">
        <v>29.75</v>
      </c>
      <c r="F2454">
        <v>312500</v>
      </c>
    </row>
    <row r="2455" spans="1:6">
      <c r="A2455" s="32">
        <v>40165</v>
      </c>
      <c r="B2455">
        <v>29.75</v>
      </c>
      <c r="C2455">
        <v>30.25</v>
      </c>
      <c r="D2455">
        <v>29.75</v>
      </c>
      <c r="E2455">
        <v>30.25</v>
      </c>
      <c r="F2455">
        <v>313100</v>
      </c>
    </row>
    <row r="2456" spans="1:6">
      <c r="A2456" s="32">
        <v>40164</v>
      </c>
      <c r="B2456">
        <v>29.75</v>
      </c>
      <c r="C2456">
        <v>30</v>
      </c>
      <c r="D2456">
        <v>29.25</v>
      </c>
      <c r="E2456">
        <v>30</v>
      </c>
      <c r="F2456">
        <v>908200</v>
      </c>
    </row>
    <row r="2457" spans="1:6">
      <c r="A2457" s="32">
        <v>40163</v>
      </c>
      <c r="B2457">
        <v>30</v>
      </c>
      <c r="C2457">
        <v>30</v>
      </c>
      <c r="D2457">
        <v>29.25</v>
      </c>
      <c r="E2457">
        <v>29.75</v>
      </c>
      <c r="F2457">
        <v>1103200</v>
      </c>
    </row>
    <row r="2458" spans="1:6">
      <c r="A2458" s="32">
        <v>40162</v>
      </c>
      <c r="B2458">
        <v>30</v>
      </c>
      <c r="C2458">
        <v>30</v>
      </c>
      <c r="D2458">
        <v>29.25</v>
      </c>
      <c r="E2458">
        <v>29.75</v>
      </c>
      <c r="F2458">
        <v>270300</v>
      </c>
    </row>
    <row r="2459" spans="1:6">
      <c r="A2459" s="32">
        <v>40161</v>
      </c>
      <c r="B2459">
        <v>29.5</v>
      </c>
      <c r="C2459">
        <v>29.75</v>
      </c>
      <c r="D2459">
        <v>29.25</v>
      </c>
      <c r="E2459">
        <v>29.75</v>
      </c>
      <c r="F2459">
        <v>1370400</v>
      </c>
    </row>
    <row r="2460" spans="1:6">
      <c r="A2460" s="32">
        <v>40158</v>
      </c>
      <c r="B2460">
        <v>28.75</v>
      </c>
      <c r="C2460">
        <v>29.5</v>
      </c>
      <c r="D2460">
        <v>28.5</v>
      </c>
      <c r="E2460">
        <v>29.5</v>
      </c>
      <c r="F2460">
        <v>1233100</v>
      </c>
    </row>
    <row r="2461" spans="1:6">
      <c r="A2461" s="32">
        <v>40156</v>
      </c>
      <c r="B2461">
        <v>29.25</v>
      </c>
      <c r="C2461">
        <v>29.25</v>
      </c>
      <c r="D2461">
        <v>28.5</v>
      </c>
      <c r="E2461">
        <v>28.75</v>
      </c>
      <c r="F2461">
        <v>432900</v>
      </c>
    </row>
    <row r="2462" spans="1:6">
      <c r="A2462" s="32">
        <v>40155</v>
      </c>
      <c r="B2462">
        <v>28.75</v>
      </c>
      <c r="C2462">
        <v>29</v>
      </c>
      <c r="D2462">
        <v>28.5</v>
      </c>
      <c r="E2462">
        <v>29</v>
      </c>
      <c r="F2462">
        <v>866500</v>
      </c>
    </row>
    <row r="2463" spans="1:6">
      <c r="A2463" s="32">
        <v>40151</v>
      </c>
      <c r="B2463">
        <v>28.5</v>
      </c>
      <c r="C2463">
        <v>28.75</v>
      </c>
      <c r="D2463">
        <v>28.25</v>
      </c>
      <c r="E2463">
        <v>28.5</v>
      </c>
      <c r="F2463">
        <v>193900</v>
      </c>
    </row>
    <row r="2464" spans="1:6">
      <c r="A2464" s="32">
        <v>40150</v>
      </c>
      <c r="B2464">
        <v>28.5</v>
      </c>
      <c r="C2464">
        <v>28.75</v>
      </c>
      <c r="D2464">
        <v>28.25</v>
      </c>
      <c r="E2464">
        <v>28.75</v>
      </c>
      <c r="F2464">
        <v>1155100</v>
      </c>
    </row>
    <row r="2465" spans="1:6">
      <c r="A2465" s="32">
        <v>40149</v>
      </c>
      <c r="B2465">
        <v>28.5</v>
      </c>
      <c r="C2465">
        <v>28.75</v>
      </c>
      <c r="D2465">
        <v>28.25</v>
      </c>
      <c r="E2465">
        <v>28.25</v>
      </c>
      <c r="F2465">
        <v>406400</v>
      </c>
    </row>
    <row r="2466" spans="1:6">
      <c r="A2466" s="32">
        <v>40148</v>
      </c>
      <c r="B2466">
        <v>28</v>
      </c>
      <c r="C2466">
        <v>28.5</v>
      </c>
      <c r="D2466">
        <v>28</v>
      </c>
      <c r="E2466">
        <v>28.25</v>
      </c>
      <c r="F2466">
        <v>308800</v>
      </c>
    </row>
    <row r="2467" spans="1:6">
      <c r="A2467" s="32">
        <v>40147</v>
      </c>
      <c r="B2467">
        <v>28</v>
      </c>
      <c r="C2467">
        <v>28.5</v>
      </c>
      <c r="D2467">
        <v>27.75</v>
      </c>
      <c r="E2467">
        <v>28</v>
      </c>
      <c r="F2467">
        <v>270000</v>
      </c>
    </row>
    <row r="2468" spans="1:6">
      <c r="A2468" s="32">
        <v>40144</v>
      </c>
      <c r="B2468">
        <v>28</v>
      </c>
      <c r="C2468">
        <v>28.5</v>
      </c>
      <c r="D2468">
        <v>27.75</v>
      </c>
      <c r="E2468">
        <v>28.5</v>
      </c>
      <c r="F2468">
        <v>496800</v>
      </c>
    </row>
    <row r="2469" spans="1:6">
      <c r="A2469" s="32">
        <v>40143</v>
      </c>
      <c r="B2469">
        <v>28.75</v>
      </c>
      <c r="C2469">
        <v>28.75</v>
      </c>
      <c r="D2469">
        <v>28.25</v>
      </c>
      <c r="E2469">
        <v>28.5</v>
      </c>
      <c r="F2469">
        <v>209000</v>
      </c>
    </row>
    <row r="2470" spans="1:6">
      <c r="A2470" s="32">
        <v>40142</v>
      </c>
      <c r="B2470">
        <v>28.75</v>
      </c>
      <c r="C2470">
        <v>28.75</v>
      </c>
      <c r="D2470">
        <v>28.25</v>
      </c>
      <c r="E2470">
        <v>28.75</v>
      </c>
      <c r="F2470">
        <v>293100</v>
      </c>
    </row>
    <row r="2471" spans="1:6">
      <c r="A2471" s="32">
        <v>40141</v>
      </c>
      <c r="B2471">
        <v>28.75</v>
      </c>
      <c r="C2471">
        <v>28.75</v>
      </c>
      <c r="D2471">
        <v>28.25</v>
      </c>
      <c r="E2471">
        <v>28.5</v>
      </c>
      <c r="F2471">
        <v>390000</v>
      </c>
    </row>
    <row r="2472" spans="1:6">
      <c r="A2472" s="32">
        <v>40140</v>
      </c>
      <c r="B2472">
        <v>28.5</v>
      </c>
      <c r="C2472">
        <v>28.75</v>
      </c>
      <c r="D2472">
        <v>28.25</v>
      </c>
      <c r="E2472">
        <v>28.5</v>
      </c>
      <c r="F2472">
        <v>415500</v>
      </c>
    </row>
    <row r="2473" spans="1:6">
      <c r="A2473" s="32">
        <v>40137</v>
      </c>
      <c r="B2473">
        <v>28.75</v>
      </c>
      <c r="C2473">
        <v>29</v>
      </c>
      <c r="D2473">
        <v>28.5</v>
      </c>
      <c r="E2473">
        <v>28.5</v>
      </c>
      <c r="F2473">
        <v>196600</v>
      </c>
    </row>
    <row r="2474" spans="1:6">
      <c r="A2474" s="32">
        <v>40136</v>
      </c>
      <c r="B2474">
        <v>28.75</v>
      </c>
      <c r="C2474">
        <v>29</v>
      </c>
      <c r="D2474">
        <v>28.25</v>
      </c>
      <c r="E2474">
        <v>28.75</v>
      </c>
      <c r="F2474">
        <v>636900</v>
      </c>
    </row>
    <row r="2475" spans="1:6">
      <c r="A2475" s="32">
        <v>40135</v>
      </c>
      <c r="B2475">
        <v>29</v>
      </c>
      <c r="C2475">
        <v>29.25</v>
      </c>
      <c r="D2475">
        <v>28.75</v>
      </c>
      <c r="E2475">
        <v>29</v>
      </c>
      <c r="F2475">
        <v>262800</v>
      </c>
    </row>
    <row r="2476" spans="1:6">
      <c r="A2476" s="32">
        <v>40134</v>
      </c>
      <c r="B2476">
        <v>29</v>
      </c>
      <c r="C2476">
        <v>29.25</v>
      </c>
      <c r="D2476">
        <v>28.75</v>
      </c>
      <c r="E2476">
        <v>28.75</v>
      </c>
      <c r="F2476">
        <v>384900</v>
      </c>
    </row>
    <row r="2477" spans="1:6">
      <c r="A2477" s="32">
        <v>40133</v>
      </c>
      <c r="B2477">
        <v>29.75</v>
      </c>
      <c r="C2477">
        <v>30</v>
      </c>
      <c r="D2477">
        <v>28.25</v>
      </c>
      <c r="E2477">
        <v>29</v>
      </c>
      <c r="F2477">
        <v>799900</v>
      </c>
    </row>
    <row r="2478" spans="1:6">
      <c r="A2478" s="32">
        <v>40130</v>
      </c>
      <c r="B2478">
        <v>29.25</v>
      </c>
      <c r="C2478">
        <v>30</v>
      </c>
      <c r="D2478">
        <v>29.25</v>
      </c>
      <c r="E2478">
        <v>29.75</v>
      </c>
      <c r="F2478">
        <v>496400</v>
      </c>
    </row>
    <row r="2479" spans="1:6">
      <c r="A2479" s="32">
        <v>40129</v>
      </c>
      <c r="B2479">
        <v>29.5</v>
      </c>
      <c r="C2479">
        <v>29.75</v>
      </c>
      <c r="D2479">
        <v>28.75</v>
      </c>
      <c r="E2479">
        <v>28.75</v>
      </c>
      <c r="F2479">
        <v>2045400</v>
      </c>
    </row>
    <row r="2480" spans="1:6">
      <c r="A2480" s="32">
        <v>40128</v>
      </c>
      <c r="B2480">
        <v>29.5</v>
      </c>
      <c r="C2480">
        <v>29.5</v>
      </c>
      <c r="D2480">
        <v>29</v>
      </c>
      <c r="E2480">
        <v>29.25</v>
      </c>
      <c r="F2480">
        <v>339000</v>
      </c>
    </row>
    <row r="2481" spans="1:6">
      <c r="A2481" s="32">
        <v>40127</v>
      </c>
      <c r="B2481">
        <v>29</v>
      </c>
      <c r="C2481">
        <v>29.75</v>
      </c>
      <c r="D2481">
        <v>28.75</v>
      </c>
      <c r="E2481">
        <v>29</v>
      </c>
      <c r="F2481">
        <v>1204700</v>
      </c>
    </row>
    <row r="2482" spans="1:6">
      <c r="A2482" s="32">
        <v>40126</v>
      </c>
      <c r="B2482">
        <v>29</v>
      </c>
      <c r="C2482">
        <v>29.25</v>
      </c>
      <c r="D2482">
        <v>28.75</v>
      </c>
      <c r="E2482">
        <v>29.25</v>
      </c>
      <c r="F2482">
        <v>689200</v>
      </c>
    </row>
    <row r="2483" spans="1:6">
      <c r="A2483" s="32">
        <v>40123</v>
      </c>
      <c r="B2483">
        <v>28.5</v>
      </c>
      <c r="C2483">
        <v>29.25</v>
      </c>
      <c r="D2483">
        <v>28.5</v>
      </c>
      <c r="E2483">
        <v>29</v>
      </c>
      <c r="F2483">
        <v>438600</v>
      </c>
    </row>
    <row r="2484" spans="1:6">
      <c r="A2484" s="32">
        <v>40122</v>
      </c>
      <c r="B2484">
        <v>28.5</v>
      </c>
      <c r="C2484">
        <v>28.75</v>
      </c>
      <c r="D2484">
        <v>28.5</v>
      </c>
      <c r="E2484">
        <v>28.75</v>
      </c>
      <c r="F2484">
        <v>162300</v>
      </c>
    </row>
    <row r="2485" spans="1:6">
      <c r="A2485" s="32">
        <v>40121</v>
      </c>
      <c r="B2485">
        <v>28.5</v>
      </c>
      <c r="C2485">
        <v>28.5</v>
      </c>
      <c r="D2485">
        <v>28.25</v>
      </c>
      <c r="E2485">
        <v>28.5</v>
      </c>
      <c r="F2485">
        <v>63500</v>
      </c>
    </row>
    <row r="2486" spans="1:6">
      <c r="A2486" s="32">
        <v>40120</v>
      </c>
      <c r="B2486">
        <v>28.5</v>
      </c>
      <c r="C2486">
        <v>28.75</v>
      </c>
      <c r="D2486">
        <v>28</v>
      </c>
      <c r="E2486">
        <v>28.5</v>
      </c>
      <c r="F2486">
        <v>195900</v>
      </c>
    </row>
    <row r="2487" spans="1:6">
      <c r="A2487" s="32">
        <v>40119</v>
      </c>
      <c r="B2487">
        <v>28</v>
      </c>
      <c r="C2487">
        <v>28</v>
      </c>
      <c r="D2487">
        <v>27.5</v>
      </c>
      <c r="E2487">
        <v>28</v>
      </c>
      <c r="F2487">
        <v>141900</v>
      </c>
    </row>
    <row r="2488" spans="1:6">
      <c r="A2488" s="32">
        <v>40116</v>
      </c>
      <c r="B2488">
        <v>28.75</v>
      </c>
      <c r="C2488">
        <v>29</v>
      </c>
      <c r="D2488">
        <v>28</v>
      </c>
      <c r="E2488">
        <v>28</v>
      </c>
      <c r="F2488">
        <v>584800</v>
      </c>
    </row>
    <row r="2489" spans="1:6">
      <c r="A2489" s="32">
        <v>40115</v>
      </c>
      <c r="B2489">
        <v>29</v>
      </c>
      <c r="C2489">
        <v>29</v>
      </c>
      <c r="D2489">
        <v>28</v>
      </c>
      <c r="E2489">
        <v>28.5</v>
      </c>
      <c r="F2489">
        <v>337100</v>
      </c>
    </row>
    <row r="2490" spans="1:6">
      <c r="A2490" s="32">
        <v>40114</v>
      </c>
      <c r="B2490">
        <v>29.25</v>
      </c>
      <c r="C2490">
        <v>29.25</v>
      </c>
      <c r="D2490">
        <v>28.5</v>
      </c>
      <c r="E2490">
        <v>29</v>
      </c>
      <c r="F2490">
        <v>265900</v>
      </c>
    </row>
    <row r="2491" spans="1:6">
      <c r="A2491" s="32">
        <v>40113</v>
      </c>
      <c r="B2491">
        <v>27.75</v>
      </c>
      <c r="C2491">
        <v>29</v>
      </c>
      <c r="D2491">
        <v>27.75</v>
      </c>
      <c r="E2491">
        <v>29</v>
      </c>
      <c r="F2491">
        <v>629900</v>
      </c>
    </row>
    <row r="2492" spans="1:6">
      <c r="A2492" s="32">
        <v>40112</v>
      </c>
      <c r="B2492">
        <v>28.25</v>
      </c>
      <c r="C2492">
        <v>28.75</v>
      </c>
      <c r="D2492">
        <v>27.75</v>
      </c>
      <c r="E2492">
        <v>28</v>
      </c>
      <c r="F2492">
        <v>481400</v>
      </c>
    </row>
    <row r="2493" spans="1:6">
      <c r="A2493" s="32">
        <v>40108</v>
      </c>
      <c r="B2493">
        <v>27.75</v>
      </c>
      <c r="C2493">
        <v>28</v>
      </c>
      <c r="D2493">
        <v>27.5</v>
      </c>
      <c r="E2493">
        <v>28</v>
      </c>
      <c r="F2493">
        <v>501600</v>
      </c>
    </row>
    <row r="2494" spans="1:6">
      <c r="A2494" s="32">
        <v>40107</v>
      </c>
      <c r="B2494">
        <v>28</v>
      </c>
      <c r="C2494">
        <v>28.25</v>
      </c>
      <c r="D2494">
        <v>27.5</v>
      </c>
      <c r="E2494">
        <v>27.5</v>
      </c>
      <c r="F2494">
        <v>854700</v>
      </c>
    </row>
    <row r="2495" spans="1:6">
      <c r="A2495" s="32">
        <v>40106</v>
      </c>
      <c r="B2495">
        <v>29.25</v>
      </c>
      <c r="C2495">
        <v>29.25</v>
      </c>
      <c r="D2495">
        <v>27.75</v>
      </c>
      <c r="E2495">
        <v>28</v>
      </c>
      <c r="F2495">
        <v>882700</v>
      </c>
    </row>
    <row r="2496" spans="1:6">
      <c r="A2496" s="32">
        <v>40105</v>
      </c>
      <c r="B2496">
        <v>28.5</v>
      </c>
      <c r="C2496">
        <v>29</v>
      </c>
      <c r="D2496">
        <v>28.5</v>
      </c>
      <c r="E2496">
        <v>29</v>
      </c>
      <c r="F2496">
        <v>407400</v>
      </c>
    </row>
    <row r="2497" spans="1:6">
      <c r="A2497" s="32">
        <v>40102</v>
      </c>
      <c r="B2497">
        <v>27.75</v>
      </c>
      <c r="C2497">
        <v>28.5</v>
      </c>
      <c r="D2497">
        <v>27.5</v>
      </c>
      <c r="E2497">
        <v>28.5</v>
      </c>
      <c r="F2497">
        <v>1455700</v>
      </c>
    </row>
    <row r="2498" spans="1:6">
      <c r="A2498" s="32">
        <v>40101</v>
      </c>
      <c r="B2498">
        <v>29.25</v>
      </c>
      <c r="C2498">
        <v>29.25</v>
      </c>
      <c r="D2498">
        <v>26.75</v>
      </c>
      <c r="E2498">
        <v>27.5</v>
      </c>
      <c r="F2498">
        <v>2992600</v>
      </c>
    </row>
    <row r="2499" spans="1:6">
      <c r="A2499" s="32">
        <v>40100</v>
      </c>
      <c r="B2499">
        <v>29.75</v>
      </c>
      <c r="C2499">
        <v>30</v>
      </c>
      <c r="D2499">
        <v>27.75</v>
      </c>
      <c r="E2499">
        <v>28.5</v>
      </c>
      <c r="F2499">
        <v>1600100</v>
      </c>
    </row>
    <row r="2500" spans="1:6">
      <c r="A2500" s="32">
        <v>40099</v>
      </c>
      <c r="B2500">
        <v>29.5</v>
      </c>
      <c r="C2500">
        <v>30.75</v>
      </c>
      <c r="D2500">
        <v>29.5</v>
      </c>
      <c r="E2500">
        <v>30</v>
      </c>
      <c r="F2500">
        <v>1606600</v>
      </c>
    </row>
    <row r="2501" spans="1:6">
      <c r="A2501" s="32">
        <v>40098</v>
      </c>
      <c r="B2501">
        <v>29.75</v>
      </c>
      <c r="C2501">
        <v>30.25</v>
      </c>
      <c r="D2501">
        <v>29.5</v>
      </c>
      <c r="E2501">
        <v>30</v>
      </c>
      <c r="F2501">
        <v>501000</v>
      </c>
    </row>
    <row r="2502" spans="1:6">
      <c r="A2502" s="32">
        <v>40095</v>
      </c>
      <c r="B2502">
        <v>30</v>
      </c>
      <c r="C2502">
        <v>30.5</v>
      </c>
      <c r="D2502">
        <v>29.5</v>
      </c>
      <c r="E2502">
        <v>29.5</v>
      </c>
      <c r="F2502">
        <v>1423700</v>
      </c>
    </row>
    <row r="2503" spans="1:6">
      <c r="A2503" s="32">
        <v>40094</v>
      </c>
      <c r="B2503">
        <v>30</v>
      </c>
      <c r="C2503">
        <v>30</v>
      </c>
      <c r="D2503">
        <v>29.25</v>
      </c>
      <c r="E2503">
        <v>29.75</v>
      </c>
      <c r="F2503">
        <v>875500</v>
      </c>
    </row>
    <row r="2504" spans="1:6">
      <c r="A2504" s="32">
        <v>40093</v>
      </c>
      <c r="B2504">
        <v>30.75</v>
      </c>
      <c r="C2504">
        <v>30.75</v>
      </c>
      <c r="D2504">
        <v>29.75</v>
      </c>
      <c r="E2504">
        <v>30</v>
      </c>
      <c r="F2504">
        <v>1176500</v>
      </c>
    </row>
    <row r="2505" spans="1:6">
      <c r="A2505" s="32">
        <v>40092</v>
      </c>
      <c r="B2505">
        <v>30.5</v>
      </c>
      <c r="C2505">
        <v>31</v>
      </c>
      <c r="D2505">
        <v>30.5</v>
      </c>
      <c r="E2505">
        <v>30.5</v>
      </c>
      <c r="F2505">
        <v>1379200</v>
      </c>
    </row>
    <row r="2506" spans="1:6">
      <c r="A2506" s="32">
        <v>40091</v>
      </c>
      <c r="B2506">
        <v>29.5</v>
      </c>
      <c r="C2506">
        <v>31</v>
      </c>
      <c r="D2506">
        <v>29.5</v>
      </c>
      <c r="E2506">
        <v>30</v>
      </c>
      <c r="F2506">
        <v>2496700</v>
      </c>
    </row>
    <row r="2507" spans="1:6">
      <c r="A2507" s="32">
        <v>40088</v>
      </c>
      <c r="B2507">
        <v>28.75</v>
      </c>
      <c r="C2507">
        <v>30.25</v>
      </c>
      <c r="D2507">
        <v>28.5</v>
      </c>
      <c r="E2507">
        <v>29.25</v>
      </c>
      <c r="F2507">
        <v>3055600</v>
      </c>
    </row>
    <row r="2508" spans="1:6">
      <c r="A2508" s="32">
        <v>40087</v>
      </c>
      <c r="B2508">
        <v>29.5</v>
      </c>
      <c r="C2508">
        <v>29.75</v>
      </c>
      <c r="D2508">
        <v>28.75</v>
      </c>
      <c r="E2508">
        <v>28.75</v>
      </c>
      <c r="F2508">
        <v>2398100</v>
      </c>
    </row>
    <row r="2509" spans="1:6">
      <c r="A2509" s="32">
        <v>40086</v>
      </c>
      <c r="B2509">
        <v>28.25</v>
      </c>
      <c r="C2509">
        <v>30</v>
      </c>
      <c r="D2509">
        <v>28.25</v>
      </c>
      <c r="E2509">
        <v>29</v>
      </c>
      <c r="F2509">
        <v>5483000</v>
      </c>
    </row>
    <row r="2510" spans="1:6">
      <c r="A2510" s="32">
        <v>40085</v>
      </c>
      <c r="B2510">
        <v>26.75</v>
      </c>
      <c r="C2510">
        <v>28.75</v>
      </c>
      <c r="D2510">
        <v>26.75</v>
      </c>
      <c r="E2510">
        <v>28.5</v>
      </c>
      <c r="F2510">
        <v>4287000</v>
      </c>
    </row>
    <row r="2511" spans="1:6">
      <c r="A2511" s="32">
        <v>40084</v>
      </c>
      <c r="B2511">
        <v>26.75</v>
      </c>
      <c r="C2511">
        <v>26.75</v>
      </c>
      <c r="D2511">
        <v>26</v>
      </c>
      <c r="E2511">
        <v>26.75</v>
      </c>
      <c r="F2511">
        <v>2130400</v>
      </c>
    </row>
    <row r="2512" spans="1:6">
      <c r="A2512" s="32">
        <v>40081</v>
      </c>
      <c r="B2512">
        <v>26.5</v>
      </c>
      <c r="C2512">
        <v>27</v>
      </c>
      <c r="D2512">
        <v>26.5</v>
      </c>
      <c r="E2512">
        <v>26.5</v>
      </c>
      <c r="F2512">
        <v>1004500</v>
      </c>
    </row>
    <row r="2513" spans="1:6">
      <c r="A2513" s="32">
        <v>40080</v>
      </c>
      <c r="B2513">
        <v>27</v>
      </c>
      <c r="C2513">
        <v>27</v>
      </c>
      <c r="D2513">
        <v>26.5</v>
      </c>
      <c r="E2513">
        <v>26.5</v>
      </c>
      <c r="F2513">
        <v>1416700</v>
      </c>
    </row>
    <row r="2514" spans="1:6">
      <c r="A2514" s="32">
        <v>40079</v>
      </c>
      <c r="B2514">
        <v>26.75</v>
      </c>
      <c r="C2514">
        <v>27</v>
      </c>
      <c r="D2514">
        <v>26.5</v>
      </c>
      <c r="E2514">
        <v>27</v>
      </c>
      <c r="F2514">
        <v>1260800</v>
      </c>
    </row>
    <row r="2515" spans="1:6">
      <c r="A2515" s="32">
        <v>40078</v>
      </c>
      <c r="B2515">
        <v>25.75</v>
      </c>
      <c r="C2515">
        <v>26.25</v>
      </c>
      <c r="D2515">
        <v>25.75</v>
      </c>
      <c r="E2515">
        <v>26.25</v>
      </c>
      <c r="F2515">
        <v>1105200</v>
      </c>
    </row>
    <row r="2516" spans="1:6">
      <c r="A2516" s="32">
        <v>40077</v>
      </c>
      <c r="B2516">
        <v>26</v>
      </c>
      <c r="C2516">
        <v>26.25</v>
      </c>
      <c r="D2516">
        <v>25.5</v>
      </c>
      <c r="E2516">
        <v>25.75</v>
      </c>
      <c r="F2516">
        <v>655600</v>
      </c>
    </row>
    <row r="2517" spans="1:6">
      <c r="A2517" s="32">
        <v>40074</v>
      </c>
      <c r="B2517">
        <v>25.5</v>
      </c>
      <c r="C2517">
        <v>26</v>
      </c>
      <c r="D2517">
        <v>25</v>
      </c>
      <c r="E2517">
        <v>26</v>
      </c>
      <c r="F2517">
        <v>1097100</v>
      </c>
    </row>
    <row r="2518" spans="1:6">
      <c r="A2518" s="32">
        <v>40073</v>
      </c>
      <c r="B2518">
        <v>26.25</v>
      </c>
      <c r="C2518">
        <v>26.5</v>
      </c>
      <c r="D2518">
        <v>25.25</v>
      </c>
      <c r="E2518">
        <v>25.5</v>
      </c>
      <c r="F2518">
        <v>1626900</v>
      </c>
    </row>
    <row r="2519" spans="1:6">
      <c r="A2519" s="32">
        <v>40072</v>
      </c>
      <c r="B2519">
        <v>26.25</v>
      </c>
      <c r="C2519">
        <v>26.5</v>
      </c>
      <c r="D2519">
        <v>26</v>
      </c>
      <c r="E2519">
        <v>26</v>
      </c>
      <c r="F2519">
        <v>795100</v>
      </c>
    </row>
    <row r="2520" spans="1:6">
      <c r="A2520" s="32">
        <v>40071</v>
      </c>
      <c r="B2520">
        <v>26.75</v>
      </c>
      <c r="C2520">
        <v>26.75</v>
      </c>
      <c r="D2520">
        <v>26.25</v>
      </c>
      <c r="E2520">
        <v>26.5</v>
      </c>
      <c r="F2520">
        <v>700700</v>
      </c>
    </row>
    <row r="2521" spans="1:6">
      <c r="A2521" s="32">
        <v>40070</v>
      </c>
      <c r="B2521">
        <v>26.25</v>
      </c>
      <c r="C2521">
        <v>26.5</v>
      </c>
      <c r="D2521">
        <v>26.25</v>
      </c>
      <c r="E2521">
        <v>26.5</v>
      </c>
      <c r="F2521">
        <v>528700</v>
      </c>
    </row>
    <row r="2522" spans="1:6">
      <c r="A2522" s="32">
        <v>40067</v>
      </c>
      <c r="B2522">
        <v>26.25</v>
      </c>
      <c r="C2522">
        <v>26.5</v>
      </c>
      <c r="D2522">
        <v>26.25</v>
      </c>
      <c r="E2522">
        <v>26.25</v>
      </c>
      <c r="F2522">
        <v>587000</v>
      </c>
    </row>
    <row r="2523" spans="1:6">
      <c r="A2523" s="32">
        <v>40066</v>
      </c>
      <c r="B2523">
        <v>26.75</v>
      </c>
      <c r="C2523">
        <v>26.75</v>
      </c>
      <c r="D2523">
        <v>26</v>
      </c>
      <c r="E2523">
        <v>26.5</v>
      </c>
      <c r="F2523">
        <v>602900</v>
      </c>
    </row>
    <row r="2524" spans="1:6">
      <c r="A2524" s="32">
        <v>40065</v>
      </c>
      <c r="B2524">
        <v>27</v>
      </c>
      <c r="C2524">
        <v>27.25</v>
      </c>
      <c r="D2524">
        <v>26.5</v>
      </c>
      <c r="E2524">
        <v>26.5</v>
      </c>
      <c r="F2524">
        <v>778900</v>
      </c>
    </row>
    <row r="2525" spans="1:6">
      <c r="A2525" s="32">
        <v>40064</v>
      </c>
      <c r="B2525">
        <v>27.25</v>
      </c>
      <c r="C2525">
        <v>27.5</v>
      </c>
      <c r="D2525">
        <v>27</v>
      </c>
      <c r="E2525">
        <v>27</v>
      </c>
      <c r="F2525">
        <v>953800</v>
      </c>
    </row>
    <row r="2526" spans="1:6">
      <c r="A2526" s="32">
        <v>40063</v>
      </c>
      <c r="B2526">
        <v>26</v>
      </c>
      <c r="C2526">
        <v>27</v>
      </c>
      <c r="D2526">
        <v>26</v>
      </c>
      <c r="E2526">
        <v>27</v>
      </c>
      <c r="F2526">
        <v>847900</v>
      </c>
    </row>
    <row r="2527" spans="1:6">
      <c r="A2527" s="32">
        <v>40060</v>
      </c>
      <c r="B2527">
        <v>25.75</v>
      </c>
      <c r="C2527">
        <v>26.25</v>
      </c>
      <c r="D2527">
        <v>25.75</v>
      </c>
      <c r="E2527">
        <v>25.75</v>
      </c>
      <c r="F2527">
        <v>804300</v>
      </c>
    </row>
    <row r="2528" spans="1:6">
      <c r="A2528" s="32">
        <v>40059</v>
      </c>
      <c r="B2528">
        <v>26</v>
      </c>
      <c r="C2528">
        <v>26.25</v>
      </c>
      <c r="D2528">
        <v>25.5</v>
      </c>
      <c r="E2528">
        <v>25.75</v>
      </c>
      <c r="F2528">
        <v>676900</v>
      </c>
    </row>
    <row r="2529" spans="1:6">
      <c r="A2529" s="32">
        <v>40058</v>
      </c>
      <c r="B2529">
        <v>26</v>
      </c>
      <c r="C2529">
        <v>26.5</v>
      </c>
      <c r="D2529">
        <v>26</v>
      </c>
      <c r="E2529">
        <v>26</v>
      </c>
      <c r="F2529">
        <v>1300900</v>
      </c>
    </row>
    <row r="2530" spans="1:6">
      <c r="A2530" s="32">
        <v>40057</v>
      </c>
      <c r="B2530">
        <v>26.75</v>
      </c>
      <c r="C2530">
        <v>27</v>
      </c>
      <c r="D2530">
        <v>26.25</v>
      </c>
      <c r="E2530">
        <v>26.5</v>
      </c>
      <c r="F2530">
        <v>620100</v>
      </c>
    </row>
    <row r="2531" spans="1:6">
      <c r="A2531" s="32">
        <v>40056</v>
      </c>
      <c r="B2531">
        <v>26.75</v>
      </c>
      <c r="C2531">
        <v>27.25</v>
      </c>
      <c r="D2531">
        <v>26.25</v>
      </c>
      <c r="E2531">
        <v>26.5</v>
      </c>
      <c r="F2531">
        <v>1413000</v>
      </c>
    </row>
    <row r="2532" spans="1:6">
      <c r="A2532" s="32">
        <v>40053</v>
      </c>
      <c r="B2532">
        <v>26</v>
      </c>
      <c r="C2532">
        <v>27.25</v>
      </c>
      <c r="D2532">
        <v>25.75</v>
      </c>
      <c r="E2532">
        <v>26.75</v>
      </c>
      <c r="F2532">
        <v>3928800</v>
      </c>
    </row>
    <row r="2533" spans="1:6">
      <c r="A2533" s="32">
        <v>40052</v>
      </c>
      <c r="B2533">
        <v>26.25</v>
      </c>
      <c r="C2533">
        <v>26.5</v>
      </c>
      <c r="D2533">
        <v>25.75</v>
      </c>
      <c r="E2533">
        <v>26</v>
      </c>
      <c r="F2533">
        <v>2296200</v>
      </c>
    </row>
    <row r="2534" spans="1:6">
      <c r="A2534" s="32">
        <v>40051</v>
      </c>
      <c r="B2534">
        <v>24.2</v>
      </c>
      <c r="C2534">
        <v>25.75</v>
      </c>
      <c r="D2534">
        <v>24</v>
      </c>
      <c r="E2534">
        <v>25.75</v>
      </c>
      <c r="F2534">
        <v>4111800</v>
      </c>
    </row>
    <row r="2535" spans="1:6">
      <c r="A2535" s="32">
        <v>40050</v>
      </c>
      <c r="B2535">
        <v>24.3</v>
      </c>
      <c r="C2535">
        <v>24.3</v>
      </c>
      <c r="D2535">
        <v>23.9</v>
      </c>
      <c r="E2535">
        <v>24.2</v>
      </c>
      <c r="F2535">
        <v>3806800</v>
      </c>
    </row>
    <row r="2536" spans="1:6">
      <c r="A2536" s="32">
        <v>40049</v>
      </c>
      <c r="B2536">
        <v>24.5</v>
      </c>
      <c r="C2536">
        <v>24.5</v>
      </c>
      <c r="D2536">
        <v>24.3</v>
      </c>
      <c r="E2536">
        <v>24.4</v>
      </c>
      <c r="F2536">
        <v>601500</v>
      </c>
    </row>
    <row r="2537" spans="1:6">
      <c r="A2537" s="32">
        <v>40046</v>
      </c>
      <c r="B2537">
        <v>24.2</v>
      </c>
      <c r="C2537">
        <v>24.4</v>
      </c>
      <c r="D2537">
        <v>24.2</v>
      </c>
      <c r="E2537">
        <v>24.3</v>
      </c>
      <c r="F2537">
        <v>734800</v>
      </c>
    </row>
    <row r="2538" spans="1:6">
      <c r="A2538" s="32">
        <v>40045</v>
      </c>
      <c r="B2538">
        <v>24.4</v>
      </c>
      <c r="C2538">
        <v>24.4</v>
      </c>
      <c r="D2538">
        <v>24.1</v>
      </c>
      <c r="E2538">
        <v>24.1</v>
      </c>
      <c r="F2538">
        <v>821100</v>
      </c>
    </row>
    <row r="2539" spans="1:6">
      <c r="A2539" s="32">
        <v>40044</v>
      </c>
      <c r="B2539">
        <v>24.2</v>
      </c>
      <c r="C2539">
        <v>24.5</v>
      </c>
      <c r="D2539">
        <v>24.2</v>
      </c>
      <c r="E2539">
        <v>24.3</v>
      </c>
      <c r="F2539">
        <v>298100</v>
      </c>
    </row>
    <row r="2540" spans="1:6">
      <c r="A2540" s="32">
        <v>40043</v>
      </c>
      <c r="B2540">
        <v>24.3</v>
      </c>
      <c r="C2540">
        <v>24.4</v>
      </c>
      <c r="D2540">
        <v>24</v>
      </c>
      <c r="E2540">
        <v>24.4</v>
      </c>
      <c r="F2540">
        <v>509900</v>
      </c>
    </row>
    <row r="2541" spans="1:6">
      <c r="A2541" s="32">
        <v>40042</v>
      </c>
      <c r="B2541">
        <v>24.6</v>
      </c>
      <c r="C2541">
        <v>24.8</v>
      </c>
      <c r="D2541">
        <v>24.5</v>
      </c>
      <c r="E2541">
        <v>24.5</v>
      </c>
      <c r="F2541">
        <v>712700</v>
      </c>
    </row>
    <row r="2542" spans="1:6">
      <c r="A2542" s="32">
        <v>40039</v>
      </c>
      <c r="B2542">
        <v>24.9</v>
      </c>
      <c r="C2542">
        <v>25</v>
      </c>
      <c r="D2542">
        <v>24.8</v>
      </c>
      <c r="E2542">
        <v>24.9</v>
      </c>
      <c r="F2542">
        <v>1973600</v>
      </c>
    </row>
    <row r="2543" spans="1:6">
      <c r="A2543" s="32">
        <v>40038</v>
      </c>
      <c r="B2543">
        <v>25</v>
      </c>
      <c r="C2543">
        <v>25.25</v>
      </c>
      <c r="D2543">
        <v>24.8</v>
      </c>
      <c r="E2543">
        <v>25</v>
      </c>
      <c r="F2543">
        <v>1882700</v>
      </c>
    </row>
    <row r="2544" spans="1:6">
      <c r="A2544" s="32">
        <v>40036</v>
      </c>
      <c r="B2544">
        <v>24.8</v>
      </c>
      <c r="C2544">
        <v>25</v>
      </c>
      <c r="D2544">
        <v>24.8</v>
      </c>
      <c r="E2544">
        <v>25</v>
      </c>
      <c r="F2544">
        <v>664500</v>
      </c>
    </row>
    <row r="2545" spans="1:6">
      <c r="A2545" s="32">
        <v>40035</v>
      </c>
      <c r="B2545">
        <v>25</v>
      </c>
      <c r="C2545">
        <v>25</v>
      </c>
      <c r="D2545">
        <v>24.7</v>
      </c>
      <c r="E2545">
        <v>24.8</v>
      </c>
      <c r="F2545">
        <v>1386800</v>
      </c>
    </row>
    <row r="2546" spans="1:6">
      <c r="A2546" s="32">
        <v>40032</v>
      </c>
      <c r="B2546">
        <v>25</v>
      </c>
      <c r="C2546">
        <v>25</v>
      </c>
      <c r="D2546">
        <v>24.7</v>
      </c>
      <c r="E2546">
        <v>24.8</v>
      </c>
      <c r="F2546">
        <v>1321400</v>
      </c>
    </row>
    <row r="2547" spans="1:6">
      <c r="A2547" s="32">
        <v>40031</v>
      </c>
      <c r="B2547">
        <v>24.7</v>
      </c>
      <c r="C2547">
        <v>24.9</v>
      </c>
      <c r="D2547">
        <v>24.6</v>
      </c>
      <c r="E2547">
        <v>24.7</v>
      </c>
      <c r="F2547">
        <v>1055200</v>
      </c>
    </row>
    <row r="2548" spans="1:6">
      <c r="A2548" s="32">
        <v>40030</v>
      </c>
      <c r="B2548">
        <v>25</v>
      </c>
      <c r="C2548">
        <v>25</v>
      </c>
      <c r="D2548">
        <v>24.5</v>
      </c>
      <c r="E2548">
        <v>24.5</v>
      </c>
      <c r="F2548">
        <v>1344700</v>
      </c>
    </row>
    <row r="2549" spans="1:6">
      <c r="A2549" s="32">
        <v>40029</v>
      </c>
      <c r="B2549">
        <v>26</v>
      </c>
      <c r="C2549">
        <v>26.25</v>
      </c>
      <c r="D2549">
        <v>24.9</v>
      </c>
      <c r="E2549">
        <v>25</v>
      </c>
      <c r="F2549">
        <v>5111200</v>
      </c>
    </row>
    <row r="2550" spans="1:6">
      <c r="A2550" s="32">
        <v>40028</v>
      </c>
      <c r="B2550">
        <v>26</v>
      </c>
      <c r="C2550">
        <v>26.25</v>
      </c>
      <c r="D2550">
        <v>25.75</v>
      </c>
      <c r="E2550">
        <v>26.25</v>
      </c>
      <c r="F2550">
        <v>1385400</v>
      </c>
    </row>
    <row r="2551" spans="1:6">
      <c r="A2551" s="32">
        <v>40025</v>
      </c>
      <c r="B2551">
        <v>26</v>
      </c>
      <c r="C2551">
        <v>26.25</v>
      </c>
      <c r="D2551">
        <v>25.75</v>
      </c>
      <c r="E2551">
        <v>25.75</v>
      </c>
      <c r="F2551">
        <v>282300</v>
      </c>
    </row>
    <row r="2552" spans="1:6">
      <c r="A2552" s="32">
        <v>40024</v>
      </c>
      <c r="B2552">
        <v>25.5</v>
      </c>
      <c r="C2552">
        <v>26</v>
      </c>
      <c r="D2552">
        <v>25.5</v>
      </c>
      <c r="E2552">
        <v>25.75</v>
      </c>
      <c r="F2552">
        <v>1343000</v>
      </c>
    </row>
    <row r="2553" spans="1:6">
      <c r="A2553" s="32">
        <v>40023</v>
      </c>
      <c r="B2553">
        <v>26</v>
      </c>
      <c r="C2553">
        <v>26</v>
      </c>
      <c r="D2553">
        <v>25.5</v>
      </c>
      <c r="E2553">
        <v>25.5</v>
      </c>
      <c r="F2553">
        <v>1028000</v>
      </c>
    </row>
    <row r="2554" spans="1:6">
      <c r="A2554" s="32">
        <v>40022</v>
      </c>
      <c r="B2554">
        <v>26.25</v>
      </c>
      <c r="C2554">
        <v>26.5</v>
      </c>
      <c r="D2554">
        <v>25.75</v>
      </c>
      <c r="E2554">
        <v>26</v>
      </c>
      <c r="F2554">
        <v>1066900</v>
      </c>
    </row>
    <row r="2555" spans="1:6">
      <c r="A2555" s="32">
        <v>40021</v>
      </c>
      <c r="B2555">
        <v>25.75</v>
      </c>
      <c r="C2555">
        <v>26.25</v>
      </c>
      <c r="D2555">
        <v>25.75</v>
      </c>
      <c r="E2555">
        <v>26.25</v>
      </c>
      <c r="F2555">
        <v>1347500</v>
      </c>
    </row>
    <row r="2556" spans="1:6">
      <c r="A2556" s="32">
        <v>40018</v>
      </c>
      <c r="B2556">
        <v>26.5</v>
      </c>
      <c r="C2556">
        <v>26.75</v>
      </c>
      <c r="D2556">
        <v>25.25</v>
      </c>
      <c r="E2556">
        <v>25.75</v>
      </c>
      <c r="F2556">
        <v>1641300</v>
      </c>
    </row>
    <row r="2557" spans="1:6">
      <c r="A2557" s="32">
        <v>40017</v>
      </c>
      <c r="B2557">
        <v>26.5</v>
      </c>
      <c r="C2557">
        <v>26.5</v>
      </c>
      <c r="D2557">
        <v>26.25</v>
      </c>
      <c r="E2557">
        <v>26.5</v>
      </c>
      <c r="F2557">
        <v>343200</v>
      </c>
    </row>
    <row r="2558" spans="1:6">
      <c r="A2558" s="32">
        <v>40016</v>
      </c>
      <c r="B2558">
        <v>26.5</v>
      </c>
      <c r="C2558">
        <v>26.5</v>
      </c>
      <c r="D2558">
        <v>26</v>
      </c>
      <c r="E2558">
        <v>26.25</v>
      </c>
      <c r="F2558">
        <v>730600</v>
      </c>
    </row>
    <row r="2559" spans="1:6">
      <c r="A2559" s="32">
        <v>40015</v>
      </c>
      <c r="B2559">
        <v>26.25</v>
      </c>
      <c r="C2559">
        <v>26.5</v>
      </c>
      <c r="D2559">
        <v>26.25</v>
      </c>
      <c r="E2559">
        <v>26.25</v>
      </c>
      <c r="F2559">
        <v>407800</v>
      </c>
    </row>
    <row r="2560" spans="1:6">
      <c r="A2560" s="32">
        <v>40014</v>
      </c>
      <c r="B2560">
        <v>27</v>
      </c>
      <c r="C2560">
        <v>27</v>
      </c>
      <c r="D2560">
        <v>25.75</v>
      </c>
      <c r="E2560">
        <v>26</v>
      </c>
      <c r="F2560">
        <v>1639000</v>
      </c>
    </row>
    <row r="2561" spans="1:6">
      <c r="A2561" s="32">
        <v>40011</v>
      </c>
      <c r="B2561">
        <v>25.75</v>
      </c>
      <c r="C2561">
        <v>26.25</v>
      </c>
      <c r="D2561">
        <v>25.5</v>
      </c>
      <c r="E2561">
        <v>25.75</v>
      </c>
      <c r="F2561">
        <v>1173100</v>
      </c>
    </row>
    <row r="2562" spans="1:6">
      <c r="A2562" s="32">
        <v>40010</v>
      </c>
      <c r="B2562">
        <v>26</v>
      </c>
      <c r="C2562">
        <v>26.5</v>
      </c>
      <c r="D2562">
        <v>25.75</v>
      </c>
      <c r="E2562">
        <v>25.75</v>
      </c>
      <c r="F2562">
        <v>1208400</v>
      </c>
    </row>
    <row r="2563" spans="1:6">
      <c r="A2563" s="32">
        <v>40009</v>
      </c>
      <c r="B2563">
        <v>25.5</v>
      </c>
      <c r="C2563">
        <v>26</v>
      </c>
      <c r="D2563">
        <v>25.5</v>
      </c>
      <c r="E2563">
        <v>26</v>
      </c>
      <c r="F2563">
        <v>1893400</v>
      </c>
    </row>
    <row r="2564" spans="1:6">
      <c r="A2564" s="32">
        <v>40008</v>
      </c>
      <c r="B2564">
        <v>25.25</v>
      </c>
      <c r="C2564">
        <v>25.5</v>
      </c>
      <c r="D2564">
        <v>25</v>
      </c>
      <c r="E2564">
        <v>25.25</v>
      </c>
      <c r="F2564">
        <v>2047900</v>
      </c>
    </row>
    <row r="2565" spans="1:6">
      <c r="A2565" s="32">
        <v>40007</v>
      </c>
      <c r="B2565">
        <v>25</v>
      </c>
      <c r="C2565">
        <v>26</v>
      </c>
      <c r="D2565">
        <v>24.9</v>
      </c>
      <c r="E2565">
        <v>25</v>
      </c>
      <c r="F2565">
        <v>2011300</v>
      </c>
    </row>
    <row r="2566" spans="1:6">
      <c r="A2566" s="32">
        <v>40004</v>
      </c>
      <c r="B2566">
        <v>25.25</v>
      </c>
      <c r="C2566">
        <v>25.25</v>
      </c>
      <c r="D2566">
        <v>24.9</v>
      </c>
      <c r="E2566">
        <v>25</v>
      </c>
      <c r="F2566">
        <v>958500</v>
      </c>
    </row>
    <row r="2567" spans="1:6">
      <c r="A2567" s="32">
        <v>40003</v>
      </c>
      <c r="B2567">
        <v>25.5</v>
      </c>
      <c r="C2567">
        <v>25.5</v>
      </c>
      <c r="D2567">
        <v>25</v>
      </c>
      <c r="E2567">
        <v>25</v>
      </c>
      <c r="F2567">
        <v>856600</v>
      </c>
    </row>
    <row r="2568" spans="1:6">
      <c r="A2568" s="32">
        <v>40002</v>
      </c>
      <c r="B2568">
        <v>25.75</v>
      </c>
      <c r="C2568">
        <v>26</v>
      </c>
      <c r="D2568">
        <v>25</v>
      </c>
      <c r="E2568">
        <v>25.5</v>
      </c>
      <c r="F2568">
        <v>839300</v>
      </c>
    </row>
    <row r="2569" spans="1:6">
      <c r="A2569" s="32">
        <v>39997</v>
      </c>
      <c r="B2569">
        <v>25.25</v>
      </c>
      <c r="C2569">
        <v>26</v>
      </c>
      <c r="D2569">
        <v>25.25</v>
      </c>
      <c r="E2569">
        <v>26</v>
      </c>
      <c r="F2569">
        <v>106600</v>
      </c>
    </row>
    <row r="2570" spans="1:6">
      <c r="A2570" s="32">
        <v>39996</v>
      </c>
      <c r="B2570">
        <v>25.5</v>
      </c>
      <c r="C2570">
        <v>25.75</v>
      </c>
      <c r="D2570">
        <v>25.25</v>
      </c>
      <c r="E2570">
        <v>25.25</v>
      </c>
      <c r="F2570">
        <v>723500</v>
      </c>
    </row>
    <row r="2571" spans="1:6">
      <c r="A2571" s="32">
        <v>39994</v>
      </c>
      <c r="B2571">
        <v>26.25</v>
      </c>
      <c r="C2571">
        <v>27</v>
      </c>
      <c r="D2571">
        <v>26</v>
      </c>
      <c r="E2571">
        <v>26</v>
      </c>
      <c r="F2571">
        <v>680800</v>
      </c>
    </row>
    <row r="2572" spans="1:6">
      <c r="A2572" s="32">
        <v>39993</v>
      </c>
      <c r="B2572">
        <v>26.25</v>
      </c>
      <c r="C2572">
        <v>27</v>
      </c>
      <c r="D2572">
        <v>26</v>
      </c>
      <c r="E2572">
        <v>26.25</v>
      </c>
      <c r="F2572">
        <v>274100</v>
      </c>
    </row>
    <row r="2573" spans="1:6">
      <c r="A2573" s="32">
        <v>39990</v>
      </c>
      <c r="B2573">
        <v>26.25</v>
      </c>
      <c r="C2573">
        <v>26.75</v>
      </c>
      <c r="D2573">
        <v>26.25</v>
      </c>
      <c r="E2573">
        <v>26.25</v>
      </c>
      <c r="F2573">
        <v>199000</v>
      </c>
    </row>
    <row r="2574" spans="1:6">
      <c r="A2574" s="32">
        <v>39989</v>
      </c>
      <c r="B2574">
        <v>26.5</v>
      </c>
      <c r="C2574">
        <v>26.75</v>
      </c>
      <c r="D2574">
        <v>26.25</v>
      </c>
      <c r="E2574">
        <v>26.25</v>
      </c>
      <c r="F2574">
        <v>104900</v>
      </c>
    </row>
    <row r="2575" spans="1:6">
      <c r="A2575" s="32">
        <v>39988</v>
      </c>
      <c r="B2575">
        <v>26.25</v>
      </c>
      <c r="C2575">
        <v>26.75</v>
      </c>
      <c r="D2575">
        <v>26.25</v>
      </c>
      <c r="E2575">
        <v>26.5</v>
      </c>
      <c r="F2575">
        <v>122200</v>
      </c>
    </row>
    <row r="2576" spans="1:6">
      <c r="A2576" s="32">
        <v>39987</v>
      </c>
      <c r="B2576">
        <v>26</v>
      </c>
      <c r="C2576">
        <v>26.25</v>
      </c>
      <c r="D2576">
        <v>26</v>
      </c>
      <c r="E2576">
        <v>26.25</v>
      </c>
      <c r="F2576">
        <v>110100</v>
      </c>
    </row>
    <row r="2577" spans="1:6">
      <c r="A2577" s="32">
        <v>39986</v>
      </c>
      <c r="B2577">
        <v>26.5</v>
      </c>
      <c r="C2577">
        <v>26.5</v>
      </c>
      <c r="D2577">
        <v>26.25</v>
      </c>
      <c r="E2577">
        <v>26.25</v>
      </c>
      <c r="F2577">
        <v>94400</v>
      </c>
    </row>
    <row r="2578" spans="1:6">
      <c r="A2578" s="32">
        <v>39983</v>
      </c>
      <c r="B2578">
        <v>25.25</v>
      </c>
      <c r="C2578">
        <v>26.5</v>
      </c>
      <c r="D2578">
        <v>25.25</v>
      </c>
      <c r="E2578">
        <v>26.5</v>
      </c>
      <c r="F2578">
        <v>213100</v>
      </c>
    </row>
    <row r="2579" spans="1:6">
      <c r="A2579" s="32">
        <v>39982</v>
      </c>
      <c r="B2579">
        <v>26.5</v>
      </c>
      <c r="C2579">
        <v>26.5</v>
      </c>
      <c r="D2579">
        <v>25.75</v>
      </c>
      <c r="E2579">
        <v>25.75</v>
      </c>
      <c r="F2579">
        <v>367100</v>
      </c>
    </row>
    <row r="2580" spans="1:6">
      <c r="A2580" s="32">
        <v>39981</v>
      </c>
      <c r="B2580">
        <v>26.5</v>
      </c>
      <c r="C2580">
        <v>27</v>
      </c>
      <c r="D2580">
        <v>26.5</v>
      </c>
      <c r="E2580">
        <v>26.75</v>
      </c>
      <c r="F2580">
        <v>129000</v>
      </c>
    </row>
    <row r="2581" spans="1:6">
      <c r="A2581" s="32">
        <v>39980</v>
      </c>
      <c r="B2581">
        <v>26.75</v>
      </c>
      <c r="C2581">
        <v>27.5</v>
      </c>
      <c r="D2581">
        <v>26.75</v>
      </c>
      <c r="E2581">
        <v>26.75</v>
      </c>
      <c r="F2581">
        <v>145500</v>
      </c>
    </row>
    <row r="2582" spans="1:6">
      <c r="A2582" s="32">
        <v>39979</v>
      </c>
      <c r="B2582">
        <v>27.5</v>
      </c>
      <c r="C2582">
        <v>28</v>
      </c>
      <c r="D2582">
        <v>27.25</v>
      </c>
      <c r="E2582">
        <v>27.5</v>
      </c>
      <c r="F2582">
        <v>759700</v>
      </c>
    </row>
    <row r="2583" spans="1:6">
      <c r="A2583" s="32">
        <v>39976</v>
      </c>
      <c r="B2583">
        <v>27.5</v>
      </c>
      <c r="C2583">
        <v>27.5</v>
      </c>
      <c r="D2583">
        <v>27.25</v>
      </c>
      <c r="E2583">
        <v>27.5</v>
      </c>
      <c r="F2583">
        <v>446900</v>
      </c>
    </row>
    <row r="2584" spans="1:6">
      <c r="A2584" s="32">
        <v>39975</v>
      </c>
      <c r="B2584">
        <v>27.25</v>
      </c>
      <c r="C2584">
        <v>27.5</v>
      </c>
      <c r="D2584">
        <v>27</v>
      </c>
      <c r="E2584">
        <v>27.25</v>
      </c>
      <c r="F2584">
        <v>435700</v>
      </c>
    </row>
    <row r="2585" spans="1:6">
      <c r="A2585" s="32">
        <v>39974</v>
      </c>
      <c r="B2585">
        <v>28</v>
      </c>
      <c r="C2585">
        <v>28.25</v>
      </c>
      <c r="D2585">
        <v>27.25</v>
      </c>
      <c r="E2585">
        <v>27.5</v>
      </c>
      <c r="F2585">
        <v>876200</v>
      </c>
    </row>
    <row r="2586" spans="1:6">
      <c r="A2586" s="32">
        <v>39973</v>
      </c>
      <c r="B2586">
        <v>26.5</v>
      </c>
      <c r="C2586">
        <v>28.5</v>
      </c>
      <c r="D2586">
        <v>26.5</v>
      </c>
      <c r="E2586">
        <v>28</v>
      </c>
      <c r="F2586">
        <v>995600</v>
      </c>
    </row>
    <row r="2587" spans="1:6">
      <c r="A2587" s="32">
        <v>39972</v>
      </c>
      <c r="B2587">
        <v>27.75</v>
      </c>
      <c r="C2587">
        <v>28</v>
      </c>
      <c r="D2587">
        <v>26.5</v>
      </c>
      <c r="E2587">
        <v>26.75</v>
      </c>
      <c r="F2587">
        <v>293700</v>
      </c>
    </row>
    <row r="2588" spans="1:6">
      <c r="A2588" s="32">
        <v>39969</v>
      </c>
      <c r="B2588">
        <v>27.5</v>
      </c>
      <c r="C2588">
        <v>28.25</v>
      </c>
      <c r="D2588">
        <v>27.25</v>
      </c>
      <c r="E2588">
        <v>27.75</v>
      </c>
      <c r="F2588">
        <v>461400</v>
      </c>
    </row>
    <row r="2589" spans="1:6">
      <c r="A2589" s="32">
        <v>39968</v>
      </c>
      <c r="B2589">
        <v>26.75</v>
      </c>
      <c r="C2589">
        <v>28</v>
      </c>
      <c r="D2589">
        <v>26.5</v>
      </c>
      <c r="E2589">
        <v>27.5</v>
      </c>
      <c r="F2589">
        <v>446000</v>
      </c>
    </row>
    <row r="2590" spans="1:6">
      <c r="A2590" s="32">
        <v>39967</v>
      </c>
      <c r="B2590">
        <v>26</v>
      </c>
      <c r="C2590">
        <v>27</v>
      </c>
      <c r="D2590">
        <v>26</v>
      </c>
      <c r="E2590">
        <v>26.5</v>
      </c>
      <c r="F2590">
        <v>1622500</v>
      </c>
    </row>
    <row r="2591" spans="1:6">
      <c r="A2591" s="32">
        <v>39966</v>
      </c>
      <c r="B2591">
        <v>26.5</v>
      </c>
      <c r="C2591">
        <v>26.75</v>
      </c>
      <c r="D2591">
        <v>25.75</v>
      </c>
      <c r="E2591">
        <v>25.75</v>
      </c>
      <c r="F2591">
        <v>1099700</v>
      </c>
    </row>
    <row r="2592" spans="1:6">
      <c r="A2592" s="32">
        <v>39965</v>
      </c>
      <c r="B2592">
        <v>27.5</v>
      </c>
      <c r="C2592">
        <v>27.5</v>
      </c>
      <c r="D2592">
        <v>26</v>
      </c>
      <c r="E2592">
        <v>26.25</v>
      </c>
      <c r="F2592">
        <v>885800</v>
      </c>
    </row>
    <row r="2593" spans="1:6">
      <c r="A2593" s="32">
        <v>39962</v>
      </c>
      <c r="B2593">
        <v>28</v>
      </c>
      <c r="C2593">
        <v>28</v>
      </c>
      <c r="D2593">
        <v>27.5</v>
      </c>
      <c r="E2593">
        <v>27.5</v>
      </c>
      <c r="F2593">
        <v>399500</v>
      </c>
    </row>
    <row r="2594" spans="1:6">
      <c r="A2594" s="32">
        <v>39961</v>
      </c>
      <c r="B2594">
        <v>28</v>
      </c>
      <c r="C2594">
        <v>28.25</v>
      </c>
      <c r="D2594">
        <v>27.5</v>
      </c>
      <c r="E2594">
        <v>27.75</v>
      </c>
      <c r="F2594">
        <v>885300</v>
      </c>
    </row>
    <row r="2595" spans="1:6">
      <c r="A2595" s="32">
        <v>39960</v>
      </c>
      <c r="B2595">
        <v>27</v>
      </c>
      <c r="C2595">
        <v>29</v>
      </c>
      <c r="D2595">
        <v>27</v>
      </c>
      <c r="E2595">
        <v>28.25</v>
      </c>
      <c r="F2595">
        <v>624900</v>
      </c>
    </row>
    <row r="2596" spans="1:6">
      <c r="A2596" s="32">
        <v>39959</v>
      </c>
      <c r="B2596">
        <v>27</v>
      </c>
      <c r="C2596">
        <v>27</v>
      </c>
      <c r="D2596">
        <v>26</v>
      </c>
      <c r="E2596">
        <v>26.75</v>
      </c>
      <c r="F2596">
        <v>134200</v>
      </c>
    </row>
    <row r="2597" spans="1:6">
      <c r="A2597" s="32">
        <v>39958</v>
      </c>
      <c r="B2597">
        <v>26.5</v>
      </c>
      <c r="C2597">
        <v>27.25</v>
      </c>
      <c r="D2597">
        <v>25.75</v>
      </c>
      <c r="E2597">
        <v>27.25</v>
      </c>
      <c r="F2597">
        <v>285400</v>
      </c>
    </row>
    <row r="2598" spans="1:6">
      <c r="A2598" s="32">
        <v>39955</v>
      </c>
      <c r="B2598">
        <v>28.5</v>
      </c>
      <c r="C2598">
        <v>28.5</v>
      </c>
      <c r="D2598">
        <v>25.25</v>
      </c>
      <c r="E2598">
        <v>26.5</v>
      </c>
      <c r="F2598">
        <v>946300</v>
      </c>
    </row>
    <row r="2599" spans="1:6">
      <c r="A2599" s="32">
        <v>39954</v>
      </c>
      <c r="B2599">
        <v>26.5</v>
      </c>
      <c r="C2599">
        <v>29</v>
      </c>
      <c r="D2599">
        <v>26.5</v>
      </c>
      <c r="E2599">
        <v>28</v>
      </c>
      <c r="F2599">
        <v>774800</v>
      </c>
    </row>
    <row r="2600" spans="1:6">
      <c r="A2600" s="32">
        <v>39953</v>
      </c>
      <c r="B2600">
        <v>27.25</v>
      </c>
      <c r="C2600">
        <v>27.25</v>
      </c>
      <c r="D2600">
        <v>26.75</v>
      </c>
      <c r="E2600">
        <v>27.25</v>
      </c>
      <c r="F2600">
        <v>174300</v>
      </c>
    </row>
    <row r="2601" spans="1:6">
      <c r="A2601" s="32">
        <v>39952</v>
      </c>
      <c r="B2601">
        <v>26.5</v>
      </c>
      <c r="C2601">
        <v>27.25</v>
      </c>
      <c r="D2601">
        <v>26.5</v>
      </c>
      <c r="E2601">
        <v>26.75</v>
      </c>
      <c r="F2601">
        <v>304200</v>
      </c>
    </row>
    <row r="2602" spans="1:6">
      <c r="A2602" s="32">
        <v>39951</v>
      </c>
      <c r="B2602">
        <v>25.25</v>
      </c>
      <c r="C2602">
        <v>27</v>
      </c>
      <c r="D2602">
        <v>25.25</v>
      </c>
      <c r="E2602">
        <v>26.25</v>
      </c>
      <c r="F2602">
        <v>415800</v>
      </c>
    </row>
    <row r="2603" spans="1:6">
      <c r="A2603" s="32">
        <v>39948</v>
      </c>
      <c r="B2603">
        <v>25</v>
      </c>
      <c r="C2603">
        <v>27.75</v>
      </c>
      <c r="D2603">
        <v>25</v>
      </c>
      <c r="E2603">
        <v>25.5</v>
      </c>
      <c r="F2603">
        <v>535800</v>
      </c>
    </row>
    <row r="2604" spans="1:6">
      <c r="A2604" s="32">
        <v>39947</v>
      </c>
      <c r="B2604">
        <v>25.25</v>
      </c>
      <c r="C2604">
        <v>26</v>
      </c>
      <c r="D2604">
        <v>25.25</v>
      </c>
      <c r="E2604">
        <v>25.25</v>
      </c>
      <c r="F2604">
        <v>205400</v>
      </c>
    </row>
    <row r="2605" spans="1:6">
      <c r="A2605" s="32">
        <v>39946</v>
      </c>
      <c r="B2605">
        <v>27.25</v>
      </c>
      <c r="C2605">
        <v>27.5</v>
      </c>
      <c r="D2605">
        <v>26</v>
      </c>
      <c r="E2605">
        <v>26.25</v>
      </c>
      <c r="F2605">
        <v>489400</v>
      </c>
    </row>
    <row r="2606" spans="1:6">
      <c r="A2606" s="32">
        <v>39945</v>
      </c>
      <c r="B2606">
        <v>27.75</v>
      </c>
      <c r="C2606">
        <v>27.75</v>
      </c>
      <c r="D2606">
        <v>27.25</v>
      </c>
      <c r="E2606">
        <v>27.75</v>
      </c>
      <c r="F2606">
        <v>245000</v>
      </c>
    </row>
    <row r="2607" spans="1:6">
      <c r="A2607" s="32">
        <v>39944</v>
      </c>
      <c r="B2607">
        <v>27</v>
      </c>
      <c r="C2607">
        <v>27.75</v>
      </c>
      <c r="D2607">
        <v>27</v>
      </c>
      <c r="E2607">
        <v>27.75</v>
      </c>
      <c r="F2607">
        <v>416500</v>
      </c>
    </row>
    <row r="2608" spans="1:6">
      <c r="A2608" s="32">
        <v>39940</v>
      </c>
      <c r="B2608">
        <v>26.25</v>
      </c>
      <c r="C2608">
        <v>28.5</v>
      </c>
      <c r="D2608">
        <v>26.25</v>
      </c>
      <c r="E2608">
        <v>26.5</v>
      </c>
      <c r="F2608">
        <v>640600</v>
      </c>
    </row>
    <row r="2609" spans="1:6">
      <c r="A2609" s="32">
        <v>39939</v>
      </c>
      <c r="B2609">
        <v>23.7</v>
      </c>
      <c r="C2609">
        <v>26.5</v>
      </c>
      <c r="D2609">
        <v>23.7</v>
      </c>
      <c r="E2609">
        <v>26.25</v>
      </c>
      <c r="F2609">
        <v>1073900</v>
      </c>
    </row>
    <row r="2610" spans="1:6">
      <c r="A2610" s="32">
        <v>39937</v>
      </c>
      <c r="B2610">
        <v>23.6</v>
      </c>
      <c r="C2610">
        <v>23.8</v>
      </c>
      <c r="D2610">
        <v>23.4</v>
      </c>
      <c r="E2610">
        <v>23.7</v>
      </c>
      <c r="F2610">
        <v>188700</v>
      </c>
    </row>
    <row r="2611" spans="1:6">
      <c r="A2611" s="32">
        <v>39933</v>
      </c>
      <c r="B2611">
        <v>23.3</v>
      </c>
      <c r="C2611">
        <v>23.8</v>
      </c>
      <c r="D2611">
        <v>23.3</v>
      </c>
      <c r="E2611">
        <v>23.5</v>
      </c>
      <c r="F2611">
        <v>295400</v>
      </c>
    </row>
    <row r="2612" spans="1:6">
      <c r="A2612" s="32">
        <v>39932</v>
      </c>
      <c r="B2612">
        <v>23.7</v>
      </c>
      <c r="C2612">
        <v>23.7</v>
      </c>
      <c r="D2612">
        <v>23.2</v>
      </c>
      <c r="E2612">
        <v>23.3</v>
      </c>
      <c r="F2612">
        <v>375800</v>
      </c>
    </row>
    <row r="2613" spans="1:6">
      <c r="A2613" s="32">
        <v>39931</v>
      </c>
      <c r="B2613">
        <v>23.5</v>
      </c>
      <c r="C2613">
        <v>23.8</v>
      </c>
      <c r="D2613">
        <v>23.1</v>
      </c>
      <c r="E2613">
        <v>23.6</v>
      </c>
      <c r="F2613">
        <v>114400</v>
      </c>
    </row>
    <row r="2614" spans="1:6">
      <c r="A2614" s="32">
        <v>39930</v>
      </c>
      <c r="B2614">
        <v>24.9</v>
      </c>
      <c r="C2614">
        <v>25</v>
      </c>
      <c r="D2614">
        <v>23.4</v>
      </c>
      <c r="E2614">
        <v>23.9</v>
      </c>
      <c r="F2614">
        <v>322300</v>
      </c>
    </row>
    <row r="2615" spans="1:6">
      <c r="A2615" s="32">
        <v>39927</v>
      </c>
      <c r="B2615">
        <v>22.5</v>
      </c>
      <c r="C2615">
        <v>24.1</v>
      </c>
      <c r="D2615">
        <v>22.5</v>
      </c>
      <c r="E2615">
        <v>24.1</v>
      </c>
      <c r="F2615">
        <v>488100</v>
      </c>
    </row>
    <row r="2616" spans="1:6">
      <c r="A2616" s="32">
        <v>39926</v>
      </c>
      <c r="B2616">
        <v>22.2</v>
      </c>
      <c r="C2616">
        <v>22.6</v>
      </c>
      <c r="D2616">
        <v>22.1</v>
      </c>
      <c r="E2616">
        <v>22.5</v>
      </c>
      <c r="F2616">
        <v>167000</v>
      </c>
    </row>
    <row r="2617" spans="1:6">
      <c r="A2617" s="32">
        <v>39925</v>
      </c>
      <c r="B2617">
        <v>22</v>
      </c>
      <c r="C2617">
        <v>22.1</v>
      </c>
      <c r="D2617">
        <v>22</v>
      </c>
      <c r="E2617">
        <v>22.1</v>
      </c>
      <c r="F2617">
        <v>534000</v>
      </c>
    </row>
    <row r="2618" spans="1:6">
      <c r="A2618" s="32">
        <v>39924</v>
      </c>
      <c r="B2618">
        <v>22</v>
      </c>
      <c r="C2618">
        <v>22.1</v>
      </c>
      <c r="D2618">
        <v>21.8</v>
      </c>
      <c r="E2618">
        <v>22</v>
      </c>
      <c r="F2618">
        <v>519800</v>
      </c>
    </row>
    <row r="2619" spans="1:6">
      <c r="A2619" s="32">
        <v>39923</v>
      </c>
      <c r="B2619">
        <v>22.2</v>
      </c>
      <c r="C2619">
        <v>22.2</v>
      </c>
      <c r="D2619">
        <v>22</v>
      </c>
      <c r="E2619">
        <v>22</v>
      </c>
      <c r="F2619">
        <v>569300</v>
      </c>
    </row>
    <row r="2620" spans="1:6">
      <c r="A2620" s="32">
        <v>39920</v>
      </c>
      <c r="B2620">
        <v>20.399999999999999</v>
      </c>
      <c r="C2620">
        <v>22.2</v>
      </c>
      <c r="D2620">
        <v>20.399999999999999</v>
      </c>
      <c r="E2620">
        <v>22.1</v>
      </c>
      <c r="F2620">
        <v>1345200</v>
      </c>
    </row>
    <row r="2621" spans="1:6">
      <c r="A2621" s="32">
        <v>39919</v>
      </c>
      <c r="B2621">
        <v>18.5</v>
      </c>
      <c r="C2621">
        <v>20.3</v>
      </c>
      <c r="D2621">
        <v>18.399999999999999</v>
      </c>
      <c r="E2621">
        <v>20</v>
      </c>
      <c r="F2621">
        <v>2085800</v>
      </c>
    </row>
    <row r="2622" spans="1:6">
      <c r="A2622" s="32">
        <v>39913</v>
      </c>
      <c r="B2622">
        <v>18.100000000000001</v>
      </c>
      <c r="C2622">
        <v>18.5</v>
      </c>
      <c r="D2622">
        <v>18.100000000000001</v>
      </c>
      <c r="E2622">
        <v>18.399999999999999</v>
      </c>
      <c r="F2622">
        <v>76500</v>
      </c>
    </row>
    <row r="2623" spans="1:6">
      <c r="A2623" s="32">
        <v>39912</v>
      </c>
      <c r="B2623">
        <v>18.3</v>
      </c>
      <c r="C2623">
        <v>18.600000000000001</v>
      </c>
      <c r="D2623">
        <v>18.2</v>
      </c>
      <c r="E2623">
        <v>18.2</v>
      </c>
      <c r="F2623">
        <v>408500</v>
      </c>
    </row>
    <row r="2624" spans="1:6">
      <c r="A2624" s="32">
        <v>39911</v>
      </c>
      <c r="B2624">
        <v>18.5</v>
      </c>
      <c r="C2624">
        <v>18.5</v>
      </c>
      <c r="D2624">
        <v>18</v>
      </c>
      <c r="E2624">
        <v>18.3</v>
      </c>
      <c r="F2624">
        <v>410300</v>
      </c>
    </row>
    <row r="2625" spans="1:6">
      <c r="A2625" s="32">
        <v>39910</v>
      </c>
      <c r="B2625">
        <v>18.5</v>
      </c>
      <c r="C2625">
        <v>19</v>
      </c>
      <c r="D2625">
        <v>18.5</v>
      </c>
      <c r="E2625">
        <v>18.5</v>
      </c>
      <c r="F2625">
        <v>587300</v>
      </c>
    </row>
    <row r="2626" spans="1:6">
      <c r="A2626" s="32">
        <v>39906</v>
      </c>
      <c r="B2626">
        <v>18.100000000000001</v>
      </c>
      <c r="C2626">
        <v>19.399999999999999</v>
      </c>
      <c r="D2626">
        <v>18</v>
      </c>
      <c r="E2626">
        <v>18.5</v>
      </c>
      <c r="F2626">
        <v>1702000</v>
      </c>
    </row>
    <row r="2627" spans="1:6">
      <c r="A2627" s="32">
        <v>39905</v>
      </c>
      <c r="B2627">
        <v>17.7</v>
      </c>
      <c r="C2627">
        <v>17.899999999999999</v>
      </c>
      <c r="D2627">
        <v>17.7</v>
      </c>
      <c r="E2627">
        <v>17.899999999999999</v>
      </c>
      <c r="F2627">
        <v>291100</v>
      </c>
    </row>
    <row r="2628" spans="1:6">
      <c r="A2628" s="32">
        <v>39904</v>
      </c>
      <c r="B2628">
        <v>17.899999999999999</v>
      </c>
      <c r="C2628">
        <v>17.899999999999999</v>
      </c>
      <c r="D2628">
        <v>17.7</v>
      </c>
      <c r="E2628">
        <v>17.7</v>
      </c>
      <c r="F2628">
        <v>325900</v>
      </c>
    </row>
    <row r="2629" spans="1:6">
      <c r="A2629" s="32">
        <v>39903</v>
      </c>
      <c r="B2629">
        <v>18.2</v>
      </c>
      <c r="C2629">
        <v>18.2</v>
      </c>
      <c r="D2629">
        <v>17.899999999999999</v>
      </c>
      <c r="E2629">
        <v>17.899999999999999</v>
      </c>
      <c r="F2629">
        <v>351500</v>
      </c>
    </row>
    <row r="2630" spans="1:6">
      <c r="A2630" s="32">
        <v>39902</v>
      </c>
      <c r="B2630">
        <v>17.899999999999999</v>
      </c>
      <c r="C2630">
        <v>18.2</v>
      </c>
      <c r="D2630">
        <v>17.8</v>
      </c>
      <c r="E2630">
        <v>18.2</v>
      </c>
      <c r="F2630">
        <v>460900</v>
      </c>
    </row>
    <row r="2631" spans="1:6">
      <c r="A2631" s="32">
        <v>39899</v>
      </c>
      <c r="B2631">
        <v>18</v>
      </c>
      <c r="C2631">
        <v>18</v>
      </c>
      <c r="D2631">
        <v>17.899999999999999</v>
      </c>
      <c r="E2631">
        <v>17.899999999999999</v>
      </c>
      <c r="F2631">
        <v>213500</v>
      </c>
    </row>
    <row r="2632" spans="1:6">
      <c r="A2632" s="32">
        <v>39898</v>
      </c>
      <c r="B2632">
        <v>18.3</v>
      </c>
      <c r="C2632">
        <v>18.3</v>
      </c>
      <c r="D2632">
        <v>17.899999999999999</v>
      </c>
      <c r="E2632">
        <v>17.899999999999999</v>
      </c>
      <c r="F2632">
        <v>1498000</v>
      </c>
    </row>
    <row r="2633" spans="1:6">
      <c r="A2633" s="32">
        <v>39897</v>
      </c>
      <c r="B2633">
        <v>18.399999999999999</v>
      </c>
      <c r="C2633">
        <v>18.399999999999999</v>
      </c>
      <c r="D2633">
        <v>18</v>
      </c>
      <c r="E2633">
        <v>18</v>
      </c>
      <c r="F2633">
        <v>400100</v>
      </c>
    </row>
    <row r="2634" spans="1:6">
      <c r="A2634" s="32">
        <v>39896</v>
      </c>
      <c r="B2634">
        <v>18.600000000000001</v>
      </c>
      <c r="C2634">
        <v>18.600000000000001</v>
      </c>
      <c r="D2634">
        <v>18.399999999999999</v>
      </c>
      <c r="E2634">
        <v>18.399999999999999</v>
      </c>
      <c r="F2634">
        <v>205800</v>
      </c>
    </row>
    <row r="2635" spans="1:6">
      <c r="A2635" s="32">
        <v>39895</v>
      </c>
      <c r="B2635">
        <v>18.2</v>
      </c>
      <c r="C2635">
        <v>18.5</v>
      </c>
      <c r="D2635">
        <v>18.2</v>
      </c>
      <c r="E2635">
        <v>18.399999999999999</v>
      </c>
      <c r="F2635">
        <v>148100</v>
      </c>
    </row>
    <row r="2636" spans="1:6">
      <c r="A2636" s="32">
        <v>39892</v>
      </c>
      <c r="B2636">
        <v>18.100000000000001</v>
      </c>
      <c r="C2636">
        <v>18.399999999999999</v>
      </c>
      <c r="D2636">
        <v>18.100000000000001</v>
      </c>
      <c r="E2636">
        <v>18.3</v>
      </c>
      <c r="F2636">
        <v>581100</v>
      </c>
    </row>
    <row r="2637" spans="1:6">
      <c r="A2637" s="32">
        <v>39891</v>
      </c>
      <c r="B2637">
        <v>17.8</v>
      </c>
      <c r="C2637">
        <v>18.100000000000001</v>
      </c>
      <c r="D2637">
        <v>17.7</v>
      </c>
      <c r="E2637">
        <v>18</v>
      </c>
      <c r="F2637">
        <v>687800</v>
      </c>
    </row>
    <row r="2638" spans="1:6">
      <c r="A2638" s="32">
        <v>39890</v>
      </c>
      <c r="B2638">
        <v>17.3</v>
      </c>
      <c r="C2638">
        <v>17.7</v>
      </c>
      <c r="D2638">
        <v>17.2</v>
      </c>
      <c r="E2638">
        <v>17.600000000000001</v>
      </c>
      <c r="F2638">
        <v>1435300</v>
      </c>
    </row>
    <row r="2639" spans="1:6">
      <c r="A2639" s="32">
        <v>39889</v>
      </c>
      <c r="B2639">
        <v>17.3</v>
      </c>
      <c r="C2639">
        <v>17.5</v>
      </c>
      <c r="D2639">
        <v>17.3</v>
      </c>
      <c r="E2639">
        <v>17.3</v>
      </c>
      <c r="F2639">
        <v>681000</v>
      </c>
    </row>
    <row r="2640" spans="1:6">
      <c r="A2640" s="32">
        <v>39888</v>
      </c>
      <c r="B2640">
        <v>18.600000000000001</v>
      </c>
      <c r="C2640">
        <v>18.600000000000001</v>
      </c>
      <c r="D2640">
        <v>17.5</v>
      </c>
      <c r="E2640">
        <v>17.5</v>
      </c>
      <c r="F2640">
        <v>1164000</v>
      </c>
    </row>
    <row r="2641" spans="1:6">
      <c r="A2641" s="32">
        <v>39885</v>
      </c>
      <c r="B2641">
        <v>18.600000000000001</v>
      </c>
      <c r="C2641">
        <v>18.7</v>
      </c>
      <c r="D2641">
        <v>18.5</v>
      </c>
      <c r="E2641">
        <v>18.5</v>
      </c>
      <c r="F2641">
        <v>135300</v>
      </c>
    </row>
    <row r="2642" spans="1:6">
      <c r="A2642" s="32">
        <v>39884</v>
      </c>
      <c r="B2642">
        <v>19.399999999999999</v>
      </c>
      <c r="C2642">
        <v>19.399999999999999</v>
      </c>
      <c r="D2642">
        <v>18.3</v>
      </c>
      <c r="E2642">
        <v>18.5</v>
      </c>
      <c r="F2642">
        <v>509400</v>
      </c>
    </row>
    <row r="2643" spans="1:6">
      <c r="A2643" s="32">
        <v>39883</v>
      </c>
      <c r="B2643">
        <v>19.600000000000001</v>
      </c>
      <c r="C2643">
        <v>19.600000000000001</v>
      </c>
      <c r="D2643">
        <v>19.5</v>
      </c>
      <c r="E2643">
        <v>19.5</v>
      </c>
      <c r="F2643">
        <v>306200</v>
      </c>
    </row>
    <row r="2644" spans="1:6">
      <c r="A2644" s="32">
        <v>39882</v>
      </c>
      <c r="B2644">
        <v>19.600000000000001</v>
      </c>
      <c r="C2644">
        <v>19.899999999999999</v>
      </c>
      <c r="D2644">
        <v>19.600000000000001</v>
      </c>
      <c r="E2644">
        <v>19.600000000000001</v>
      </c>
      <c r="F2644">
        <v>341900</v>
      </c>
    </row>
    <row r="2645" spans="1:6">
      <c r="A2645" s="32">
        <v>39881</v>
      </c>
      <c r="B2645">
        <v>19.8</v>
      </c>
      <c r="C2645">
        <v>19.8</v>
      </c>
      <c r="D2645">
        <v>19.399999999999999</v>
      </c>
      <c r="E2645">
        <v>19.399999999999999</v>
      </c>
      <c r="F2645">
        <v>72900</v>
      </c>
    </row>
    <row r="2646" spans="1:6">
      <c r="A2646" s="32">
        <v>39878</v>
      </c>
      <c r="B2646">
        <v>19.5</v>
      </c>
      <c r="C2646">
        <v>19.5</v>
      </c>
      <c r="D2646">
        <v>19.399999999999999</v>
      </c>
      <c r="E2646">
        <v>19.5</v>
      </c>
      <c r="F2646">
        <v>152000</v>
      </c>
    </row>
    <row r="2647" spans="1:6">
      <c r="A2647" s="32">
        <v>39877</v>
      </c>
      <c r="B2647">
        <v>19.8</v>
      </c>
      <c r="C2647">
        <v>20.2</v>
      </c>
      <c r="D2647">
        <v>19.5</v>
      </c>
      <c r="E2647">
        <v>19.5</v>
      </c>
      <c r="F2647">
        <v>319500</v>
      </c>
    </row>
    <row r="2648" spans="1:6">
      <c r="A2648" s="32">
        <v>39876</v>
      </c>
      <c r="B2648">
        <v>19</v>
      </c>
      <c r="C2648">
        <v>19.8</v>
      </c>
      <c r="D2648">
        <v>18.899999999999999</v>
      </c>
      <c r="E2648">
        <v>19.7</v>
      </c>
      <c r="F2648">
        <v>70700</v>
      </c>
    </row>
    <row r="2649" spans="1:6">
      <c r="A2649" s="32">
        <v>39875</v>
      </c>
      <c r="B2649">
        <v>19.3</v>
      </c>
      <c r="C2649">
        <v>20</v>
      </c>
      <c r="D2649">
        <v>19.100000000000001</v>
      </c>
      <c r="E2649">
        <v>19.100000000000001</v>
      </c>
      <c r="F2649">
        <v>345100</v>
      </c>
    </row>
    <row r="2650" spans="1:6">
      <c r="A2650" s="32">
        <v>39874</v>
      </c>
      <c r="B2650">
        <v>21.2</v>
      </c>
      <c r="C2650">
        <v>21.2</v>
      </c>
      <c r="D2650">
        <v>20.2</v>
      </c>
      <c r="E2650">
        <v>20.5</v>
      </c>
      <c r="F2650">
        <v>171800</v>
      </c>
    </row>
    <row r="2651" spans="1:6">
      <c r="A2651" s="32">
        <v>39871</v>
      </c>
      <c r="B2651">
        <v>21.4</v>
      </c>
      <c r="C2651">
        <v>21.4</v>
      </c>
      <c r="D2651">
        <v>21.1</v>
      </c>
      <c r="E2651">
        <v>21.2</v>
      </c>
      <c r="F2651">
        <v>38800</v>
      </c>
    </row>
    <row r="2652" spans="1:6">
      <c r="A2652" s="32">
        <v>39870</v>
      </c>
      <c r="B2652">
        <v>21.4</v>
      </c>
      <c r="C2652">
        <v>21.4</v>
      </c>
      <c r="D2652">
        <v>21</v>
      </c>
      <c r="E2652">
        <v>21</v>
      </c>
      <c r="F2652">
        <v>100600</v>
      </c>
    </row>
    <row r="2653" spans="1:6">
      <c r="A2653" s="32">
        <v>39869</v>
      </c>
      <c r="B2653">
        <v>21.6</v>
      </c>
      <c r="C2653">
        <v>21.6</v>
      </c>
      <c r="D2653">
        <v>21.1</v>
      </c>
      <c r="E2653">
        <v>21.2</v>
      </c>
      <c r="F2653">
        <v>56900</v>
      </c>
    </row>
    <row r="2654" spans="1:6">
      <c r="A2654" s="32">
        <v>39868</v>
      </c>
      <c r="B2654">
        <v>21.5</v>
      </c>
      <c r="C2654">
        <v>21.5</v>
      </c>
      <c r="D2654">
        <v>21</v>
      </c>
      <c r="E2654">
        <v>21.2</v>
      </c>
      <c r="F2654">
        <v>102600</v>
      </c>
    </row>
    <row r="2655" spans="1:6">
      <c r="A2655" s="32">
        <v>39867</v>
      </c>
      <c r="B2655">
        <v>21.1</v>
      </c>
      <c r="C2655">
        <v>21.5</v>
      </c>
      <c r="D2655">
        <v>21</v>
      </c>
      <c r="E2655">
        <v>21.5</v>
      </c>
      <c r="F2655">
        <v>65200</v>
      </c>
    </row>
    <row r="2656" spans="1:6">
      <c r="A2656" s="32">
        <v>39864</v>
      </c>
      <c r="B2656">
        <v>21.4</v>
      </c>
      <c r="C2656">
        <v>21.4</v>
      </c>
      <c r="D2656">
        <v>21.1</v>
      </c>
      <c r="E2656">
        <v>21.2</v>
      </c>
      <c r="F2656">
        <v>78200</v>
      </c>
    </row>
    <row r="2657" spans="1:6">
      <c r="A2657" s="32">
        <v>39863</v>
      </c>
      <c r="B2657">
        <v>21.6</v>
      </c>
      <c r="C2657">
        <v>21.7</v>
      </c>
      <c r="D2657">
        <v>21.4</v>
      </c>
      <c r="E2657">
        <v>21.4</v>
      </c>
      <c r="F2657">
        <v>43600</v>
      </c>
    </row>
    <row r="2658" spans="1:6">
      <c r="A2658" s="32">
        <v>39862</v>
      </c>
      <c r="B2658">
        <v>21.8</v>
      </c>
      <c r="C2658">
        <v>21.8</v>
      </c>
      <c r="D2658">
        <v>21.5</v>
      </c>
      <c r="E2658">
        <v>21.6</v>
      </c>
      <c r="F2658">
        <v>144400</v>
      </c>
    </row>
    <row r="2659" spans="1:6">
      <c r="A2659" s="32">
        <v>39861</v>
      </c>
      <c r="B2659">
        <v>21.9</v>
      </c>
      <c r="C2659">
        <v>21.9</v>
      </c>
      <c r="D2659">
        <v>21.7</v>
      </c>
      <c r="E2659">
        <v>21.8</v>
      </c>
      <c r="F2659">
        <v>48000</v>
      </c>
    </row>
    <row r="2660" spans="1:6">
      <c r="A2660" s="32">
        <v>39860</v>
      </c>
      <c r="B2660">
        <v>22.5</v>
      </c>
      <c r="C2660">
        <v>22.5</v>
      </c>
      <c r="D2660">
        <v>21.9</v>
      </c>
      <c r="E2660">
        <v>21.9</v>
      </c>
      <c r="F2660">
        <v>75600</v>
      </c>
    </row>
    <row r="2661" spans="1:6">
      <c r="A2661" s="32">
        <v>39857</v>
      </c>
      <c r="B2661">
        <v>22.6</v>
      </c>
      <c r="C2661">
        <v>22.6</v>
      </c>
      <c r="D2661">
        <v>22.4</v>
      </c>
      <c r="E2661">
        <v>22.4</v>
      </c>
      <c r="F2661">
        <v>368300</v>
      </c>
    </row>
    <row r="2662" spans="1:6">
      <c r="A2662" s="32">
        <v>39856</v>
      </c>
      <c r="B2662">
        <v>22.5</v>
      </c>
      <c r="C2662">
        <v>22.7</v>
      </c>
      <c r="D2662">
        <v>22.4</v>
      </c>
      <c r="E2662">
        <v>22.6</v>
      </c>
      <c r="F2662">
        <v>176700</v>
      </c>
    </row>
    <row r="2663" spans="1:6">
      <c r="A2663" s="32">
        <v>39855</v>
      </c>
      <c r="B2663">
        <v>22.4</v>
      </c>
      <c r="C2663">
        <v>22.4</v>
      </c>
      <c r="D2663">
        <v>22.3</v>
      </c>
      <c r="E2663">
        <v>22.3</v>
      </c>
      <c r="F2663">
        <v>70000</v>
      </c>
    </row>
    <row r="2664" spans="1:6">
      <c r="A2664" s="32">
        <v>39854</v>
      </c>
      <c r="B2664">
        <v>22</v>
      </c>
      <c r="C2664">
        <v>22.5</v>
      </c>
      <c r="D2664">
        <v>22</v>
      </c>
      <c r="E2664">
        <v>22.4</v>
      </c>
      <c r="F2664">
        <v>138700</v>
      </c>
    </row>
    <row r="2665" spans="1:6">
      <c r="A2665" s="32">
        <v>39850</v>
      </c>
      <c r="B2665">
        <v>21.9</v>
      </c>
      <c r="C2665">
        <v>22.2</v>
      </c>
      <c r="D2665">
        <v>21.7</v>
      </c>
      <c r="E2665">
        <v>22</v>
      </c>
      <c r="F2665">
        <v>138200</v>
      </c>
    </row>
    <row r="2666" spans="1:6">
      <c r="A2666" s="32">
        <v>39849</v>
      </c>
      <c r="B2666">
        <v>22</v>
      </c>
      <c r="C2666">
        <v>22</v>
      </c>
      <c r="D2666">
        <v>21.8</v>
      </c>
      <c r="E2666">
        <v>21.8</v>
      </c>
      <c r="F2666">
        <v>161200</v>
      </c>
    </row>
    <row r="2667" spans="1:6">
      <c r="A2667" s="32">
        <v>39848</v>
      </c>
      <c r="B2667">
        <v>21.7</v>
      </c>
      <c r="C2667">
        <v>21.8</v>
      </c>
      <c r="D2667">
        <v>21.7</v>
      </c>
      <c r="E2667">
        <v>21.7</v>
      </c>
      <c r="F2667">
        <v>145000</v>
      </c>
    </row>
    <row r="2668" spans="1:6">
      <c r="A2668" s="32">
        <v>39847</v>
      </c>
      <c r="B2668">
        <v>22</v>
      </c>
      <c r="C2668">
        <v>22</v>
      </c>
      <c r="D2668">
        <v>21.5</v>
      </c>
      <c r="E2668">
        <v>21.7</v>
      </c>
      <c r="F2668">
        <v>33800</v>
      </c>
    </row>
    <row r="2669" spans="1:6">
      <c r="A2669" s="32">
        <v>39846</v>
      </c>
      <c r="B2669">
        <v>22</v>
      </c>
      <c r="C2669">
        <v>22.1</v>
      </c>
      <c r="D2669">
        <v>21.5</v>
      </c>
      <c r="E2669">
        <v>21.9</v>
      </c>
      <c r="F2669">
        <v>197700</v>
      </c>
    </row>
    <row r="2670" spans="1:6">
      <c r="A2670" s="32">
        <v>39843</v>
      </c>
      <c r="B2670">
        <v>21.5</v>
      </c>
      <c r="C2670">
        <v>22</v>
      </c>
      <c r="D2670">
        <v>21.5</v>
      </c>
      <c r="E2670">
        <v>22</v>
      </c>
      <c r="F2670">
        <v>213300</v>
      </c>
    </row>
    <row r="2671" spans="1:6">
      <c r="A2671" s="32">
        <v>39842</v>
      </c>
      <c r="B2671">
        <v>21.5</v>
      </c>
      <c r="C2671">
        <v>21.6</v>
      </c>
      <c r="D2671">
        <v>21.3</v>
      </c>
      <c r="E2671">
        <v>21.4</v>
      </c>
      <c r="F2671">
        <v>991700</v>
      </c>
    </row>
    <row r="2672" spans="1:6">
      <c r="A2672" s="32">
        <v>39841</v>
      </c>
      <c r="B2672">
        <v>21</v>
      </c>
      <c r="C2672">
        <v>21.7</v>
      </c>
      <c r="D2672">
        <v>21</v>
      </c>
      <c r="E2672">
        <v>21.5</v>
      </c>
      <c r="F2672">
        <v>219400</v>
      </c>
    </row>
    <row r="2673" spans="1:6">
      <c r="A2673" s="32">
        <v>39840</v>
      </c>
      <c r="B2673">
        <v>20.9</v>
      </c>
      <c r="C2673">
        <v>21.1</v>
      </c>
      <c r="D2673">
        <v>20.9</v>
      </c>
      <c r="E2673">
        <v>21.1</v>
      </c>
      <c r="F2673">
        <v>34200</v>
      </c>
    </row>
    <row r="2674" spans="1:6">
      <c r="A2674" s="32">
        <v>39839</v>
      </c>
      <c r="B2674">
        <v>21.1</v>
      </c>
      <c r="C2674">
        <v>21.1</v>
      </c>
      <c r="D2674">
        <v>21</v>
      </c>
      <c r="E2674">
        <v>21.1</v>
      </c>
      <c r="F2674">
        <v>75600</v>
      </c>
    </row>
    <row r="2675" spans="1:6">
      <c r="A2675" s="32">
        <v>39836</v>
      </c>
      <c r="B2675">
        <v>20.8</v>
      </c>
      <c r="C2675">
        <v>21.1</v>
      </c>
      <c r="D2675">
        <v>20.8</v>
      </c>
      <c r="E2675">
        <v>21.1</v>
      </c>
      <c r="F2675">
        <v>114100</v>
      </c>
    </row>
    <row r="2676" spans="1:6">
      <c r="A2676" s="32">
        <v>39835</v>
      </c>
      <c r="B2676">
        <v>21</v>
      </c>
      <c r="C2676">
        <v>21.3</v>
      </c>
      <c r="D2676">
        <v>20.6</v>
      </c>
      <c r="E2676">
        <v>21</v>
      </c>
      <c r="F2676">
        <v>101000</v>
      </c>
    </row>
    <row r="2677" spans="1:6">
      <c r="A2677" s="32">
        <v>39834</v>
      </c>
      <c r="B2677">
        <v>20.3</v>
      </c>
      <c r="C2677">
        <v>21.2</v>
      </c>
      <c r="D2677">
        <v>20.3</v>
      </c>
      <c r="E2677">
        <v>21.2</v>
      </c>
      <c r="F2677">
        <v>93400</v>
      </c>
    </row>
    <row r="2678" spans="1:6">
      <c r="A2678" s="32">
        <v>39833</v>
      </c>
      <c r="B2678">
        <v>20.3</v>
      </c>
      <c r="C2678">
        <v>20.399999999999999</v>
      </c>
      <c r="D2678">
        <v>20.2</v>
      </c>
      <c r="E2678">
        <v>20.3</v>
      </c>
      <c r="F2678">
        <v>222800</v>
      </c>
    </row>
    <row r="2679" spans="1:6">
      <c r="A2679" s="32">
        <v>39832</v>
      </c>
      <c r="B2679">
        <v>20.399999999999999</v>
      </c>
      <c r="C2679">
        <v>20.6</v>
      </c>
      <c r="D2679">
        <v>20.3</v>
      </c>
      <c r="E2679">
        <v>20.6</v>
      </c>
      <c r="F2679">
        <v>98400</v>
      </c>
    </row>
    <row r="2680" spans="1:6">
      <c r="A2680" s="32">
        <v>39829</v>
      </c>
      <c r="B2680">
        <v>20.3</v>
      </c>
      <c r="C2680">
        <v>20.399999999999999</v>
      </c>
      <c r="D2680">
        <v>20.3</v>
      </c>
      <c r="E2680">
        <v>20.399999999999999</v>
      </c>
      <c r="F2680">
        <v>13000</v>
      </c>
    </row>
    <row r="2681" spans="1:6">
      <c r="A2681" s="32">
        <v>39828</v>
      </c>
      <c r="B2681">
        <v>19.899999999999999</v>
      </c>
      <c r="C2681">
        <v>20.399999999999999</v>
      </c>
      <c r="D2681">
        <v>19.899999999999999</v>
      </c>
      <c r="E2681">
        <v>20</v>
      </c>
      <c r="F2681">
        <v>250000</v>
      </c>
    </row>
    <row r="2682" spans="1:6">
      <c r="A2682" s="32">
        <v>39827</v>
      </c>
      <c r="B2682">
        <v>20.2</v>
      </c>
      <c r="C2682">
        <v>20.3</v>
      </c>
      <c r="D2682">
        <v>20.100000000000001</v>
      </c>
      <c r="E2682">
        <v>20.100000000000001</v>
      </c>
      <c r="F2682">
        <v>340300</v>
      </c>
    </row>
    <row r="2683" spans="1:6">
      <c r="A2683" s="32">
        <v>39826</v>
      </c>
      <c r="B2683">
        <v>20.2</v>
      </c>
      <c r="C2683">
        <v>20.2</v>
      </c>
      <c r="D2683">
        <v>20</v>
      </c>
      <c r="E2683">
        <v>20.2</v>
      </c>
      <c r="F2683">
        <v>811900</v>
      </c>
    </row>
    <row r="2684" spans="1:6">
      <c r="A2684" s="32">
        <v>39825</v>
      </c>
      <c r="B2684">
        <v>20.5</v>
      </c>
      <c r="C2684">
        <v>20.5</v>
      </c>
      <c r="D2684">
        <v>20.100000000000001</v>
      </c>
      <c r="E2684">
        <v>20.3</v>
      </c>
      <c r="F2684">
        <v>1182100</v>
      </c>
    </row>
    <row r="2685" spans="1:6">
      <c r="A2685" s="32">
        <v>39822</v>
      </c>
      <c r="B2685">
        <v>20.3</v>
      </c>
      <c r="C2685">
        <v>20.5</v>
      </c>
      <c r="D2685">
        <v>20.2</v>
      </c>
      <c r="E2685">
        <v>20.3</v>
      </c>
      <c r="F2685">
        <v>1054300</v>
      </c>
    </row>
    <row r="2686" spans="1:6">
      <c r="A2686" s="32">
        <v>39821</v>
      </c>
      <c r="B2686">
        <v>20.399999999999999</v>
      </c>
      <c r="C2686">
        <v>20.5</v>
      </c>
      <c r="D2686">
        <v>20.3</v>
      </c>
      <c r="E2686">
        <v>20.3</v>
      </c>
      <c r="F2686">
        <v>217200</v>
      </c>
    </row>
    <row r="2687" spans="1:6">
      <c r="A2687" s="32">
        <v>39820</v>
      </c>
      <c r="B2687">
        <v>20.8</v>
      </c>
      <c r="C2687">
        <v>20.8</v>
      </c>
      <c r="D2687">
        <v>20.3</v>
      </c>
      <c r="E2687">
        <v>20.5</v>
      </c>
      <c r="F2687">
        <v>2327500</v>
      </c>
    </row>
    <row r="2688" spans="1:6">
      <c r="A2688" s="32">
        <v>39819</v>
      </c>
      <c r="B2688">
        <v>21.6</v>
      </c>
      <c r="C2688">
        <v>21.7</v>
      </c>
      <c r="D2688">
        <v>20.7</v>
      </c>
      <c r="E2688">
        <v>20.7</v>
      </c>
      <c r="F2688">
        <v>388700</v>
      </c>
    </row>
    <row r="2689" spans="1:6">
      <c r="A2689" s="32">
        <v>39818</v>
      </c>
      <c r="B2689">
        <v>21.3</v>
      </c>
      <c r="C2689">
        <v>22</v>
      </c>
      <c r="D2689">
        <v>21</v>
      </c>
      <c r="E2689">
        <v>21.5</v>
      </c>
      <c r="F2689">
        <v>721800</v>
      </c>
    </row>
    <row r="2690" spans="1:6">
      <c r="A2690" s="32">
        <v>39812</v>
      </c>
      <c r="B2690">
        <v>20.6</v>
      </c>
      <c r="C2690">
        <v>21.4</v>
      </c>
      <c r="D2690">
        <v>20.6</v>
      </c>
      <c r="E2690">
        <v>21.2</v>
      </c>
      <c r="F2690">
        <v>536800</v>
      </c>
    </row>
    <row r="2691" spans="1:6">
      <c r="A2691" s="32">
        <v>39811</v>
      </c>
      <c r="B2691">
        <v>20.6</v>
      </c>
      <c r="C2691">
        <v>20.7</v>
      </c>
      <c r="D2691">
        <v>20.2</v>
      </c>
      <c r="E2691">
        <v>20.7</v>
      </c>
      <c r="F2691">
        <v>143600</v>
      </c>
    </row>
    <row r="2692" spans="1:6">
      <c r="A2692" s="32">
        <v>39808</v>
      </c>
      <c r="B2692">
        <v>20.8</v>
      </c>
      <c r="C2692">
        <v>20.8</v>
      </c>
      <c r="D2692">
        <v>20.6</v>
      </c>
      <c r="E2692">
        <v>20.7</v>
      </c>
      <c r="F2692">
        <v>183300</v>
      </c>
    </row>
    <row r="2693" spans="1:6">
      <c r="A2693" s="32">
        <v>39807</v>
      </c>
      <c r="B2693">
        <v>20.7</v>
      </c>
      <c r="C2693">
        <v>20.7</v>
      </c>
      <c r="D2693">
        <v>20.5</v>
      </c>
      <c r="E2693">
        <v>20.7</v>
      </c>
      <c r="F2693">
        <v>165800</v>
      </c>
    </row>
    <row r="2694" spans="1:6">
      <c r="A2694" s="32">
        <v>39806</v>
      </c>
      <c r="B2694">
        <v>20.5</v>
      </c>
      <c r="C2694">
        <v>20.8</v>
      </c>
      <c r="D2694">
        <v>20.5</v>
      </c>
      <c r="E2694">
        <v>20.8</v>
      </c>
      <c r="F2694">
        <v>65800</v>
      </c>
    </row>
    <row r="2695" spans="1:6">
      <c r="A2695" s="32">
        <v>39805</v>
      </c>
      <c r="B2695">
        <v>21</v>
      </c>
      <c r="C2695">
        <v>21</v>
      </c>
      <c r="D2695">
        <v>20.399999999999999</v>
      </c>
      <c r="E2695">
        <v>20.8</v>
      </c>
      <c r="F2695">
        <v>409100</v>
      </c>
    </row>
    <row r="2696" spans="1:6">
      <c r="A2696" s="32">
        <v>39804</v>
      </c>
      <c r="B2696">
        <v>20.8</v>
      </c>
      <c r="C2696">
        <v>21.1</v>
      </c>
      <c r="D2696">
        <v>20.7</v>
      </c>
      <c r="E2696">
        <v>21</v>
      </c>
      <c r="F2696">
        <v>428000</v>
      </c>
    </row>
    <row r="2697" spans="1:6">
      <c r="A2697" s="32">
        <v>39801</v>
      </c>
      <c r="B2697">
        <v>21</v>
      </c>
      <c r="C2697">
        <v>21.2</v>
      </c>
      <c r="D2697">
        <v>20.9</v>
      </c>
      <c r="E2697">
        <v>20.9</v>
      </c>
      <c r="F2697">
        <v>140100</v>
      </c>
    </row>
    <row r="2698" spans="1:6">
      <c r="A2698" s="32">
        <v>39800</v>
      </c>
      <c r="B2698">
        <v>20.8</v>
      </c>
      <c r="C2698">
        <v>21.2</v>
      </c>
      <c r="D2698">
        <v>20.6</v>
      </c>
      <c r="E2698">
        <v>21.2</v>
      </c>
      <c r="F2698">
        <v>398100</v>
      </c>
    </row>
    <row r="2699" spans="1:6">
      <c r="A2699" s="32">
        <v>39799</v>
      </c>
      <c r="B2699">
        <v>20.6</v>
      </c>
      <c r="C2699">
        <v>21.3</v>
      </c>
      <c r="D2699">
        <v>20.5</v>
      </c>
      <c r="E2699">
        <v>20.8</v>
      </c>
      <c r="F2699">
        <v>584000</v>
      </c>
    </row>
    <row r="2700" spans="1:6">
      <c r="A2700" s="32">
        <v>39798</v>
      </c>
      <c r="B2700">
        <v>19.100000000000001</v>
      </c>
      <c r="C2700">
        <v>21.2</v>
      </c>
      <c r="D2700">
        <v>19.100000000000001</v>
      </c>
      <c r="E2700">
        <v>20.5</v>
      </c>
      <c r="F2700">
        <v>814800</v>
      </c>
    </row>
    <row r="2701" spans="1:6">
      <c r="A2701" s="32">
        <v>39797</v>
      </c>
      <c r="B2701">
        <v>18.399999999999999</v>
      </c>
      <c r="C2701">
        <v>19.100000000000001</v>
      </c>
      <c r="D2701">
        <v>18.399999999999999</v>
      </c>
      <c r="E2701">
        <v>19.100000000000001</v>
      </c>
      <c r="F2701">
        <v>520700</v>
      </c>
    </row>
    <row r="2702" spans="1:6">
      <c r="A2702" s="32">
        <v>39794</v>
      </c>
      <c r="B2702">
        <v>18.2</v>
      </c>
      <c r="C2702">
        <v>18.3</v>
      </c>
      <c r="D2702">
        <v>18</v>
      </c>
      <c r="E2702">
        <v>18.3</v>
      </c>
      <c r="F2702">
        <v>135200</v>
      </c>
    </row>
    <row r="2703" spans="1:6">
      <c r="A2703" s="32">
        <v>39793</v>
      </c>
      <c r="B2703">
        <v>18.3</v>
      </c>
      <c r="C2703">
        <v>18.3</v>
      </c>
      <c r="D2703">
        <v>18</v>
      </c>
      <c r="E2703">
        <v>18.3</v>
      </c>
      <c r="F2703">
        <v>488000</v>
      </c>
    </row>
    <row r="2704" spans="1:6">
      <c r="A2704" s="32">
        <v>39791</v>
      </c>
      <c r="B2704">
        <v>18.100000000000001</v>
      </c>
      <c r="C2704">
        <v>18.5</v>
      </c>
      <c r="D2704">
        <v>18</v>
      </c>
      <c r="E2704">
        <v>18</v>
      </c>
      <c r="F2704">
        <v>341300</v>
      </c>
    </row>
    <row r="2705" spans="1:6">
      <c r="A2705" s="32">
        <v>39790</v>
      </c>
      <c r="B2705">
        <v>17.5</v>
      </c>
      <c r="C2705">
        <v>18.100000000000001</v>
      </c>
      <c r="D2705">
        <v>17.5</v>
      </c>
      <c r="E2705">
        <v>18.100000000000001</v>
      </c>
      <c r="F2705">
        <v>325200</v>
      </c>
    </row>
    <row r="2706" spans="1:6">
      <c r="A2706" s="32">
        <v>39786</v>
      </c>
      <c r="B2706">
        <v>17</v>
      </c>
      <c r="C2706">
        <v>17.7</v>
      </c>
      <c r="D2706">
        <v>17</v>
      </c>
      <c r="E2706">
        <v>17.2</v>
      </c>
      <c r="F2706">
        <v>818700</v>
      </c>
    </row>
    <row r="2707" spans="1:6">
      <c r="A2707" s="32">
        <v>39785</v>
      </c>
      <c r="B2707">
        <v>18.2</v>
      </c>
      <c r="C2707">
        <v>18.2</v>
      </c>
      <c r="D2707">
        <v>17</v>
      </c>
      <c r="E2707">
        <v>17.3</v>
      </c>
      <c r="F2707">
        <v>594800</v>
      </c>
    </row>
    <row r="2708" spans="1:6">
      <c r="A2708" s="32">
        <v>39784</v>
      </c>
      <c r="B2708">
        <v>17.8</v>
      </c>
      <c r="C2708">
        <v>18.100000000000001</v>
      </c>
      <c r="D2708">
        <v>17.600000000000001</v>
      </c>
      <c r="E2708">
        <v>17.7</v>
      </c>
      <c r="F2708">
        <v>1111900</v>
      </c>
    </row>
    <row r="2709" spans="1:6">
      <c r="A2709" s="32">
        <v>39783</v>
      </c>
      <c r="B2709">
        <v>18.8</v>
      </c>
      <c r="C2709">
        <v>18.8</v>
      </c>
      <c r="D2709">
        <v>18</v>
      </c>
      <c r="E2709">
        <v>18.2</v>
      </c>
      <c r="F2709">
        <v>380900</v>
      </c>
    </row>
    <row r="2710" spans="1:6">
      <c r="A2710" s="32">
        <v>39780</v>
      </c>
      <c r="B2710">
        <v>19.100000000000001</v>
      </c>
      <c r="C2710">
        <v>19.100000000000001</v>
      </c>
      <c r="D2710">
        <v>18.600000000000001</v>
      </c>
      <c r="E2710">
        <v>18.8</v>
      </c>
      <c r="F2710">
        <v>276500</v>
      </c>
    </row>
    <row r="2711" spans="1:6">
      <c r="A2711" s="32">
        <v>39779</v>
      </c>
      <c r="B2711">
        <v>18.8</v>
      </c>
      <c r="C2711">
        <v>19.100000000000001</v>
      </c>
      <c r="D2711">
        <v>18.8</v>
      </c>
      <c r="E2711">
        <v>19</v>
      </c>
      <c r="F2711">
        <v>198400</v>
      </c>
    </row>
    <row r="2712" spans="1:6">
      <c r="A2712" s="32">
        <v>39778</v>
      </c>
      <c r="B2712">
        <v>18.399999999999999</v>
      </c>
      <c r="C2712">
        <v>19</v>
      </c>
      <c r="D2712">
        <v>18.399999999999999</v>
      </c>
      <c r="E2712">
        <v>19</v>
      </c>
      <c r="F2712">
        <v>104000</v>
      </c>
    </row>
    <row r="2713" spans="1:6">
      <c r="A2713" s="32">
        <v>39777</v>
      </c>
      <c r="B2713">
        <v>18.8</v>
      </c>
      <c r="C2713">
        <v>19.100000000000001</v>
      </c>
      <c r="D2713">
        <v>18.5</v>
      </c>
      <c r="E2713">
        <v>19</v>
      </c>
      <c r="F2713">
        <v>769300</v>
      </c>
    </row>
    <row r="2714" spans="1:6">
      <c r="A2714" s="32">
        <v>39776</v>
      </c>
      <c r="B2714">
        <v>18.3</v>
      </c>
      <c r="C2714">
        <v>18.399999999999999</v>
      </c>
      <c r="D2714">
        <v>18</v>
      </c>
      <c r="E2714">
        <v>18.3</v>
      </c>
      <c r="F2714">
        <v>651600</v>
      </c>
    </row>
    <row r="2715" spans="1:6">
      <c r="A2715" s="32">
        <v>39773</v>
      </c>
      <c r="B2715">
        <v>18.2</v>
      </c>
      <c r="C2715">
        <v>18.600000000000001</v>
      </c>
      <c r="D2715">
        <v>18</v>
      </c>
      <c r="E2715">
        <v>18.399999999999999</v>
      </c>
      <c r="F2715">
        <v>460600</v>
      </c>
    </row>
    <row r="2716" spans="1:6">
      <c r="A2716" s="32">
        <v>39772</v>
      </c>
      <c r="B2716">
        <v>18.100000000000001</v>
      </c>
      <c r="C2716">
        <v>18.399999999999999</v>
      </c>
      <c r="D2716">
        <v>18.100000000000001</v>
      </c>
      <c r="E2716">
        <v>18.2</v>
      </c>
      <c r="F2716">
        <v>228600</v>
      </c>
    </row>
    <row r="2717" spans="1:6">
      <c r="A2717" s="32">
        <v>39771</v>
      </c>
      <c r="B2717">
        <v>18.3</v>
      </c>
      <c r="C2717">
        <v>19</v>
      </c>
      <c r="D2717">
        <v>17.899999999999999</v>
      </c>
      <c r="E2717">
        <v>19</v>
      </c>
      <c r="F2717">
        <v>939300</v>
      </c>
    </row>
    <row r="2718" spans="1:6">
      <c r="A2718" s="32">
        <v>39770</v>
      </c>
      <c r="B2718">
        <v>18.7</v>
      </c>
      <c r="C2718">
        <v>18.7</v>
      </c>
      <c r="D2718">
        <v>18.2</v>
      </c>
      <c r="E2718">
        <v>18.3</v>
      </c>
      <c r="F2718">
        <v>232300</v>
      </c>
    </row>
    <row r="2719" spans="1:6">
      <c r="A2719" s="32">
        <v>39769</v>
      </c>
      <c r="B2719">
        <v>18.2</v>
      </c>
      <c r="C2719">
        <v>18.7</v>
      </c>
      <c r="D2719">
        <v>18.2</v>
      </c>
      <c r="E2719">
        <v>18.7</v>
      </c>
      <c r="F2719">
        <v>238100</v>
      </c>
    </row>
    <row r="2720" spans="1:6">
      <c r="A2720" s="32">
        <v>39766</v>
      </c>
      <c r="B2720">
        <v>18.8</v>
      </c>
      <c r="C2720">
        <v>19.3</v>
      </c>
      <c r="D2720">
        <v>18.100000000000001</v>
      </c>
      <c r="E2720">
        <v>18.2</v>
      </c>
      <c r="F2720">
        <v>778200</v>
      </c>
    </row>
    <row r="2721" spans="1:6">
      <c r="A2721" s="32">
        <v>39765</v>
      </c>
      <c r="B2721">
        <v>19.2</v>
      </c>
      <c r="C2721">
        <v>19.3</v>
      </c>
      <c r="D2721">
        <v>18</v>
      </c>
      <c r="E2721">
        <v>18.399999999999999</v>
      </c>
      <c r="F2721">
        <v>1271600</v>
      </c>
    </row>
    <row r="2722" spans="1:6">
      <c r="A2722" s="32">
        <v>39764</v>
      </c>
      <c r="B2722">
        <v>20.7</v>
      </c>
      <c r="C2722">
        <v>20.7</v>
      </c>
      <c r="D2722">
        <v>19.2</v>
      </c>
      <c r="E2722">
        <v>19.399999999999999</v>
      </c>
      <c r="F2722">
        <v>987700</v>
      </c>
    </row>
    <row r="2723" spans="1:6">
      <c r="A2723" s="32">
        <v>39763</v>
      </c>
      <c r="B2723">
        <v>21.7</v>
      </c>
      <c r="C2723">
        <v>21.7</v>
      </c>
      <c r="D2723">
        <v>20.8</v>
      </c>
      <c r="E2723">
        <v>20.9</v>
      </c>
      <c r="F2723">
        <v>895700</v>
      </c>
    </row>
    <row r="2724" spans="1:6">
      <c r="A2724" s="32">
        <v>39762</v>
      </c>
      <c r="B2724">
        <v>23</v>
      </c>
      <c r="C2724">
        <v>23</v>
      </c>
      <c r="D2724">
        <v>21.6</v>
      </c>
      <c r="E2724">
        <v>21.7</v>
      </c>
      <c r="F2724">
        <v>1007900</v>
      </c>
    </row>
    <row r="2725" spans="1:6">
      <c r="A2725" s="32">
        <v>39759</v>
      </c>
      <c r="B2725">
        <v>22.9</v>
      </c>
      <c r="C2725">
        <v>23</v>
      </c>
      <c r="D2725">
        <v>22.5</v>
      </c>
      <c r="E2725">
        <v>22.8</v>
      </c>
      <c r="F2725">
        <v>610000</v>
      </c>
    </row>
    <row r="2726" spans="1:6">
      <c r="A2726" s="32">
        <v>39758</v>
      </c>
      <c r="B2726">
        <v>22.8</v>
      </c>
      <c r="C2726">
        <v>23.1</v>
      </c>
      <c r="D2726">
        <v>22.8</v>
      </c>
      <c r="E2726">
        <v>23.1</v>
      </c>
      <c r="F2726">
        <v>396900</v>
      </c>
    </row>
    <row r="2727" spans="1:6">
      <c r="A2727" s="32">
        <v>39757</v>
      </c>
      <c r="B2727">
        <v>22.3</v>
      </c>
      <c r="C2727">
        <v>23.5</v>
      </c>
      <c r="D2727">
        <v>22.3</v>
      </c>
      <c r="E2727">
        <v>23.5</v>
      </c>
      <c r="F2727">
        <v>903900</v>
      </c>
    </row>
    <row r="2728" spans="1:6">
      <c r="A2728" s="32">
        <v>39756</v>
      </c>
      <c r="B2728">
        <v>22.4</v>
      </c>
      <c r="C2728">
        <v>22.4</v>
      </c>
      <c r="D2728">
        <v>22.1</v>
      </c>
      <c r="E2728">
        <v>22.3</v>
      </c>
      <c r="F2728">
        <v>458000</v>
      </c>
    </row>
    <row r="2729" spans="1:6">
      <c r="A2729" s="32">
        <v>39755</v>
      </c>
      <c r="B2729">
        <v>22.2</v>
      </c>
      <c r="C2729">
        <v>22.7</v>
      </c>
      <c r="D2729">
        <v>22.2</v>
      </c>
      <c r="E2729">
        <v>22.4</v>
      </c>
      <c r="F2729">
        <v>306300</v>
      </c>
    </row>
    <row r="2730" spans="1:6">
      <c r="A2730" s="32">
        <v>39752</v>
      </c>
      <c r="B2730">
        <v>22.3</v>
      </c>
      <c r="C2730">
        <v>22.3</v>
      </c>
      <c r="D2730">
        <v>21.6</v>
      </c>
      <c r="E2730">
        <v>22</v>
      </c>
      <c r="F2730">
        <v>297600</v>
      </c>
    </row>
    <row r="2731" spans="1:6">
      <c r="A2731" s="32">
        <v>39751</v>
      </c>
      <c r="B2731">
        <v>22.8</v>
      </c>
      <c r="C2731">
        <v>22.8</v>
      </c>
      <c r="D2731">
        <v>22.2</v>
      </c>
      <c r="E2731">
        <v>22.3</v>
      </c>
      <c r="F2731">
        <v>324100</v>
      </c>
    </row>
    <row r="2732" spans="1:6">
      <c r="A2732" s="32">
        <v>39750</v>
      </c>
      <c r="B2732">
        <v>24</v>
      </c>
      <c r="C2732">
        <v>24</v>
      </c>
      <c r="D2732">
        <v>22.6</v>
      </c>
      <c r="E2732">
        <v>22.8</v>
      </c>
      <c r="F2732">
        <v>204600</v>
      </c>
    </row>
    <row r="2733" spans="1:6">
      <c r="A2733" s="32">
        <v>39749</v>
      </c>
      <c r="B2733">
        <v>24.5</v>
      </c>
      <c r="C2733">
        <v>24.5</v>
      </c>
      <c r="D2733">
        <v>23</v>
      </c>
      <c r="E2733">
        <v>23.7</v>
      </c>
      <c r="F2733">
        <v>266300</v>
      </c>
    </row>
    <row r="2734" spans="1:6">
      <c r="A2734" s="32">
        <v>39748</v>
      </c>
      <c r="B2734">
        <v>25</v>
      </c>
      <c r="C2734">
        <v>25</v>
      </c>
      <c r="D2734">
        <v>22.5</v>
      </c>
      <c r="E2734">
        <v>22.5</v>
      </c>
      <c r="F2734">
        <v>150200</v>
      </c>
    </row>
    <row r="2735" spans="1:6">
      <c r="A2735" s="32">
        <v>39745</v>
      </c>
      <c r="B2735">
        <v>24.7</v>
      </c>
      <c r="C2735">
        <v>24.9</v>
      </c>
      <c r="D2735">
        <v>24</v>
      </c>
      <c r="E2735">
        <v>24.4</v>
      </c>
      <c r="F2735">
        <v>295900</v>
      </c>
    </row>
    <row r="2736" spans="1:6">
      <c r="A2736" s="32">
        <v>39743</v>
      </c>
      <c r="B2736">
        <v>24.7</v>
      </c>
      <c r="C2736">
        <v>25.25</v>
      </c>
      <c r="D2736">
        <v>24.7</v>
      </c>
      <c r="E2736">
        <v>25</v>
      </c>
      <c r="F2736">
        <v>102300</v>
      </c>
    </row>
    <row r="2737" spans="1:6">
      <c r="A2737" s="32">
        <v>39742</v>
      </c>
      <c r="B2737">
        <v>24.8</v>
      </c>
      <c r="C2737">
        <v>25</v>
      </c>
      <c r="D2737">
        <v>24.7</v>
      </c>
      <c r="E2737">
        <v>24.7</v>
      </c>
      <c r="F2737">
        <v>102100</v>
      </c>
    </row>
    <row r="2738" spans="1:6">
      <c r="A2738" s="32">
        <v>39741</v>
      </c>
      <c r="B2738">
        <v>24.7</v>
      </c>
      <c r="C2738">
        <v>24.9</v>
      </c>
      <c r="D2738">
        <v>24.5</v>
      </c>
      <c r="E2738">
        <v>24.5</v>
      </c>
      <c r="F2738">
        <v>455800</v>
      </c>
    </row>
    <row r="2739" spans="1:6">
      <c r="A2739" s="32">
        <v>39738</v>
      </c>
      <c r="B2739">
        <v>25.5</v>
      </c>
      <c r="C2739">
        <v>25.5</v>
      </c>
      <c r="D2739">
        <v>25</v>
      </c>
      <c r="E2739">
        <v>25</v>
      </c>
      <c r="F2739">
        <v>117000</v>
      </c>
    </row>
    <row r="2740" spans="1:6">
      <c r="A2740" s="32">
        <v>39737</v>
      </c>
      <c r="B2740">
        <v>25</v>
      </c>
      <c r="C2740">
        <v>25.5</v>
      </c>
      <c r="D2740">
        <v>24.5</v>
      </c>
      <c r="E2740">
        <v>25.5</v>
      </c>
      <c r="F2740">
        <v>106100</v>
      </c>
    </row>
    <row r="2741" spans="1:6">
      <c r="A2741" s="32">
        <v>39736</v>
      </c>
      <c r="B2741">
        <v>25.75</v>
      </c>
      <c r="C2741">
        <v>26</v>
      </c>
      <c r="D2741">
        <v>25.5</v>
      </c>
      <c r="E2741">
        <v>25.5</v>
      </c>
      <c r="F2741">
        <v>329300</v>
      </c>
    </row>
    <row r="2742" spans="1:6">
      <c r="A2742" s="32">
        <v>39735</v>
      </c>
      <c r="B2742">
        <v>25.75</v>
      </c>
      <c r="C2742">
        <v>26</v>
      </c>
      <c r="D2742">
        <v>25.25</v>
      </c>
      <c r="E2742">
        <v>25.75</v>
      </c>
      <c r="F2742">
        <v>520900</v>
      </c>
    </row>
    <row r="2743" spans="1:6">
      <c r="A2743" s="32">
        <v>39734</v>
      </c>
      <c r="B2743">
        <v>24.5</v>
      </c>
      <c r="C2743">
        <v>24.5</v>
      </c>
      <c r="D2743">
        <v>24.1</v>
      </c>
      <c r="E2743">
        <v>24.4</v>
      </c>
      <c r="F2743">
        <v>660700</v>
      </c>
    </row>
    <row r="2744" spans="1:6">
      <c r="A2744" s="32">
        <v>39731</v>
      </c>
      <c r="B2744">
        <v>25.5</v>
      </c>
      <c r="C2744">
        <v>25.75</v>
      </c>
      <c r="D2744">
        <v>24.7</v>
      </c>
      <c r="E2744">
        <v>24.8</v>
      </c>
      <c r="F2744">
        <v>362900</v>
      </c>
    </row>
    <row r="2745" spans="1:6">
      <c r="A2745" s="32">
        <v>39730</v>
      </c>
      <c r="B2745">
        <v>26.75</v>
      </c>
      <c r="C2745">
        <v>28.25</v>
      </c>
      <c r="D2745">
        <v>26.5</v>
      </c>
      <c r="E2745">
        <v>27.25</v>
      </c>
      <c r="F2745">
        <v>233300</v>
      </c>
    </row>
    <row r="2746" spans="1:6">
      <c r="A2746" s="32">
        <v>39729</v>
      </c>
      <c r="B2746">
        <v>27</v>
      </c>
      <c r="C2746">
        <v>27.75</v>
      </c>
      <c r="D2746">
        <v>25.5</v>
      </c>
      <c r="E2746">
        <v>27</v>
      </c>
      <c r="F2746">
        <v>899300</v>
      </c>
    </row>
    <row r="2747" spans="1:6">
      <c r="A2747" s="32">
        <v>39728</v>
      </c>
      <c r="B2747">
        <v>28.5</v>
      </c>
      <c r="C2747">
        <v>29</v>
      </c>
      <c r="D2747">
        <v>28</v>
      </c>
      <c r="E2747">
        <v>28</v>
      </c>
      <c r="F2747">
        <v>463700</v>
      </c>
    </row>
    <row r="2748" spans="1:6">
      <c r="A2748" s="32">
        <v>39727</v>
      </c>
      <c r="B2748">
        <v>31</v>
      </c>
      <c r="C2748">
        <v>31</v>
      </c>
      <c r="D2748">
        <v>29.75</v>
      </c>
      <c r="E2748">
        <v>30.5</v>
      </c>
      <c r="F2748">
        <v>330200</v>
      </c>
    </row>
    <row r="2749" spans="1:6">
      <c r="A2749" s="32">
        <v>39724</v>
      </c>
      <c r="B2749">
        <v>32.25</v>
      </c>
      <c r="C2749">
        <v>32.5</v>
      </c>
      <c r="D2749">
        <v>31.75</v>
      </c>
      <c r="E2749">
        <v>31.75</v>
      </c>
      <c r="F2749">
        <v>498900</v>
      </c>
    </row>
    <row r="2750" spans="1:6">
      <c r="A2750" s="32">
        <v>39723</v>
      </c>
      <c r="B2750">
        <v>32.25</v>
      </c>
      <c r="C2750">
        <v>32.5</v>
      </c>
      <c r="D2750">
        <v>32</v>
      </c>
      <c r="E2750">
        <v>32.5</v>
      </c>
      <c r="F2750">
        <v>124500</v>
      </c>
    </row>
    <row r="2751" spans="1:6">
      <c r="A2751" s="32">
        <v>39722</v>
      </c>
      <c r="B2751">
        <v>32.5</v>
      </c>
      <c r="C2751">
        <v>32.5</v>
      </c>
      <c r="D2751">
        <v>32</v>
      </c>
      <c r="E2751">
        <v>32.5</v>
      </c>
      <c r="F2751">
        <v>78900</v>
      </c>
    </row>
    <row r="2752" spans="1:6">
      <c r="A2752" s="32">
        <v>39721</v>
      </c>
      <c r="B2752">
        <v>31</v>
      </c>
      <c r="C2752">
        <v>32.25</v>
      </c>
      <c r="D2752">
        <v>30.75</v>
      </c>
      <c r="E2752">
        <v>32</v>
      </c>
      <c r="F2752">
        <v>610800</v>
      </c>
    </row>
    <row r="2753" spans="1:6">
      <c r="A2753" s="32">
        <v>39720</v>
      </c>
      <c r="B2753">
        <v>32.75</v>
      </c>
      <c r="C2753">
        <v>33</v>
      </c>
      <c r="D2753">
        <v>32</v>
      </c>
      <c r="E2753">
        <v>32.5</v>
      </c>
      <c r="F2753">
        <v>410300</v>
      </c>
    </row>
    <row r="2754" spans="1:6">
      <c r="A2754" s="32">
        <v>39717</v>
      </c>
      <c r="B2754">
        <v>32</v>
      </c>
      <c r="C2754">
        <v>33</v>
      </c>
      <c r="D2754">
        <v>32</v>
      </c>
      <c r="E2754">
        <v>33</v>
      </c>
      <c r="F2754">
        <v>179100</v>
      </c>
    </row>
    <row r="2755" spans="1:6">
      <c r="A2755" s="32">
        <v>39716</v>
      </c>
      <c r="B2755">
        <v>33.5</v>
      </c>
      <c r="C2755">
        <v>33.5</v>
      </c>
      <c r="D2755">
        <v>32.5</v>
      </c>
      <c r="E2755">
        <v>32.75</v>
      </c>
      <c r="F2755">
        <v>172600</v>
      </c>
    </row>
    <row r="2756" spans="1:6">
      <c r="A2756" s="32">
        <v>39715</v>
      </c>
      <c r="B2756">
        <v>32.75</v>
      </c>
      <c r="C2756">
        <v>33.5</v>
      </c>
      <c r="D2756">
        <v>32.5</v>
      </c>
      <c r="E2756">
        <v>33.5</v>
      </c>
      <c r="F2756">
        <v>848500</v>
      </c>
    </row>
    <row r="2757" spans="1:6">
      <c r="A2757" s="32">
        <v>39714</v>
      </c>
      <c r="B2757">
        <v>33.25</v>
      </c>
      <c r="C2757">
        <v>33.25</v>
      </c>
      <c r="D2757">
        <v>32.25</v>
      </c>
      <c r="E2757">
        <v>32.5</v>
      </c>
      <c r="F2757">
        <v>130000</v>
      </c>
    </row>
    <row r="2758" spans="1:6">
      <c r="A2758" s="32">
        <v>39713</v>
      </c>
      <c r="B2758">
        <v>33.75</v>
      </c>
      <c r="C2758">
        <v>33.75</v>
      </c>
      <c r="D2758">
        <v>33.25</v>
      </c>
      <c r="E2758">
        <v>33.25</v>
      </c>
      <c r="F2758">
        <v>123800</v>
      </c>
    </row>
    <row r="2759" spans="1:6">
      <c r="A2759" s="32">
        <v>39710</v>
      </c>
      <c r="B2759">
        <v>32.75</v>
      </c>
      <c r="C2759">
        <v>33.75</v>
      </c>
      <c r="D2759">
        <v>32.75</v>
      </c>
      <c r="E2759">
        <v>33.75</v>
      </c>
      <c r="F2759">
        <v>110400</v>
      </c>
    </row>
    <row r="2760" spans="1:6">
      <c r="A2760" s="32">
        <v>39709</v>
      </c>
      <c r="B2760">
        <v>33.25</v>
      </c>
      <c r="C2760">
        <v>33.25</v>
      </c>
      <c r="D2760">
        <v>31.75</v>
      </c>
      <c r="E2760">
        <v>33</v>
      </c>
      <c r="F2760">
        <v>287500</v>
      </c>
    </row>
    <row r="2761" spans="1:6">
      <c r="A2761" s="32">
        <v>39708</v>
      </c>
      <c r="B2761">
        <v>33.75</v>
      </c>
      <c r="C2761">
        <v>34</v>
      </c>
      <c r="D2761">
        <v>33.5</v>
      </c>
      <c r="E2761">
        <v>34</v>
      </c>
      <c r="F2761">
        <v>309900</v>
      </c>
    </row>
    <row r="2762" spans="1:6">
      <c r="A2762" s="32">
        <v>39707</v>
      </c>
      <c r="B2762">
        <v>34</v>
      </c>
      <c r="C2762">
        <v>34</v>
      </c>
      <c r="D2762">
        <v>33.25</v>
      </c>
      <c r="E2762">
        <v>33.75</v>
      </c>
      <c r="F2762">
        <v>421500</v>
      </c>
    </row>
    <row r="2763" spans="1:6">
      <c r="A2763" s="32">
        <v>39706</v>
      </c>
      <c r="B2763">
        <v>34.5</v>
      </c>
      <c r="C2763">
        <v>34.5</v>
      </c>
      <c r="D2763">
        <v>34</v>
      </c>
      <c r="E2763">
        <v>34.5</v>
      </c>
      <c r="F2763">
        <v>266800</v>
      </c>
    </row>
    <row r="2764" spans="1:6">
      <c r="A2764" s="32">
        <v>39703</v>
      </c>
      <c r="B2764">
        <v>33.25</v>
      </c>
      <c r="C2764">
        <v>34.25</v>
      </c>
      <c r="D2764">
        <v>33.25</v>
      </c>
      <c r="E2764">
        <v>34.25</v>
      </c>
      <c r="F2764">
        <v>252500</v>
      </c>
    </row>
    <row r="2765" spans="1:6">
      <c r="A2765" s="32">
        <v>39702</v>
      </c>
      <c r="B2765">
        <v>35</v>
      </c>
      <c r="C2765">
        <v>35</v>
      </c>
      <c r="D2765">
        <v>33</v>
      </c>
      <c r="E2765">
        <v>33</v>
      </c>
      <c r="F2765">
        <v>846100</v>
      </c>
    </row>
    <row r="2766" spans="1:6">
      <c r="A2766" s="32">
        <v>39701</v>
      </c>
      <c r="B2766">
        <v>36</v>
      </c>
      <c r="C2766">
        <v>36</v>
      </c>
      <c r="D2766">
        <v>35.25</v>
      </c>
      <c r="E2766">
        <v>35.5</v>
      </c>
      <c r="F2766">
        <v>190100</v>
      </c>
    </row>
    <row r="2767" spans="1:6">
      <c r="A2767" s="32">
        <v>39700</v>
      </c>
      <c r="B2767">
        <v>35.75</v>
      </c>
      <c r="C2767">
        <v>35.75</v>
      </c>
      <c r="D2767">
        <v>35</v>
      </c>
      <c r="E2767">
        <v>35.75</v>
      </c>
      <c r="F2767">
        <v>1546200</v>
      </c>
    </row>
    <row r="2768" spans="1:6">
      <c r="A2768" s="32">
        <v>39699</v>
      </c>
      <c r="B2768">
        <v>35.75</v>
      </c>
      <c r="C2768">
        <v>36.25</v>
      </c>
      <c r="D2768">
        <v>35.75</v>
      </c>
      <c r="E2768">
        <v>36.25</v>
      </c>
      <c r="F2768">
        <v>72300</v>
      </c>
    </row>
    <row r="2769" spans="1:6">
      <c r="A2769" s="32">
        <v>39696</v>
      </c>
      <c r="B2769">
        <v>36</v>
      </c>
      <c r="C2769">
        <v>36.25</v>
      </c>
      <c r="D2769">
        <v>35.5</v>
      </c>
      <c r="E2769">
        <v>35.75</v>
      </c>
      <c r="F2769">
        <v>1036400</v>
      </c>
    </row>
    <row r="2770" spans="1:6">
      <c r="A2770" s="32">
        <v>39695</v>
      </c>
      <c r="B2770">
        <v>36.25</v>
      </c>
      <c r="C2770">
        <v>36.75</v>
      </c>
      <c r="D2770">
        <v>36</v>
      </c>
      <c r="E2770">
        <v>36.75</v>
      </c>
      <c r="F2770">
        <v>282100</v>
      </c>
    </row>
    <row r="2771" spans="1:6">
      <c r="A2771" s="32">
        <v>39694</v>
      </c>
      <c r="B2771">
        <v>36.5</v>
      </c>
      <c r="C2771">
        <v>36.75</v>
      </c>
      <c r="D2771">
        <v>36.5</v>
      </c>
      <c r="E2771">
        <v>36.5</v>
      </c>
      <c r="F2771">
        <v>80900</v>
      </c>
    </row>
    <row r="2772" spans="1:6">
      <c r="A2772" s="32">
        <v>39693</v>
      </c>
      <c r="B2772">
        <v>36.75</v>
      </c>
      <c r="C2772">
        <v>36.75</v>
      </c>
      <c r="D2772">
        <v>36</v>
      </c>
      <c r="E2772">
        <v>36.75</v>
      </c>
      <c r="F2772">
        <v>256500</v>
      </c>
    </row>
    <row r="2773" spans="1:6">
      <c r="A2773" s="32">
        <v>39692</v>
      </c>
      <c r="B2773">
        <v>37</v>
      </c>
      <c r="C2773">
        <v>37.5</v>
      </c>
      <c r="D2773">
        <v>37</v>
      </c>
      <c r="E2773">
        <v>37</v>
      </c>
      <c r="F2773">
        <v>62000</v>
      </c>
    </row>
    <row r="2774" spans="1:6">
      <c r="A2774" s="32">
        <v>39689</v>
      </c>
      <c r="B2774">
        <v>37.5</v>
      </c>
      <c r="C2774">
        <v>37.5</v>
      </c>
      <c r="D2774">
        <v>37</v>
      </c>
      <c r="E2774">
        <v>37.5</v>
      </c>
      <c r="F2774">
        <v>166400</v>
      </c>
    </row>
    <row r="2775" spans="1:6">
      <c r="A2775" s="32">
        <v>39688</v>
      </c>
      <c r="B2775">
        <v>37.5</v>
      </c>
      <c r="C2775">
        <v>37.75</v>
      </c>
      <c r="D2775">
        <v>37.25</v>
      </c>
      <c r="E2775">
        <v>37.25</v>
      </c>
      <c r="F2775">
        <v>106800</v>
      </c>
    </row>
    <row r="2776" spans="1:6">
      <c r="A2776" s="32">
        <v>39687</v>
      </c>
      <c r="B2776">
        <v>37</v>
      </c>
      <c r="C2776">
        <v>37.5</v>
      </c>
      <c r="D2776">
        <v>36.75</v>
      </c>
      <c r="E2776">
        <v>37.25</v>
      </c>
      <c r="F2776">
        <v>436000</v>
      </c>
    </row>
    <row r="2777" spans="1:6">
      <c r="A2777" s="32">
        <v>39686</v>
      </c>
      <c r="B2777">
        <v>36.75</v>
      </c>
      <c r="C2777">
        <v>37</v>
      </c>
      <c r="D2777">
        <v>36.25</v>
      </c>
      <c r="E2777">
        <v>37</v>
      </c>
      <c r="F2777">
        <v>328900</v>
      </c>
    </row>
    <row r="2778" spans="1:6">
      <c r="A2778" s="32">
        <v>39685</v>
      </c>
      <c r="B2778">
        <v>38</v>
      </c>
      <c r="C2778">
        <v>38</v>
      </c>
      <c r="D2778">
        <v>36.75</v>
      </c>
      <c r="E2778">
        <v>36.75</v>
      </c>
      <c r="F2778">
        <v>223700</v>
      </c>
    </row>
    <row r="2779" spans="1:6">
      <c r="A2779" s="32">
        <v>39682</v>
      </c>
      <c r="B2779">
        <v>38</v>
      </c>
      <c r="C2779">
        <v>38</v>
      </c>
      <c r="D2779">
        <v>37.75</v>
      </c>
      <c r="E2779">
        <v>38</v>
      </c>
      <c r="F2779">
        <v>580300</v>
      </c>
    </row>
    <row r="2780" spans="1:6">
      <c r="A2780" s="32">
        <v>39681</v>
      </c>
      <c r="B2780">
        <v>38.5</v>
      </c>
      <c r="C2780">
        <v>38.75</v>
      </c>
      <c r="D2780">
        <v>38</v>
      </c>
      <c r="E2780">
        <v>38</v>
      </c>
      <c r="F2780">
        <v>272400</v>
      </c>
    </row>
    <row r="2781" spans="1:6">
      <c r="A2781" s="32">
        <v>39680</v>
      </c>
      <c r="B2781">
        <v>38.75</v>
      </c>
      <c r="C2781">
        <v>39</v>
      </c>
      <c r="D2781">
        <v>38.25</v>
      </c>
      <c r="E2781">
        <v>38.5</v>
      </c>
      <c r="F2781">
        <v>304700</v>
      </c>
    </row>
    <row r="2782" spans="1:6">
      <c r="A2782" s="32">
        <v>39679</v>
      </c>
      <c r="B2782">
        <v>39</v>
      </c>
      <c r="C2782">
        <v>39.25</v>
      </c>
      <c r="D2782">
        <v>38.5</v>
      </c>
      <c r="E2782">
        <v>39</v>
      </c>
      <c r="F2782">
        <v>336700</v>
      </c>
    </row>
    <row r="2783" spans="1:6">
      <c r="A2783" s="32">
        <v>39678</v>
      </c>
      <c r="B2783">
        <v>39.25</v>
      </c>
      <c r="C2783">
        <v>39.5</v>
      </c>
      <c r="D2783">
        <v>39</v>
      </c>
      <c r="E2783">
        <v>39.5</v>
      </c>
      <c r="F2783">
        <v>606200</v>
      </c>
    </row>
    <row r="2784" spans="1:6">
      <c r="A2784" s="32">
        <v>39675</v>
      </c>
      <c r="B2784">
        <v>38.75</v>
      </c>
      <c r="C2784">
        <v>39</v>
      </c>
      <c r="D2784">
        <v>38.25</v>
      </c>
      <c r="E2784">
        <v>39</v>
      </c>
      <c r="F2784">
        <v>796200</v>
      </c>
    </row>
    <row r="2785" spans="1:6">
      <c r="A2785" s="32">
        <v>39674</v>
      </c>
      <c r="B2785">
        <v>39</v>
      </c>
      <c r="C2785">
        <v>39</v>
      </c>
      <c r="D2785">
        <v>38.25</v>
      </c>
      <c r="E2785">
        <v>38.25</v>
      </c>
      <c r="F2785">
        <v>1447000</v>
      </c>
    </row>
    <row r="2786" spans="1:6">
      <c r="A2786" s="32">
        <v>39673</v>
      </c>
      <c r="B2786">
        <v>37.75</v>
      </c>
      <c r="C2786">
        <v>39</v>
      </c>
      <c r="D2786">
        <v>37.75</v>
      </c>
      <c r="E2786">
        <v>38.5</v>
      </c>
      <c r="F2786">
        <v>1526300</v>
      </c>
    </row>
    <row r="2787" spans="1:6">
      <c r="A2787" s="32">
        <v>39671</v>
      </c>
      <c r="B2787">
        <v>38</v>
      </c>
      <c r="C2787">
        <v>38.5</v>
      </c>
      <c r="D2787">
        <v>37.75</v>
      </c>
      <c r="E2787">
        <v>37.75</v>
      </c>
      <c r="F2787">
        <v>1358000</v>
      </c>
    </row>
    <row r="2788" spans="1:6">
      <c r="A2788" s="32">
        <v>39668</v>
      </c>
      <c r="B2788">
        <v>37.25</v>
      </c>
      <c r="C2788">
        <v>37.75</v>
      </c>
      <c r="D2788">
        <v>37</v>
      </c>
      <c r="E2788">
        <v>37.75</v>
      </c>
      <c r="F2788">
        <v>911500</v>
      </c>
    </row>
    <row r="2789" spans="1:6">
      <c r="A2789" s="32">
        <v>39667</v>
      </c>
      <c r="B2789">
        <v>37</v>
      </c>
      <c r="C2789">
        <v>37.75</v>
      </c>
      <c r="D2789">
        <v>36.75</v>
      </c>
      <c r="E2789">
        <v>36.75</v>
      </c>
      <c r="F2789">
        <v>1746500</v>
      </c>
    </row>
    <row r="2790" spans="1:6">
      <c r="A2790" s="32">
        <v>39666</v>
      </c>
      <c r="B2790">
        <v>36.75</v>
      </c>
      <c r="C2790">
        <v>37</v>
      </c>
      <c r="D2790">
        <v>36.5</v>
      </c>
      <c r="E2790">
        <v>36.75</v>
      </c>
      <c r="F2790">
        <v>296500</v>
      </c>
    </row>
    <row r="2791" spans="1:6">
      <c r="A2791" s="32">
        <v>39665</v>
      </c>
      <c r="B2791">
        <v>37</v>
      </c>
      <c r="C2791">
        <v>37</v>
      </c>
      <c r="D2791">
        <v>36.25</v>
      </c>
      <c r="E2791">
        <v>36.5</v>
      </c>
      <c r="F2791">
        <v>281700</v>
      </c>
    </row>
    <row r="2792" spans="1:6">
      <c r="A2792" s="32">
        <v>39664</v>
      </c>
      <c r="B2792">
        <v>36.75</v>
      </c>
      <c r="C2792">
        <v>37</v>
      </c>
      <c r="D2792">
        <v>36.75</v>
      </c>
      <c r="E2792">
        <v>37</v>
      </c>
      <c r="F2792">
        <v>276600</v>
      </c>
    </row>
    <row r="2793" spans="1:6">
      <c r="A2793" s="32">
        <v>39661</v>
      </c>
      <c r="B2793">
        <v>36.75</v>
      </c>
      <c r="C2793">
        <v>36.75</v>
      </c>
      <c r="D2793">
        <v>36</v>
      </c>
      <c r="E2793">
        <v>36.5</v>
      </c>
      <c r="F2793">
        <v>420300</v>
      </c>
    </row>
    <row r="2794" spans="1:6">
      <c r="A2794" s="32">
        <v>39660</v>
      </c>
      <c r="B2794">
        <v>37</v>
      </c>
      <c r="C2794">
        <v>37</v>
      </c>
      <c r="D2794">
        <v>36.5</v>
      </c>
      <c r="E2794">
        <v>36.75</v>
      </c>
      <c r="F2794">
        <v>436100</v>
      </c>
    </row>
    <row r="2795" spans="1:6">
      <c r="A2795" s="32">
        <v>39659</v>
      </c>
      <c r="B2795">
        <v>36.25</v>
      </c>
      <c r="C2795">
        <v>36.5</v>
      </c>
      <c r="D2795">
        <v>35.75</v>
      </c>
      <c r="E2795">
        <v>36.5</v>
      </c>
      <c r="F2795">
        <v>183800</v>
      </c>
    </row>
    <row r="2796" spans="1:6">
      <c r="A2796" s="32">
        <v>39658</v>
      </c>
      <c r="B2796">
        <v>36.5</v>
      </c>
      <c r="C2796">
        <v>36.5</v>
      </c>
      <c r="D2796">
        <v>35.75</v>
      </c>
      <c r="E2796">
        <v>35.75</v>
      </c>
      <c r="F2796">
        <v>98300</v>
      </c>
    </row>
    <row r="2797" spans="1:6">
      <c r="A2797" s="32">
        <v>39657</v>
      </c>
      <c r="B2797">
        <v>36.75</v>
      </c>
      <c r="C2797">
        <v>37</v>
      </c>
      <c r="D2797">
        <v>36.25</v>
      </c>
      <c r="E2797">
        <v>36.5</v>
      </c>
      <c r="F2797">
        <v>847300</v>
      </c>
    </row>
    <row r="2798" spans="1:6">
      <c r="A2798" s="32">
        <v>39654</v>
      </c>
      <c r="B2798">
        <v>36.25</v>
      </c>
      <c r="C2798">
        <v>37</v>
      </c>
      <c r="D2798">
        <v>36.25</v>
      </c>
      <c r="E2798">
        <v>36.75</v>
      </c>
      <c r="F2798">
        <v>399700</v>
      </c>
    </row>
    <row r="2799" spans="1:6">
      <c r="A2799" s="32">
        <v>39653</v>
      </c>
      <c r="B2799">
        <v>37.25</v>
      </c>
      <c r="C2799">
        <v>37.25</v>
      </c>
      <c r="D2799">
        <v>36.75</v>
      </c>
      <c r="E2799">
        <v>36.75</v>
      </c>
      <c r="F2799">
        <v>325900</v>
      </c>
    </row>
    <row r="2800" spans="1:6">
      <c r="A2800" s="32">
        <v>39652</v>
      </c>
      <c r="B2800">
        <v>37.25</v>
      </c>
      <c r="C2800">
        <v>38</v>
      </c>
      <c r="D2800">
        <v>36.5</v>
      </c>
      <c r="E2800">
        <v>36.75</v>
      </c>
      <c r="F2800">
        <v>368800</v>
      </c>
    </row>
    <row r="2801" spans="1:6">
      <c r="A2801" s="32">
        <v>39651</v>
      </c>
      <c r="B2801">
        <v>37</v>
      </c>
      <c r="C2801">
        <v>37</v>
      </c>
      <c r="D2801">
        <v>36</v>
      </c>
      <c r="E2801">
        <v>36.75</v>
      </c>
      <c r="F2801">
        <v>380500</v>
      </c>
    </row>
    <row r="2802" spans="1:6">
      <c r="A2802" s="32">
        <v>39650</v>
      </c>
      <c r="B2802">
        <v>36</v>
      </c>
      <c r="C2802">
        <v>37</v>
      </c>
      <c r="D2802">
        <v>35.5</v>
      </c>
      <c r="E2802">
        <v>37</v>
      </c>
      <c r="F2802">
        <v>305600</v>
      </c>
    </row>
    <row r="2803" spans="1:6">
      <c r="A2803" s="32">
        <v>39647</v>
      </c>
      <c r="B2803">
        <v>36</v>
      </c>
      <c r="C2803">
        <v>36</v>
      </c>
      <c r="D2803">
        <v>35</v>
      </c>
      <c r="E2803">
        <v>36</v>
      </c>
      <c r="F2803">
        <v>521900</v>
      </c>
    </row>
    <row r="2804" spans="1:6">
      <c r="A2804" s="32">
        <v>39645</v>
      </c>
      <c r="B2804">
        <v>35</v>
      </c>
      <c r="C2804">
        <v>36</v>
      </c>
      <c r="D2804">
        <v>34.75</v>
      </c>
      <c r="E2804">
        <v>35.5</v>
      </c>
      <c r="F2804">
        <v>366000</v>
      </c>
    </row>
    <row r="2805" spans="1:6">
      <c r="A2805" s="32">
        <v>39644</v>
      </c>
      <c r="B2805">
        <v>36.5</v>
      </c>
      <c r="C2805">
        <v>36.5</v>
      </c>
      <c r="D2805">
        <v>35</v>
      </c>
      <c r="E2805">
        <v>35</v>
      </c>
      <c r="F2805">
        <v>188400</v>
      </c>
    </row>
    <row r="2806" spans="1:6">
      <c r="A2806" s="32">
        <v>39643</v>
      </c>
      <c r="B2806">
        <v>36</v>
      </c>
      <c r="C2806">
        <v>36.75</v>
      </c>
      <c r="D2806">
        <v>35.75</v>
      </c>
      <c r="E2806">
        <v>36</v>
      </c>
      <c r="F2806">
        <v>519300</v>
      </c>
    </row>
    <row r="2807" spans="1:6">
      <c r="A2807" s="32">
        <v>39640</v>
      </c>
      <c r="B2807">
        <v>36.5</v>
      </c>
      <c r="C2807">
        <v>36.75</v>
      </c>
      <c r="D2807">
        <v>35.75</v>
      </c>
      <c r="E2807">
        <v>35.75</v>
      </c>
      <c r="F2807">
        <v>1243400</v>
      </c>
    </row>
    <row r="2808" spans="1:6">
      <c r="A2808" s="32">
        <v>39639</v>
      </c>
      <c r="B2808">
        <v>35.75</v>
      </c>
      <c r="C2808">
        <v>37</v>
      </c>
      <c r="D2808">
        <v>35.75</v>
      </c>
      <c r="E2808">
        <v>36.5</v>
      </c>
      <c r="F2808">
        <v>1110000</v>
      </c>
    </row>
    <row r="2809" spans="1:6">
      <c r="A2809" s="32">
        <v>39638</v>
      </c>
      <c r="B2809">
        <v>35.75</v>
      </c>
      <c r="C2809">
        <v>36</v>
      </c>
      <c r="D2809">
        <v>35.75</v>
      </c>
      <c r="E2809">
        <v>36</v>
      </c>
      <c r="F2809">
        <v>1522500</v>
      </c>
    </row>
    <row r="2810" spans="1:6">
      <c r="A2810" s="32">
        <v>39637</v>
      </c>
      <c r="B2810">
        <v>35.75</v>
      </c>
      <c r="C2810">
        <v>35.75</v>
      </c>
      <c r="D2810">
        <v>35.25</v>
      </c>
      <c r="E2810">
        <v>35.5</v>
      </c>
      <c r="F2810">
        <v>240700</v>
      </c>
    </row>
    <row r="2811" spans="1:6">
      <c r="A2811" s="32">
        <v>39636</v>
      </c>
      <c r="B2811">
        <v>35.75</v>
      </c>
      <c r="C2811">
        <v>35.75</v>
      </c>
      <c r="D2811">
        <v>35.5</v>
      </c>
      <c r="E2811">
        <v>35.5</v>
      </c>
      <c r="F2811">
        <v>312800</v>
      </c>
    </row>
    <row r="2812" spans="1:6">
      <c r="A2812" s="32">
        <v>39633</v>
      </c>
      <c r="B2812">
        <v>35.5</v>
      </c>
      <c r="C2812">
        <v>36</v>
      </c>
      <c r="D2812">
        <v>35.5</v>
      </c>
      <c r="E2812">
        <v>35.75</v>
      </c>
      <c r="F2812">
        <v>11000</v>
      </c>
    </row>
    <row r="2813" spans="1:6">
      <c r="A2813" s="32">
        <v>39632</v>
      </c>
      <c r="B2813">
        <v>36</v>
      </c>
      <c r="C2813">
        <v>36</v>
      </c>
      <c r="D2813">
        <v>35</v>
      </c>
      <c r="E2813">
        <v>36</v>
      </c>
      <c r="F2813">
        <v>765600</v>
      </c>
    </row>
    <row r="2814" spans="1:6">
      <c r="A2814" s="32">
        <v>39631</v>
      </c>
      <c r="B2814">
        <v>35.25</v>
      </c>
      <c r="C2814">
        <v>36</v>
      </c>
      <c r="D2814">
        <v>35.25</v>
      </c>
      <c r="E2814">
        <v>36</v>
      </c>
      <c r="F2814">
        <v>1256100</v>
      </c>
    </row>
    <row r="2815" spans="1:6">
      <c r="A2815" s="32">
        <v>39629</v>
      </c>
      <c r="B2815">
        <v>35.5</v>
      </c>
      <c r="C2815">
        <v>35.5</v>
      </c>
      <c r="D2815">
        <v>35.25</v>
      </c>
      <c r="E2815">
        <v>35.25</v>
      </c>
      <c r="F2815">
        <v>157000</v>
      </c>
    </row>
    <row r="2816" spans="1:6">
      <c r="A2816" s="32">
        <v>39626</v>
      </c>
      <c r="B2816">
        <v>34.5</v>
      </c>
      <c r="C2816">
        <v>36</v>
      </c>
      <c r="D2816">
        <v>34</v>
      </c>
      <c r="E2816">
        <v>35.5</v>
      </c>
      <c r="F2816">
        <v>967700</v>
      </c>
    </row>
    <row r="2817" spans="1:6">
      <c r="A2817" s="32">
        <v>39625</v>
      </c>
      <c r="B2817">
        <v>35</v>
      </c>
      <c r="C2817">
        <v>35.25</v>
      </c>
      <c r="D2817">
        <v>34</v>
      </c>
      <c r="E2817">
        <v>34.5</v>
      </c>
      <c r="F2817">
        <v>909300</v>
      </c>
    </row>
    <row r="2818" spans="1:6">
      <c r="A2818" s="32">
        <v>39624</v>
      </c>
      <c r="B2818">
        <v>35</v>
      </c>
      <c r="C2818">
        <v>35.5</v>
      </c>
      <c r="D2818">
        <v>35</v>
      </c>
      <c r="E2818">
        <v>35.25</v>
      </c>
      <c r="F2818">
        <v>267700</v>
      </c>
    </row>
    <row r="2819" spans="1:6">
      <c r="A2819" s="32">
        <v>39623</v>
      </c>
      <c r="B2819">
        <v>35</v>
      </c>
      <c r="C2819">
        <v>35</v>
      </c>
      <c r="D2819">
        <v>34.75</v>
      </c>
      <c r="E2819">
        <v>34.75</v>
      </c>
      <c r="F2819">
        <v>298000</v>
      </c>
    </row>
    <row r="2820" spans="1:6">
      <c r="A2820" s="32">
        <v>39622</v>
      </c>
      <c r="B2820">
        <v>35.75</v>
      </c>
      <c r="C2820">
        <v>35.75</v>
      </c>
      <c r="D2820">
        <v>34.75</v>
      </c>
      <c r="E2820">
        <v>35</v>
      </c>
      <c r="F2820">
        <v>347800</v>
      </c>
    </row>
    <row r="2821" spans="1:6">
      <c r="A2821" s="32">
        <v>39619</v>
      </c>
      <c r="B2821">
        <v>35.25</v>
      </c>
      <c r="C2821">
        <v>35.75</v>
      </c>
      <c r="D2821">
        <v>35</v>
      </c>
      <c r="E2821">
        <v>35.75</v>
      </c>
      <c r="F2821">
        <v>895900</v>
      </c>
    </row>
    <row r="2822" spans="1:6">
      <c r="A2822" s="32">
        <v>39618</v>
      </c>
      <c r="B2822">
        <v>36</v>
      </c>
      <c r="C2822">
        <v>36</v>
      </c>
      <c r="D2822">
        <v>35.25</v>
      </c>
      <c r="E2822">
        <v>36</v>
      </c>
      <c r="F2822">
        <v>1732000</v>
      </c>
    </row>
    <row r="2823" spans="1:6">
      <c r="A2823" s="32">
        <v>39617</v>
      </c>
      <c r="B2823">
        <v>36</v>
      </c>
      <c r="C2823">
        <v>37</v>
      </c>
      <c r="D2823">
        <v>35.75</v>
      </c>
      <c r="E2823">
        <v>35.75</v>
      </c>
      <c r="F2823">
        <v>1673700</v>
      </c>
    </row>
    <row r="2824" spans="1:6">
      <c r="A2824" s="32">
        <v>39616</v>
      </c>
      <c r="B2824">
        <v>36</v>
      </c>
      <c r="C2824">
        <v>36</v>
      </c>
      <c r="D2824">
        <v>35.75</v>
      </c>
      <c r="E2824">
        <v>36</v>
      </c>
      <c r="F2824">
        <v>621000</v>
      </c>
    </row>
    <row r="2825" spans="1:6">
      <c r="A2825" s="32">
        <v>39615</v>
      </c>
      <c r="B2825">
        <v>34.75</v>
      </c>
      <c r="C2825">
        <v>36.5</v>
      </c>
      <c r="D2825">
        <v>34.75</v>
      </c>
      <c r="E2825">
        <v>36</v>
      </c>
      <c r="F2825">
        <v>2149500</v>
      </c>
    </row>
    <row r="2826" spans="1:6">
      <c r="A2826" s="32">
        <v>39612</v>
      </c>
      <c r="B2826">
        <v>35.25</v>
      </c>
      <c r="C2826">
        <v>35.25</v>
      </c>
      <c r="D2826">
        <v>34.75</v>
      </c>
      <c r="E2826">
        <v>34.75</v>
      </c>
      <c r="F2826">
        <v>876600</v>
      </c>
    </row>
    <row r="2827" spans="1:6">
      <c r="A2827" s="32">
        <v>39611</v>
      </c>
      <c r="B2827">
        <v>36.25</v>
      </c>
      <c r="C2827">
        <v>36.25</v>
      </c>
      <c r="D2827">
        <v>34.75</v>
      </c>
      <c r="E2827">
        <v>35</v>
      </c>
      <c r="F2827">
        <v>1688000</v>
      </c>
    </row>
    <row r="2828" spans="1:6">
      <c r="A2828" s="32">
        <v>39610</v>
      </c>
      <c r="B2828">
        <v>37</v>
      </c>
      <c r="C2828">
        <v>37</v>
      </c>
      <c r="D2828">
        <v>36.5</v>
      </c>
      <c r="E2828">
        <v>36.5</v>
      </c>
      <c r="F2828">
        <v>299500</v>
      </c>
    </row>
    <row r="2829" spans="1:6">
      <c r="A2829" s="32">
        <v>39609</v>
      </c>
      <c r="B2829">
        <v>37.5</v>
      </c>
      <c r="C2829">
        <v>37.75</v>
      </c>
      <c r="D2829">
        <v>36.5</v>
      </c>
      <c r="E2829">
        <v>37.25</v>
      </c>
      <c r="F2829">
        <v>566900</v>
      </c>
    </row>
    <row r="2830" spans="1:6">
      <c r="A2830" s="32">
        <v>39608</v>
      </c>
      <c r="B2830">
        <v>37.5</v>
      </c>
      <c r="C2830">
        <v>37.5</v>
      </c>
      <c r="D2830">
        <v>36.75</v>
      </c>
      <c r="E2830">
        <v>37.25</v>
      </c>
      <c r="F2830">
        <v>638800</v>
      </c>
    </row>
    <row r="2831" spans="1:6">
      <c r="A2831" s="32">
        <v>39605</v>
      </c>
      <c r="B2831">
        <v>36.75</v>
      </c>
      <c r="C2831">
        <v>37.75</v>
      </c>
      <c r="D2831">
        <v>36.75</v>
      </c>
      <c r="E2831">
        <v>37.75</v>
      </c>
      <c r="F2831">
        <v>937900</v>
      </c>
    </row>
    <row r="2832" spans="1:6">
      <c r="A2832" s="32">
        <v>39604</v>
      </c>
      <c r="B2832">
        <v>36.5</v>
      </c>
      <c r="C2832">
        <v>36.75</v>
      </c>
      <c r="D2832">
        <v>35.75</v>
      </c>
      <c r="E2832">
        <v>36.75</v>
      </c>
      <c r="F2832">
        <v>936300</v>
      </c>
    </row>
    <row r="2833" spans="1:6">
      <c r="A2833" s="32">
        <v>39603</v>
      </c>
      <c r="B2833">
        <v>35.25</v>
      </c>
      <c r="C2833">
        <v>36.25</v>
      </c>
      <c r="D2833">
        <v>35.25</v>
      </c>
      <c r="E2833">
        <v>36</v>
      </c>
      <c r="F2833">
        <v>1318900</v>
      </c>
    </row>
    <row r="2834" spans="1:6">
      <c r="A2834" s="32">
        <v>39602</v>
      </c>
      <c r="B2834">
        <v>34.5</v>
      </c>
      <c r="C2834">
        <v>35.25</v>
      </c>
      <c r="D2834">
        <v>34.5</v>
      </c>
      <c r="E2834">
        <v>35.25</v>
      </c>
      <c r="F2834">
        <v>1147900</v>
      </c>
    </row>
    <row r="2835" spans="1:6">
      <c r="A2835" s="32">
        <v>39601</v>
      </c>
      <c r="B2835">
        <v>37</v>
      </c>
      <c r="C2835">
        <v>37</v>
      </c>
      <c r="D2835">
        <v>34.75</v>
      </c>
      <c r="E2835">
        <v>35</v>
      </c>
      <c r="F2835">
        <v>1286800</v>
      </c>
    </row>
    <row r="2836" spans="1:6">
      <c r="A2836" s="32">
        <v>39598</v>
      </c>
      <c r="B2836">
        <v>37.25</v>
      </c>
      <c r="C2836">
        <v>38.25</v>
      </c>
      <c r="D2836">
        <v>37.25</v>
      </c>
      <c r="E2836">
        <v>37.5</v>
      </c>
      <c r="F2836">
        <v>638200</v>
      </c>
    </row>
    <row r="2837" spans="1:6">
      <c r="A2837" s="32">
        <v>39597</v>
      </c>
      <c r="B2837">
        <v>38</v>
      </c>
      <c r="C2837">
        <v>38.25</v>
      </c>
      <c r="D2837">
        <v>37</v>
      </c>
      <c r="E2837">
        <v>37.25</v>
      </c>
      <c r="F2837">
        <v>1117500</v>
      </c>
    </row>
    <row r="2838" spans="1:6">
      <c r="A2838" s="32">
        <v>39596</v>
      </c>
      <c r="B2838">
        <v>36.5</v>
      </c>
      <c r="C2838">
        <v>38</v>
      </c>
      <c r="D2838">
        <v>36.5</v>
      </c>
      <c r="E2838">
        <v>37.75</v>
      </c>
      <c r="F2838">
        <v>1945600</v>
      </c>
    </row>
    <row r="2839" spans="1:6">
      <c r="A2839" s="32">
        <v>39595</v>
      </c>
      <c r="B2839">
        <v>35.5</v>
      </c>
      <c r="C2839">
        <v>37</v>
      </c>
      <c r="D2839">
        <v>35.5</v>
      </c>
      <c r="E2839">
        <v>36.5</v>
      </c>
      <c r="F2839">
        <v>801400</v>
      </c>
    </row>
    <row r="2840" spans="1:6">
      <c r="A2840" s="32">
        <v>39594</v>
      </c>
      <c r="B2840">
        <v>35.75</v>
      </c>
      <c r="C2840">
        <v>36</v>
      </c>
      <c r="D2840">
        <v>35</v>
      </c>
      <c r="E2840">
        <v>35.5</v>
      </c>
      <c r="F2840">
        <v>554600</v>
      </c>
    </row>
    <row r="2841" spans="1:6">
      <c r="A2841" s="32">
        <v>39591</v>
      </c>
      <c r="B2841">
        <v>34.75</v>
      </c>
      <c r="C2841">
        <v>36.5</v>
      </c>
      <c r="D2841">
        <v>34.75</v>
      </c>
      <c r="E2841">
        <v>36</v>
      </c>
      <c r="F2841">
        <v>1358200</v>
      </c>
    </row>
    <row r="2842" spans="1:6">
      <c r="A2842" s="32">
        <v>39590</v>
      </c>
      <c r="B2842">
        <v>34.5</v>
      </c>
      <c r="C2842">
        <v>34.75</v>
      </c>
      <c r="D2842">
        <v>34.25</v>
      </c>
      <c r="E2842">
        <v>34.75</v>
      </c>
      <c r="F2842">
        <v>924100</v>
      </c>
    </row>
    <row r="2843" spans="1:6">
      <c r="A2843" s="32">
        <v>39589</v>
      </c>
      <c r="B2843">
        <v>34.25</v>
      </c>
      <c r="C2843">
        <v>35</v>
      </c>
      <c r="D2843">
        <v>34</v>
      </c>
      <c r="E2843">
        <v>34.5</v>
      </c>
      <c r="F2843">
        <v>453100</v>
      </c>
    </row>
    <row r="2844" spans="1:6">
      <c r="A2844" s="32">
        <v>39588</v>
      </c>
      <c r="B2844">
        <v>35</v>
      </c>
      <c r="C2844">
        <v>35.25</v>
      </c>
      <c r="D2844">
        <v>34.25</v>
      </c>
      <c r="E2844">
        <v>34.25</v>
      </c>
      <c r="F2844">
        <v>1714200</v>
      </c>
    </row>
    <row r="2845" spans="1:6">
      <c r="A2845" s="32">
        <v>39584</v>
      </c>
      <c r="B2845">
        <v>35</v>
      </c>
      <c r="C2845">
        <v>35.5</v>
      </c>
      <c r="D2845">
        <v>34.75</v>
      </c>
      <c r="E2845">
        <v>35</v>
      </c>
      <c r="F2845">
        <v>2469300</v>
      </c>
    </row>
    <row r="2846" spans="1:6">
      <c r="A2846" s="32">
        <v>39583</v>
      </c>
      <c r="B2846">
        <v>35</v>
      </c>
      <c r="C2846">
        <v>35.5</v>
      </c>
      <c r="D2846">
        <v>34.75</v>
      </c>
      <c r="E2846">
        <v>35.25</v>
      </c>
      <c r="F2846">
        <v>2758800</v>
      </c>
    </row>
    <row r="2847" spans="1:6">
      <c r="A2847" s="32">
        <v>39582</v>
      </c>
      <c r="B2847">
        <v>35.5</v>
      </c>
      <c r="C2847">
        <v>35.75</v>
      </c>
      <c r="D2847">
        <v>35</v>
      </c>
      <c r="E2847">
        <v>35</v>
      </c>
      <c r="F2847">
        <v>260700</v>
      </c>
    </row>
    <row r="2848" spans="1:6">
      <c r="A2848" s="32">
        <v>39581</v>
      </c>
      <c r="B2848">
        <v>36</v>
      </c>
      <c r="C2848">
        <v>36.25</v>
      </c>
      <c r="D2848">
        <v>35.25</v>
      </c>
      <c r="E2848">
        <v>35.5</v>
      </c>
      <c r="F2848">
        <v>1726100</v>
      </c>
    </row>
    <row r="2849" spans="1:6">
      <c r="A2849" s="32">
        <v>39580</v>
      </c>
      <c r="B2849">
        <v>35.5</v>
      </c>
      <c r="C2849">
        <v>36.25</v>
      </c>
      <c r="D2849">
        <v>35.5</v>
      </c>
      <c r="E2849">
        <v>36</v>
      </c>
      <c r="F2849">
        <v>1974200</v>
      </c>
    </row>
    <row r="2850" spans="1:6">
      <c r="A2850" s="32">
        <v>39577</v>
      </c>
      <c r="B2850">
        <v>35.25</v>
      </c>
      <c r="C2850">
        <v>35.5</v>
      </c>
      <c r="D2850">
        <v>35</v>
      </c>
      <c r="E2850">
        <v>35.25</v>
      </c>
      <c r="F2850">
        <v>1276200</v>
      </c>
    </row>
    <row r="2851" spans="1:6">
      <c r="A2851" s="32">
        <v>39576</v>
      </c>
      <c r="B2851">
        <v>34.75</v>
      </c>
      <c r="C2851">
        <v>35.75</v>
      </c>
      <c r="D2851">
        <v>34.75</v>
      </c>
      <c r="E2851">
        <v>35</v>
      </c>
      <c r="F2851">
        <v>911200</v>
      </c>
    </row>
    <row r="2852" spans="1:6">
      <c r="A2852" s="32">
        <v>39575</v>
      </c>
      <c r="B2852">
        <v>35.5</v>
      </c>
      <c r="C2852">
        <v>35.5</v>
      </c>
      <c r="D2852">
        <v>34.25</v>
      </c>
      <c r="E2852">
        <v>35</v>
      </c>
      <c r="F2852">
        <v>1263800</v>
      </c>
    </row>
    <row r="2853" spans="1:6">
      <c r="A2853" s="32">
        <v>39574</v>
      </c>
      <c r="B2853">
        <v>33.75</v>
      </c>
      <c r="C2853">
        <v>35</v>
      </c>
      <c r="D2853">
        <v>33.75</v>
      </c>
      <c r="E2853">
        <v>35</v>
      </c>
      <c r="F2853">
        <v>2031100</v>
      </c>
    </row>
    <row r="2854" spans="1:6">
      <c r="A2854" s="32">
        <v>39570</v>
      </c>
      <c r="B2854">
        <v>32.5</v>
      </c>
      <c r="C2854">
        <v>33.25</v>
      </c>
      <c r="D2854">
        <v>32.25</v>
      </c>
      <c r="E2854">
        <v>33</v>
      </c>
      <c r="F2854">
        <v>604300</v>
      </c>
    </row>
    <row r="2855" spans="1:6">
      <c r="A2855" s="32">
        <v>39568</v>
      </c>
      <c r="B2855">
        <v>32</v>
      </c>
      <c r="C2855">
        <v>32.75</v>
      </c>
      <c r="D2855">
        <v>32</v>
      </c>
      <c r="E2855">
        <v>32.25</v>
      </c>
      <c r="F2855">
        <v>377700</v>
      </c>
    </row>
    <row r="2856" spans="1:6">
      <c r="A2856" s="32">
        <v>39567</v>
      </c>
      <c r="B2856">
        <v>32</v>
      </c>
      <c r="C2856">
        <v>32.25</v>
      </c>
      <c r="D2856">
        <v>31.75</v>
      </c>
      <c r="E2856">
        <v>32</v>
      </c>
      <c r="F2856">
        <v>514900</v>
      </c>
    </row>
    <row r="2857" spans="1:6">
      <c r="A2857" s="32">
        <v>39566</v>
      </c>
      <c r="B2857">
        <v>32.75</v>
      </c>
      <c r="C2857">
        <v>32.75</v>
      </c>
      <c r="D2857">
        <v>32.5</v>
      </c>
      <c r="E2857">
        <v>32.5</v>
      </c>
      <c r="F2857">
        <v>752100</v>
      </c>
    </row>
    <row r="2858" spans="1:6">
      <c r="A2858" s="32">
        <v>39563</v>
      </c>
      <c r="B2858">
        <v>32.5</v>
      </c>
      <c r="C2858">
        <v>32.75</v>
      </c>
      <c r="D2858">
        <v>32</v>
      </c>
      <c r="E2858">
        <v>32.5</v>
      </c>
      <c r="F2858">
        <v>420100</v>
      </c>
    </row>
    <row r="2859" spans="1:6">
      <c r="A2859" s="32">
        <v>39562</v>
      </c>
      <c r="B2859">
        <v>32.5</v>
      </c>
      <c r="C2859">
        <v>32.5</v>
      </c>
      <c r="D2859">
        <v>32.25</v>
      </c>
      <c r="E2859">
        <v>32.25</v>
      </c>
      <c r="F2859">
        <v>345000</v>
      </c>
    </row>
    <row r="2860" spans="1:6">
      <c r="A2860" s="32">
        <v>39561</v>
      </c>
      <c r="B2860">
        <v>32.5</v>
      </c>
      <c r="C2860">
        <v>32.5</v>
      </c>
      <c r="D2860">
        <v>32</v>
      </c>
      <c r="E2860">
        <v>32.25</v>
      </c>
      <c r="F2860">
        <v>554600</v>
      </c>
    </row>
    <row r="2861" spans="1:6">
      <c r="A2861" s="32">
        <v>39560</v>
      </c>
      <c r="B2861">
        <v>32</v>
      </c>
      <c r="C2861">
        <v>33</v>
      </c>
      <c r="D2861">
        <v>32</v>
      </c>
      <c r="E2861">
        <v>32.25</v>
      </c>
      <c r="F2861">
        <v>1468100</v>
      </c>
    </row>
    <row r="2862" spans="1:6">
      <c r="A2862" s="32">
        <v>39559</v>
      </c>
      <c r="B2862">
        <v>31.25</v>
      </c>
      <c r="C2862">
        <v>32</v>
      </c>
      <c r="D2862">
        <v>31.25</v>
      </c>
      <c r="E2862">
        <v>31.75</v>
      </c>
      <c r="F2862">
        <v>3431100</v>
      </c>
    </row>
    <row r="2863" spans="1:6">
      <c r="A2863" s="32">
        <v>39556</v>
      </c>
      <c r="B2863">
        <v>31.5</v>
      </c>
      <c r="C2863">
        <v>31.5</v>
      </c>
      <c r="D2863">
        <v>31</v>
      </c>
      <c r="E2863">
        <v>31.25</v>
      </c>
      <c r="F2863">
        <v>1536200</v>
      </c>
    </row>
    <row r="2864" spans="1:6">
      <c r="A2864" s="32">
        <v>39555</v>
      </c>
      <c r="B2864">
        <v>31.5</v>
      </c>
      <c r="C2864">
        <v>31.75</v>
      </c>
      <c r="D2864">
        <v>30.75</v>
      </c>
      <c r="E2864">
        <v>31</v>
      </c>
      <c r="F2864">
        <v>1925500</v>
      </c>
    </row>
    <row r="2865" spans="1:6">
      <c r="A2865" s="32">
        <v>39554</v>
      </c>
      <c r="B2865">
        <v>33</v>
      </c>
      <c r="C2865">
        <v>33.25</v>
      </c>
      <c r="D2865">
        <v>31.5</v>
      </c>
      <c r="E2865">
        <v>31.5</v>
      </c>
      <c r="F2865">
        <v>1652400</v>
      </c>
    </row>
    <row r="2866" spans="1:6">
      <c r="A2866" s="32">
        <v>39549</v>
      </c>
      <c r="B2866">
        <v>33.25</v>
      </c>
      <c r="C2866">
        <v>33.25</v>
      </c>
      <c r="D2866">
        <v>32.75</v>
      </c>
      <c r="E2866">
        <v>32.75</v>
      </c>
      <c r="F2866">
        <v>146300</v>
      </c>
    </row>
    <row r="2867" spans="1:6">
      <c r="A2867" s="32">
        <v>39548</v>
      </c>
      <c r="B2867">
        <v>33</v>
      </c>
      <c r="C2867">
        <v>33.25</v>
      </c>
      <c r="D2867">
        <v>32.75</v>
      </c>
      <c r="E2867">
        <v>33.25</v>
      </c>
      <c r="F2867">
        <v>532300</v>
      </c>
    </row>
    <row r="2868" spans="1:6">
      <c r="A2868" s="32">
        <v>39547</v>
      </c>
      <c r="B2868">
        <v>33.25</v>
      </c>
      <c r="C2868">
        <v>33.25</v>
      </c>
      <c r="D2868">
        <v>32.5</v>
      </c>
      <c r="E2868">
        <v>32.75</v>
      </c>
      <c r="F2868">
        <v>547300</v>
      </c>
    </row>
    <row r="2869" spans="1:6">
      <c r="A2869" s="32">
        <v>39546</v>
      </c>
      <c r="B2869">
        <v>33.25</v>
      </c>
      <c r="C2869">
        <v>33.5</v>
      </c>
      <c r="D2869">
        <v>33.25</v>
      </c>
      <c r="E2869">
        <v>33.25</v>
      </c>
      <c r="F2869">
        <v>287000</v>
      </c>
    </row>
    <row r="2870" spans="1:6">
      <c r="A2870" s="32">
        <v>39542</v>
      </c>
      <c r="B2870">
        <v>33.25</v>
      </c>
      <c r="C2870">
        <v>33.25</v>
      </c>
      <c r="D2870">
        <v>33</v>
      </c>
      <c r="E2870">
        <v>33</v>
      </c>
      <c r="F2870">
        <v>743500</v>
      </c>
    </row>
    <row r="2871" spans="1:6">
      <c r="A2871" s="32">
        <v>39541</v>
      </c>
      <c r="B2871">
        <v>32.75</v>
      </c>
      <c r="C2871">
        <v>33.25</v>
      </c>
      <c r="D2871">
        <v>32.75</v>
      </c>
      <c r="E2871">
        <v>33</v>
      </c>
      <c r="F2871">
        <v>1241900</v>
      </c>
    </row>
    <row r="2872" spans="1:6">
      <c r="A2872" s="32">
        <v>39540</v>
      </c>
      <c r="B2872">
        <v>34.25</v>
      </c>
      <c r="C2872">
        <v>34.25</v>
      </c>
      <c r="D2872">
        <v>32.25</v>
      </c>
      <c r="E2872">
        <v>32.75</v>
      </c>
      <c r="F2872">
        <v>4093100</v>
      </c>
    </row>
    <row r="2873" spans="1:6">
      <c r="A2873" s="32">
        <v>39539</v>
      </c>
      <c r="B2873">
        <v>34.5</v>
      </c>
      <c r="C2873">
        <v>34.5</v>
      </c>
      <c r="D2873">
        <v>33.5</v>
      </c>
      <c r="E2873">
        <v>33.75</v>
      </c>
      <c r="F2873">
        <v>1030600</v>
      </c>
    </row>
    <row r="2874" spans="1:6">
      <c r="A2874" s="32">
        <v>39538</v>
      </c>
      <c r="B2874">
        <v>34.75</v>
      </c>
      <c r="C2874">
        <v>34.75</v>
      </c>
      <c r="D2874">
        <v>34</v>
      </c>
      <c r="E2874">
        <v>34</v>
      </c>
      <c r="F2874">
        <v>674100</v>
      </c>
    </row>
    <row r="2875" spans="1:6">
      <c r="A2875" s="32">
        <v>39535</v>
      </c>
      <c r="B2875">
        <v>34.5</v>
      </c>
      <c r="C2875">
        <v>34.75</v>
      </c>
      <c r="D2875">
        <v>34.25</v>
      </c>
      <c r="E2875">
        <v>34.75</v>
      </c>
      <c r="F2875">
        <v>618600</v>
      </c>
    </row>
    <row r="2876" spans="1:6">
      <c r="A2876" s="32">
        <v>39534</v>
      </c>
      <c r="B2876">
        <v>34.5</v>
      </c>
      <c r="C2876">
        <v>34.75</v>
      </c>
      <c r="D2876">
        <v>34.5</v>
      </c>
      <c r="E2876">
        <v>34.5</v>
      </c>
      <c r="F2876">
        <v>264400</v>
      </c>
    </row>
    <row r="2877" spans="1:6">
      <c r="A2877" s="32">
        <v>39533</v>
      </c>
      <c r="B2877">
        <v>33.5</v>
      </c>
      <c r="C2877">
        <v>34.25</v>
      </c>
      <c r="D2877">
        <v>33.5</v>
      </c>
      <c r="E2877">
        <v>34.25</v>
      </c>
      <c r="F2877">
        <v>433400</v>
      </c>
    </row>
    <row r="2878" spans="1:6">
      <c r="A2878" s="32">
        <v>39532</v>
      </c>
      <c r="B2878">
        <v>34.25</v>
      </c>
      <c r="C2878">
        <v>34.25</v>
      </c>
      <c r="D2878">
        <v>33.5</v>
      </c>
      <c r="E2878">
        <v>33.5</v>
      </c>
      <c r="F2878">
        <v>682200</v>
      </c>
    </row>
    <row r="2879" spans="1:6">
      <c r="A2879" s="32">
        <v>39531</v>
      </c>
      <c r="B2879">
        <v>34</v>
      </c>
      <c r="C2879">
        <v>34.25</v>
      </c>
      <c r="D2879">
        <v>34</v>
      </c>
      <c r="E2879">
        <v>34.25</v>
      </c>
      <c r="F2879">
        <v>27300</v>
      </c>
    </row>
    <row r="2880" spans="1:6">
      <c r="A2880" s="32">
        <v>39528</v>
      </c>
      <c r="B2880">
        <v>34</v>
      </c>
      <c r="C2880">
        <v>34.25</v>
      </c>
      <c r="D2880">
        <v>34</v>
      </c>
      <c r="E2880">
        <v>34.25</v>
      </c>
      <c r="F2880">
        <v>117100</v>
      </c>
    </row>
    <row r="2881" spans="1:6">
      <c r="A2881" s="32">
        <v>39527</v>
      </c>
      <c r="B2881">
        <v>34.25</v>
      </c>
      <c r="C2881">
        <v>34.25</v>
      </c>
      <c r="D2881">
        <v>33.5</v>
      </c>
      <c r="E2881">
        <v>33.75</v>
      </c>
      <c r="F2881">
        <v>474300</v>
      </c>
    </row>
    <row r="2882" spans="1:6">
      <c r="A2882" s="32">
        <v>39526</v>
      </c>
      <c r="B2882">
        <v>34.5</v>
      </c>
      <c r="C2882">
        <v>34.5</v>
      </c>
      <c r="D2882">
        <v>34</v>
      </c>
      <c r="E2882">
        <v>34.25</v>
      </c>
      <c r="F2882">
        <v>891700</v>
      </c>
    </row>
    <row r="2883" spans="1:6">
      <c r="A2883" s="32">
        <v>39525</v>
      </c>
      <c r="B2883">
        <v>34.5</v>
      </c>
      <c r="C2883">
        <v>34.5</v>
      </c>
      <c r="D2883">
        <v>33.5</v>
      </c>
      <c r="E2883">
        <v>34.25</v>
      </c>
      <c r="F2883">
        <v>1384200</v>
      </c>
    </row>
    <row r="2884" spans="1:6">
      <c r="A2884" s="32">
        <v>39524</v>
      </c>
      <c r="B2884">
        <v>34.75</v>
      </c>
      <c r="C2884">
        <v>34.75</v>
      </c>
      <c r="D2884">
        <v>34</v>
      </c>
      <c r="E2884">
        <v>34.5</v>
      </c>
      <c r="F2884">
        <v>424400</v>
      </c>
    </row>
    <row r="2885" spans="1:6">
      <c r="A2885" s="32">
        <v>39521</v>
      </c>
      <c r="B2885">
        <v>34.75</v>
      </c>
      <c r="C2885">
        <v>35</v>
      </c>
      <c r="D2885">
        <v>34.5</v>
      </c>
      <c r="E2885">
        <v>34.75</v>
      </c>
      <c r="F2885">
        <v>708100</v>
      </c>
    </row>
    <row r="2886" spans="1:6">
      <c r="A2886" s="32">
        <v>39520</v>
      </c>
      <c r="B2886">
        <v>35</v>
      </c>
      <c r="C2886">
        <v>35.25</v>
      </c>
      <c r="D2886">
        <v>34.5</v>
      </c>
      <c r="E2886">
        <v>35</v>
      </c>
      <c r="F2886">
        <v>1366600</v>
      </c>
    </row>
    <row r="2887" spans="1:6">
      <c r="A2887" s="32">
        <v>39519</v>
      </c>
      <c r="B2887">
        <v>35.25</v>
      </c>
      <c r="C2887">
        <v>35.25</v>
      </c>
      <c r="D2887">
        <v>34.75</v>
      </c>
      <c r="E2887">
        <v>35</v>
      </c>
      <c r="F2887">
        <v>427600</v>
      </c>
    </row>
    <row r="2888" spans="1:6">
      <c r="A2888" s="32">
        <v>39518</v>
      </c>
      <c r="B2888">
        <v>34.75</v>
      </c>
      <c r="C2888">
        <v>35.25</v>
      </c>
      <c r="D2888">
        <v>34.25</v>
      </c>
      <c r="E2888">
        <v>34.75</v>
      </c>
      <c r="F2888">
        <v>463300</v>
      </c>
    </row>
    <row r="2889" spans="1:6">
      <c r="A2889" s="32">
        <v>39517</v>
      </c>
      <c r="B2889">
        <v>35</v>
      </c>
      <c r="C2889">
        <v>35.25</v>
      </c>
      <c r="D2889">
        <v>34.5</v>
      </c>
      <c r="E2889">
        <v>34.75</v>
      </c>
      <c r="F2889">
        <v>804100</v>
      </c>
    </row>
    <row r="2890" spans="1:6">
      <c r="A2890" s="32">
        <v>39514</v>
      </c>
      <c r="B2890">
        <v>35.5</v>
      </c>
      <c r="C2890">
        <v>35.5</v>
      </c>
      <c r="D2890">
        <v>34.5</v>
      </c>
      <c r="E2890">
        <v>35</v>
      </c>
      <c r="F2890">
        <v>1265800</v>
      </c>
    </row>
    <row r="2891" spans="1:6">
      <c r="A2891" s="32">
        <v>39513</v>
      </c>
      <c r="B2891">
        <v>35.75</v>
      </c>
      <c r="C2891">
        <v>35.75</v>
      </c>
      <c r="D2891">
        <v>35</v>
      </c>
      <c r="E2891">
        <v>35.5</v>
      </c>
      <c r="F2891">
        <v>808200</v>
      </c>
    </row>
    <row r="2892" spans="1:6">
      <c r="A2892" s="32">
        <v>39512</v>
      </c>
      <c r="B2892">
        <v>36.5</v>
      </c>
      <c r="C2892">
        <v>36.5</v>
      </c>
      <c r="D2892">
        <v>35.75</v>
      </c>
      <c r="E2892">
        <v>36</v>
      </c>
      <c r="F2892">
        <v>513700</v>
      </c>
    </row>
    <row r="2893" spans="1:6">
      <c r="A2893" s="32">
        <v>39511</v>
      </c>
      <c r="B2893">
        <v>36.25</v>
      </c>
      <c r="C2893">
        <v>36.75</v>
      </c>
      <c r="D2893">
        <v>36</v>
      </c>
      <c r="E2893">
        <v>36</v>
      </c>
      <c r="F2893">
        <v>931100</v>
      </c>
    </row>
    <row r="2894" spans="1:6">
      <c r="A2894" s="32">
        <v>39510</v>
      </c>
      <c r="B2894">
        <v>37.75</v>
      </c>
      <c r="C2894">
        <v>37.75</v>
      </c>
      <c r="D2894">
        <v>35.25</v>
      </c>
      <c r="E2894">
        <v>35.75</v>
      </c>
      <c r="F2894">
        <v>1397100</v>
      </c>
    </row>
    <row r="2895" spans="1:6">
      <c r="A2895" s="32">
        <v>39507</v>
      </c>
      <c r="B2895">
        <v>38.75</v>
      </c>
      <c r="C2895">
        <v>38.75</v>
      </c>
      <c r="D2895">
        <v>37</v>
      </c>
      <c r="E2895">
        <v>37</v>
      </c>
      <c r="F2895">
        <v>1657700</v>
      </c>
    </row>
    <row r="2896" spans="1:6">
      <c r="A2896" s="32">
        <v>39506</v>
      </c>
      <c r="B2896">
        <v>38.75</v>
      </c>
      <c r="C2896">
        <v>38.75</v>
      </c>
      <c r="D2896">
        <v>38.75</v>
      </c>
      <c r="E2896">
        <v>38.75</v>
      </c>
      <c r="F2896">
        <v>781700</v>
      </c>
    </row>
    <row r="2897" spans="1:6">
      <c r="A2897" s="32">
        <v>39505</v>
      </c>
      <c r="B2897">
        <v>39</v>
      </c>
      <c r="C2897">
        <v>39</v>
      </c>
      <c r="D2897">
        <v>38.5</v>
      </c>
      <c r="E2897">
        <v>38.75</v>
      </c>
      <c r="F2897">
        <v>746700</v>
      </c>
    </row>
    <row r="2898" spans="1:6">
      <c r="A2898" s="32">
        <v>39504</v>
      </c>
      <c r="B2898">
        <v>39.5</v>
      </c>
      <c r="C2898">
        <v>39.5</v>
      </c>
      <c r="D2898">
        <v>39</v>
      </c>
      <c r="E2898">
        <v>39</v>
      </c>
      <c r="F2898">
        <v>391000</v>
      </c>
    </row>
    <row r="2899" spans="1:6">
      <c r="A2899" s="32">
        <v>39503</v>
      </c>
      <c r="B2899">
        <v>39.25</v>
      </c>
      <c r="C2899">
        <v>39.5</v>
      </c>
      <c r="D2899">
        <v>39</v>
      </c>
      <c r="E2899">
        <v>39</v>
      </c>
      <c r="F2899">
        <v>219800</v>
      </c>
    </row>
    <row r="2900" spans="1:6">
      <c r="A2900" s="32">
        <v>39500</v>
      </c>
      <c r="B2900">
        <v>39.5</v>
      </c>
      <c r="C2900">
        <v>39.5</v>
      </c>
      <c r="D2900">
        <v>39.25</v>
      </c>
      <c r="E2900">
        <v>39.25</v>
      </c>
      <c r="F2900">
        <v>619700</v>
      </c>
    </row>
    <row r="2901" spans="1:6">
      <c r="A2901" s="32">
        <v>39498</v>
      </c>
      <c r="B2901">
        <v>39.75</v>
      </c>
      <c r="C2901">
        <v>39.75</v>
      </c>
      <c r="D2901">
        <v>39.25</v>
      </c>
      <c r="E2901">
        <v>39.75</v>
      </c>
      <c r="F2901">
        <v>463800</v>
      </c>
    </row>
    <row r="2902" spans="1:6">
      <c r="A2902" s="32">
        <v>39497</v>
      </c>
      <c r="B2902">
        <v>39.25</v>
      </c>
      <c r="C2902">
        <v>39.75</v>
      </c>
      <c r="D2902">
        <v>38.75</v>
      </c>
      <c r="E2902">
        <v>39.75</v>
      </c>
      <c r="F2902">
        <v>1148100</v>
      </c>
    </row>
    <row r="2903" spans="1:6">
      <c r="A2903" s="32">
        <v>39496</v>
      </c>
      <c r="B2903">
        <v>40</v>
      </c>
      <c r="C2903">
        <v>40</v>
      </c>
      <c r="D2903">
        <v>39.5</v>
      </c>
      <c r="E2903">
        <v>39.75</v>
      </c>
      <c r="F2903">
        <v>359300</v>
      </c>
    </row>
    <row r="2904" spans="1:6">
      <c r="A2904" s="32">
        <v>39493</v>
      </c>
      <c r="B2904">
        <v>39.75</v>
      </c>
      <c r="C2904">
        <v>40</v>
      </c>
      <c r="D2904">
        <v>39.75</v>
      </c>
      <c r="E2904">
        <v>40</v>
      </c>
      <c r="F2904">
        <v>376600</v>
      </c>
    </row>
    <row r="2905" spans="1:6">
      <c r="A2905" s="32">
        <v>39492</v>
      </c>
      <c r="B2905">
        <v>40</v>
      </c>
      <c r="C2905">
        <v>40.25</v>
      </c>
      <c r="D2905">
        <v>39.75</v>
      </c>
      <c r="E2905">
        <v>40</v>
      </c>
      <c r="F2905">
        <v>718100</v>
      </c>
    </row>
    <row r="2906" spans="1:6">
      <c r="A2906" s="32">
        <v>39491</v>
      </c>
      <c r="B2906">
        <v>40</v>
      </c>
      <c r="C2906">
        <v>40</v>
      </c>
      <c r="D2906">
        <v>39.75</v>
      </c>
      <c r="E2906">
        <v>39.75</v>
      </c>
      <c r="F2906">
        <v>67200</v>
      </c>
    </row>
    <row r="2907" spans="1:6">
      <c r="A2907" s="32">
        <v>39490</v>
      </c>
      <c r="B2907">
        <v>39.25</v>
      </c>
      <c r="C2907">
        <v>39.75</v>
      </c>
      <c r="D2907">
        <v>39.25</v>
      </c>
      <c r="E2907">
        <v>39.25</v>
      </c>
      <c r="F2907">
        <v>203300</v>
      </c>
    </row>
    <row r="2908" spans="1:6">
      <c r="A2908" s="32">
        <v>39489</v>
      </c>
      <c r="B2908">
        <v>39</v>
      </c>
      <c r="C2908">
        <v>39.75</v>
      </c>
      <c r="D2908">
        <v>38.75</v>
      </c>
      <c r="E2908">
        <v>39</v>
      </c>
      <c r="F2908">
        <v>458000</v>
      </c>
    </row>
    <row r="2909" spans="1:6">
      <c r="A2909" s="32">
        <v>39486</v>
      </c>
      <c r="B2909">
        <v>38</v>
      </c>
      <c r="C2909">
        <v>38.5</v>
      </c>
      <c r="D2909">
        <v>38</v>
      </c>
      <c r="E2909">
        <v>38.5</v>
      </c>
      <c r="F2909">
        <v>571200</v>
      </c>
    </row>
    <row r="2910" spans="1:6">
      <c r="A2910" s="32">
        <v>39485</v>
      </c>
      <c r="B2910">
        <v>38.25</v>
      </c>
      <c r="C2910">
        <v>38.25</v>
      </c>
      <c r="D2910">
        <v>38</v>
      </c>
      <c r="E2910">
        <v>38</v>
      </c>
      <c r="F2910">
        <v>49100</v>
      </c>
    </row>
    <row r="2911" spans="1:6">
      <c r="A2911" s="32">
        <v>39484</v>
      </c>
      <c r="B2911">
        <v>37.25</v>
      </c>
      <c r="C2911">
        <v>37.75</v>
      </c>
      <c r="D2911">
        <v>37.25</v>
      </c>
      <c r="E2911">
        <v>37.75</v>
      </c>
      <c r="F2911">
        <v>336100</v>
      </c>
    </row>
    <row r="2912" spans="1:6">
      <c r="A2912" s="32">
        <v>39483</v>
      </c>
      <c r="B2912">
        <v>38</v>
      </c>
      <c r="C2912">
        <v>38.25</v>
      </c>
      <c r="D2912">
        <v>37.75</v>
      </c>
      <c r="E2912">
        <v>38.25</v>
      </c>
      <c r="F2912">
        <v>310900</v>
      </c>
    </row>
    <row r="2913" spans="1:6">
      <c r="A2913" s="32">
        <v>39482</v>
      </c>
      <c r="B2913">
        <v>37.25</v>
      </c>
      <c r="C2913">
        <v>37.75</v>
      </c>
      <c r="D2913">
        <v>37</v>
      </c>
      <c r="E2913">
        <v>37.75</v>
      </c>
      <c r="F2913">
        <v>1245000</v>
      </c>
    </row>
    <row r="2914" spans="1:6">
      <c r="A2914" s="32">
        <v>39479</v>
      </c>
      <c r="B2914">
        <v>37</v>
      </c>
      <c r="C2914">
        <v>38</v>
      </c>
      <c r="D2914">
        <v>37</v>
      </c>
      <c r="E2914">
        <v>37</v>
      </c>
      <c r="F2914">
        <v>1425700</v>
      </c>
    </row>
    <row r="2915" spans="1:6">
      <c r="A2915" s="32">
        <v>39478</v>
      </c>
      <c r="B2915">
        <v>36</v>
      </c>
      <c r="C2915">
        <v>36.75</v>
      </c>
      <c r="D2915">
        <v>35.75</v>
      </c>
      <c r="E2915">
        <v>36.75</v>
      </c>
      <c r="F2915">
        <v>948500</v>
      </c>
    </row>
    <row r="2916" spans="1:6">
      <c r="A2916" s="32">
        <v>39477</v>
      </c>
      <c r="B2916">
        <v>35.25</v>
      </c>
      <c r="C2916">
        <v>36</v>
      </c>
      <c r="D2916">
        <v>35</v>
      </c>
      <c r="E2916">
        <v>36</v>
      </c>
      <c r="F2916">
        <v>1682200</v>
      </c>
    </row>
    <row r="2917" spans="1:6">
      <c r="A2917" s="32">
        <v>39476</v>
      </c>
      <c r="B2917">
        <v>35</v>
      </c>
      <c r="C2917">
        <v>35.5</v>
      </c>
      <c r="D2917">
        <v>34.75</v>
      </c>
      <c r="E2917">
        <v>35</v>
      </c>
      <c r="F2917">
        <v>1034500</v>
      </c>
    </row>
    <row r="2918" spans="1:6">
      <c r="A2918" s="32">
        <v>39475</v>
      </c>
      <c r="B2918">
        <v>34.5</v>
      </c>
      <c r="C2918">
        <v>35</v>
      </c>
      <c r="D2918">
        <v>34.25</v>
      </c>
      <c r="E2918">
        <v>35</v>
      </c>
      <c r="F2918">
        <v>450300</v>
      </c>
    </row>
    <row r="2919" spans="1:6">
      <c r="A2919" s="32">
        <v>39472</v>
      </c>
      <c r="B2919">
        <v>34</v>
      </c>
      <c r="C2919">
        <v>34.75</v>
      </c>
      <c r="D2919">
        <v>33.75</v>
      </c>
      <c r="E2919">
        <v>34.75</v>
      </c>
      <c r="F2919">
        <v>839700</v>
      </c>
    </row>
    <row r="2920" spans="1:6">
      <c r="A2920" s="32">
        <v>39471</v>
      </c>
      <c r="B2920">
        <v>35</v>
      </c>
      <c r="C2920">
        <v>35</v>
      </c>
      <c r="D2920">
        <v>33.25</v>
      </c>
      <c r="E2920">
        <v>33.25</v>
      </c>
      <c r="F2920">
        <v>1115000</v>
      </c>
    </row>
    <row r="2921" spans="1:6">
      <c r="A2921" s="32">
        <v>39470</v>
      </c>
      <c r="B2921">
        <v>35.5</v>
      </c>
      <c r="C2921">
        <v>35.75</v>
      </c>
      <c r="D2921">
        <v>35</v>
      </c>
      <c r="E2921">
        <v>35.75</v>
      </c>
      <c r="F2921">
        <v>539500</v>
      </c>
    </row>
    <row r="2922" spans="1:6">
      <c r="A2922" s="32">
        <v>39469</v>
      </c>
      <c r="B2922">
        <v>36.25</v>
      </c>
      <c r="C2922">
        <v>36.25</v>
      </c>
      <c r="D2922">
        <v>34.75</v>
      </c>
      <c r="E2922">
        <v>35</v>
      </c>
      <c r="F2922">
        <v>1009300</v>
      </c>
    </row>
    <row r="2923" spans="1:6">
      <c r="A2923" s="32">
        <v>39468</v>
      </c>
      <c r="B2923">
        <v>39</v>
      </c>
      <c r="C2923">
        <v>39</v>
      </c>
      <c r="D2923">
        <v>37</v>
      </c>
      <c r="E2923">
        <v>37</v>
      </c>
      <c r="F2923">
        <v>673400</v>
      </c>
    </row>
    <row r="2924" spans="1:6">
      <c r="A2924" s="32">
        <v>39465</v>
      </c>
      <c r="B2924">
        <v>39.5</v>
      </c>
      <c r="C2924">
        <v>39.5</v>
      </c>
      <c r="D2924">
        <v>38.5</v>
      </c>
      <c r="E2924">
        <v>39</v>
      </c>
      <c r="F2924">
        <v>1223000</v>
      </c>
    </row>
    <row r="2925" spans="1:6">
      <c r="A2925" s="32">
        <v>39464</v>
      </c>
      <c r="B2925">
        <v>39.25</v>
      </c>
      <c r="C2925">
        <v>39.5</v>
      </c>
      <c r="D2925">
        <v>39.25</v>
      </c>
      <c r="E2925">
        <v>39.5</v>
      </c>
      <c r="F2925">
        <v>598800</v>
      </c>
    </row>
    <row r="2926" spans="1:6">
      <c r="A2926" s="32">
        <v>39463</v>
      </c>
      <c r="B2926">
        <v>39.75</v>
      </c>
      <c r="C2926">
        <v>40</v>
      </c>
      <c r="D2926">
        <v>39.25</v>
      </c>
      <c r="E2926">
        <v>39.75</v>
      </c>
      <c r="F2926">
        <v>1725200</v>
      </c>
    </row>
    <row r="2927" spans="1:6">
      <c r="A2927" s="32">
        <v>39462</v>
      </c>
      <c r="B2927">
        <v>40.5</v>
      </c>
      <c r="C2927">
        <v>40.75</v>
      </c>
      <c r="D2927">
        <v>40.25</v>
      </c>
      <c r="E2927">
        <v>40.75</v>
      </c>
      <c r="F2927">
        <v>238700</v>
      </c>
    </row>
    <row r="2928" spans="1:6">
      <c r="A2928" s="32">
        <v>39461</v>
      </c>
      <c r="B2928">
        <v>39.75</v>
      </c>
      <c r="C2928">
        <v>40.5</v>
      </c>
      <c r="D2928">
        <v>39.75</v>
      </c>
      <c r="E2928">
        <v>40.5</v>
      </c>
      <c r="F2928">
        <v>292900</v>
      </c>
    </row>
    <row r="2929" spans="1:6">
      <c r="A2929" s="32">
        <v>39458</v>
      </c>
      <c r="B2929">
        <v>40</v>
      </c>
      <c r="C2929">
        <v>40.25</v>
      </c>
      <c r="D2929">
        <v>39.75</v>
      </c>
      <c r="E2929">
        <v>40</v>
      </c>
      <c r="F2929">
        <v>176400</v>
      </c>
    </row>
    <row r="2930" spans="1:6">
      <c r="A2930" s="32">
        <v>39457</v>
      </c>
      <c r="B2930">
        <v>40</v>
      </c>
      <c r="C2930">
        <v>41</v>
      </c>
      <c r="D2930">
        <v>39.75</v>
      </c>
      <c r="E2930">
        <v>40</v>
      </c>
      <c r="F2930">
        <v>978700</v>
      </c>
    </row>
    <row r="2931" spans="1:6">
      <c r="A2931" s="32">
        <v>39456</v>
      </c>
      <c r="B2931">
        <v>40</v>
      </c>
      <c r="C2931">
        <v>40</v>
      </c>
      <c r="D2931">
        <v>39.5</v>
      </c>
      <c r="E2931">
        <v>40</v>
      </c>
      <c r="F2931">
        <v>503300</v>
      </c>
    </row>
    <row r="2932" spans="1:6">
      <c r="A2932" s="32">
        <v>39455</v>
      </c>
      <c r="B2932">
        <v>39.75</v>
      </c>
      <c r="C2932">
        <v>40</v>
      </c>
      <c r="D2932">
        <v>39.5</v>
      </c>
      <c r="E2932">
        <v>40</v>
      </c>
      <c r="F2932">
        <v>323200</v>
      </c>
    </row>
    <row r="2933" spans="1:6">
      <c r="A2933" s="32">
        <v>39454</v>
      </c>
      <c r="B2933">
        <v>39.75</v>
      </c>
      <c r="C2933">
        <v>40</v>
      </c>
      <c r="D2933">
        <v>39.75</v>
      </c>
      <c r="E2933">
        <v>40</v>
      </c>
      <c r="F2933">
        <v>185700</v>
      </c>
    </row>
    <row r="2934" spans="1:6">
      <c r="A2934" s="32">
        <v>39451</v>
      </c>
      <c r="B2934">
        <v>40</v>
      </c>
      <c r="C2934">
        <v>40.25</v>
      </c>
      <c r="D2934">
        <v>39.5</v>
      </c>
      <c r="E2934">
        <v>39.75</v>
      </c>
      <c r="F2934">
        <v>799700</v>
      </c>
    </row>
    <row r="2935" spans="1:6">
      <c r="A2935" s="32">
        <v>39450</v>
      </c>
      <c r="B2935">
        <v>39.5</v>
      </c>
      <c r="C2935">
        <v>40.25</v>
      </c>
      <c r="D2935">
        <v>39.5</v>
      </c>
      <c r="E2935">
        <v>40.25</v>
      </c>
      <c r="F2935">
        <v>427100</v>
      </c>
    </row>
    <row r="2936" spans="1:6">
      <c r="A2936" s="32">
        <v>39449</v>
      </c>
      <c r="B2936">
        <v>41</v>
      </c>
      <c r="C2936">
        <v>41</v>
      </c>
      <c r="D2936">
        <v>39.75</v>
      </c>
      <c r="E2936">
        <v>39.75</v>
      </c>
      <c r="F2936">
        <v>99100</v>
      </c>
    </row>
    <row r="2937" spans="1:6">
      <c r="A2937" s="32">
        <v>39444</v>
      </c>
      <c r="B2937">
        <v>41</v>
      </c>
      <c r="C2937">
        <v>41</v>
      </c>
      <c r="D2937">
        <v>40</v>
      </c>
      <c r="E2937">
        <v>40.5</v>
      </c>
      <c r="F2937">
        <v>567000</v>
      </c>
    </row>
    <row r="2938" spans="1:6">
      <c r="A2938" s="32">
        <v>39443</v>
      </c>
      <c r="B2938">
        <v>40.5</v>
      </c>
      <c r="C2938">
        <v>41</v>
      </c>
      <c r="D2938">
        <v>40.25</v>
      </c>
      <c r="E2938">
        <v>41</v>
      </c>
      <c r="F2938">
        <v>489300</v>
      </c>
    </row>
    <row r="2939" spans="1:6">
      <c r="A2939" s="32">
        <v>39442</v>
      </c>
      <c r="B2939">
        <v>40.5</v>
      </c>
      <c r="C2939">
        <v>40.5</v>
      </c>
      <c r="D2939">
        <v>39.5</v>
      </c>
      <c r="E2939">
        <v>40.5</v>
      </c>
      <c r="F2939">
        <v>469800</v>
      </c>
    </row>
    <row r="2940" spans="1:6">
      <c r="A2940" s="32">
        <v>39441</v>
      </c>
      <c r="B2940">
        <v>39</v>
      </c>
      <c r="C2940">
        <v>40.5</v>
      </c>
      <c r="D2940">
        <v>39</v>
      </c>
      <c r="E2940">
        <v>40.5</v>
      </c>
      <c r="F2940">
        <v>946500</v>
      </c>
    </row>
    <row r="2941" spans="1:6">
      <c r="A2941" s="32">
        <v>39437</v>
      </c>
      <c r="B2941">
        <v>39</v>
      </c>
      <c r="C2941">
        <v>39</v>
      </c>
      <c r="D2941">
        <v>38.5</v>
      </c>
      <c r="E2941">
        <v>39</v>
      </c>
      <c r="F2941">
        <v>257500</v>
      </c>
    </row>
    <row r="2942" spans="1:6">
      <c r="A2942" s="32">
        <v>39436</v>
      </c>
      <c r="B2942">
        <v>39.5</v>
      </c>
      <c r="C2942">
        <v>39.5</v>
      </c>
      <c r="D2942">
        <v>38.25</v>
      </c>
      <c r="E2942">
        <v>38.25</v>
      </c>
      <c r="F2942">
        <v>932000</v>
      </c>
    </row>
    <row r="2943" spans="1:6">
      <c r="A2943" s="32">
        <v>39435</v>
      </c>
      <c r="B2943">
        <v>39.25</v>
      </c>
      <c r="C2943">
        <v>39.5</v>
      </c>
      <c r="D2943">
        <v>39.25</v>
      </c>
      <c r="E2943">
        <v>39.25</v>
      </c>
      <c r="F2943">
        <v>1531300</v>
      </c>
    </row>
    <row r="2944" spans="1:6">
      <c r="A2944" s="32">
        <v>39434</v>
      </c>
      <c r="B2944">
        <v>38.25</v>
      </c>
      <c r="C2944">
        <v>39.25</v>
      </c>
      <c r="D2944">
        <v>38.25</v>
      </c>
      <c r="E2944">
        <v>39.25</v>
      </c>
      <c r="F2944">
        <v>359200</v>
      </c>
    </row>
    <row r="2945" spans="1:6">
      <c r="A2945" s="32">
        <v>39433</v>
      </c>
      <c r="B2945">
        <v>38.5</v>
      </c>
      <c r="C2945">
        <v>38.75</v>
      </c>
      <c r="D2945">
        <v>38</v>
      </c>
      <c r="E2945">
        <v>38.25</v>
      </c>
      <c r="F2945">
        <v>175900</v>
      </c>
    </row>
    <row r="2946" spans="1:6">
      <c r="A2946" s="32">
        <v>39430</v>
      </c>
      <c r="B2946">
        <v>37.75</v>
      </c>
      <c r="C2946">
        <v>39.25</v>
      </c>
      <c r="D2946">
        <v>37.75</v>
      </c>
      <c r="E2946">
        <v>38.5</v>
      </c>
      <c r="F2946">
        <v>259300</v>
      </c>
    </row>
    <row r="2947" spans="1:6">
      <c r="A2947" s="32">
        <v>39429</v>
      </c>
      <c r="B2947">
        <v>38.75</v>
      </c>
      <c r="C2947">
        <v>38.75</v>
      </c>
      <c r="D2947">
        <v>38.25</v>
      </c>
      <c r="E2947">
        <v>38.25</v>
      </c>
      <c r="F2947">
        <v>318500</v>
      </c>
    </row>
    <row r="2948" spans="1:6">
      <c r="A2948" s="32">
        <v>39428</v>
      </c>
      <c r="B2948">
        <v>39</v>
      </c>
      <c r="C2948">
        <v>39</v>
      </c>
      <c r="D2948">
        <v>38.5</v>
      </c>
      <c r="E2948">
        <v>38.75</v>
      </c>
      <c r="F2948">
        <v>215400</v>
      </c>
    </row>
    <row r="2949" spans="1:6">
      <c r="A2949" s="32">
        <v>39427</v>
      </c>
      <c r="B2949">
        <v>39.5</v>
      </c>
      <c r="C2949">
        <v>39.5</v>
      </c>
      <c r="D2949">
        <v>38.75</v>
      </c>
      <c r="E2949">
        <v>39</v>
      </c>
      <c r="F2949">
        <v>575900</v>
      </c>
    </row>
    <row r="2950" spans="1:6">
      <c r="A2950" s="32">
        <v>39423</v>
      </c>
      <c r="B2950">
        <v>39.5</v>
      </c>
      <c r="C2950">
        <v>39.75</v>
      </c>
      <c r="D2950">
        <v>39</v>
      </c>
      <c r="E2950">
        <v>39.5</v>
      </c>
      <c r="F2950">
        <v>480500</v>
      </c>
    </row>
    <row r="2951" spans="1:6">
      <c r="A2951" s="32">
        <v>39422</v>
      </c>
      <c r="B2951">
        <v>39.75</v>
      </c>
      <c r="C2951">
        <v>40</v>
      </c>
      <c r="D2951">
        <v>39</v>
      </c>
      <c r="E2951">
        <v>39.5</v>
      </c>
      <c r="F2951">
        <v>488300</v>
      </c>
    </row>
    <row r="2952" spans="1:6">
      <c r="A2952" s="32">
        <v>39420</v>
      </c>
      <c r="B2952">
        <v>39</v>
      </c>
      <c r="C2952">
        <v>39.75</v>
      </c>
      <c r="D2952">
        <v>38.75</v>
      </c>
      <c r="E2952">
        <v>39.75</v>
      </c>
      <c r="F2952">
        <v>184000</v>
      </c>
    </row>
    <row r="2953" spans="1:6">
      <c r="A2953" s="32">
        <v>39419</v>
      </c>
      <c r="B2953">
        <v>40</v>
      </c>
      <c r="C2953">
        <v>40</v>
      </c>
      <c r="D2953">
        <v>39</v>
      </c>
      <c r="E2953">
        <v>39.25</v>
      </c>
      <c r="F2953">
        <v>860200</v>
      </c>
    </row>
    <row r="2954" spans="1:6">
      <c r="A2954" s="32">
        <v>39416</v>
      </c>
      <c r="B2954">
        <v>41</v>
      </c>
      <c r="C2954">
        <v>41</v>
      </c>
      <c r="D2954">
        <v>39.75</v>
      </c>
      <c r="E2954">
        <v>40</v>
      </c>
      <c r="F2954">
        <v>753600</v>
      </c>
    </row>
    <row r="2955" spans="1:6">
      <c r="A2955" s="32">
        <v>39415</v>
      </c>
      <c r="B2955">
        <v>41</v>
      </c>
      <c r="C2955">
        <v>41.25</v>
      </c>
      <c r="D2955">
        <v>40.75</v>
      </c>
      <c r="E2955">
        <v>41</v>
      </c>
      <c r="F2955">
        <v>171100</v>
      </c>
    </row>
    <row r="2956" spans="1:6">
      <c r="A2956" s="32">
        <v>39414</v>
      </c>
      <c r="B2956">
        <v>40.75</v>
      </c>
      <c r="C2956">
        <v>41</v>
      </c>
      <c r="D2956">
        <v>40.75</v>
      </c>
      <c r="E2956">
        <v>40.75</v>
      </c>
      <c r="F2956">
        <v>283500</v>
      </c>
    </row>
    <row r="2957" spans="1:6">
      <c r="A2957" s="32">
        <v>39413</v>
      </c>
      <c r="B2957">
        <v>40.75</v>
      </c>
      <c r="C2957">
        <v>40.75</v>
      </c>
      <c r="D2957">
        <v>40.75</v>
      </c>
      <c r="E2957">
        <v>40.75</v>
      </c>
      <c r="F2957">
        <v>1230700</v>
      </c>
    </row>
    <row r="2958" spans="1:6">
      <c r="A2958" s="32">
        <v>39412</v>
      </c>
      <c r="B2958">
        <v>40.75</v>
      </c>
      <c r="C2958">
        <v>41.25</v>
      </c>
      <c r="D2958">
        <v>40.5</v>
      </c>
      <c r="E2958">
        <v>41</v>
      </c>
      <c r="F2958">
        <v>431400</v>
      </c>
    </row>
    <row r="2959" spans="1:6">
      <c r="A2959" s="32">
        <v>39409</v>
      </c>
      <c r="B2959">
        <v>39.75</v>
      </c>
      <c r="C2959">
        <v>40.75</v>
      </c>
      <c r="D2959">
        <v>39.5</v>
      </c>
      <c r="E2959">
        <v>40.75</v>
      </c>
      <c r="F2959">
        <v>228100</v>
      </c>
    </row>
    <row r="2960" spans="1:6">
      <c r="A2960" s="32">
        <v>39408</v>
      </c>
      <c r="B2960">
        <v>39.5</v>
      </c>
      <c r="C2960">
        <v>39.75</v>
      </c>
      <c r="D2960">
        <v>39.5</v>
      </c>
      <c r="E2960">
        <v>39.75</v>
      </c>
      <c r="F2960">
        <v>816600</v>
      </c>
    </row>
    <row r="2961" spans="1:6">
      <c r="A2961" s="32">
        <v>39407</v>
      </c>
      <c r="B2961">
        <v>42</v>
      </c>
      <c r="C2961">
        <v>42</v>
      </c>
      <c r="D2961">
        <v>40</v>
      </c>
      <c r="E2961">
        <v>40.25</v>
      </c>
      <c r="F2961">
        <v>655200</v>
      </c>
    </row>
    <row r="2962" spans="1:6">
      <c r="A2962" s="32">
        <v>39406</v>
      </c>
      <c r="B2962">
        <v>42.25</v>
      </c>
      <c r="C2962">
        <v>42.5</v>
      </c>
      <c r="D2962">
        <v>41.5</v>
      </c>
      <c r="E2962">
        <v>42.5</v>
      </c>
      <c r="F2962">
        <v>382600</v>
      </c>
    </row>
    <row r="2963" spans="1:6">
      <c r="A2963" s="32">
        <v>39405</v>
      </c>
      <c r="B2963">
        <v>43</v>
      </c>
      <c r="C2963">
        <v>43</v>
      </c>
      <c r="D2963">
        <v>42.25</v>
      </c>
      <c r="E2963">
        <v>42.5</v>
      </c>
      <c r="F2963">
        <v>210000</v>
      </c>
    </row>
    <row r="2964" spans="1:6">
      <c r="A2964" s="32">
        <v>39402</v>
      </c>
      <c r="B2964">
        <v>43.25</v>
      </c>
      <c r="C2964">
        <v>43.25</v>
      </c>
      <c r="D2964">
        <v>42.75</v>
      </c>
      <c r="E2964">
        <v>43</v>
      </c>
      <c r="F2964">
        <v>126100</v>
      </c>
    </row>
    <row r="2965" spans="1:6">
      <c r="A2965" s="32">
        <v>39401</v>
      </c>
      <c r="B2965">
        <v>44.25</v>
      </c>
      <c r="C2965">
        <v>44.25</v>
      </c>
      <c r="D2965">
        <v>43.25</v>
      </c>
      <c r="E2965">
        <v>43.25</v>
      </c>
      <c r="F2965">
        <v>155600</v>
      </c>
    </row>
    <row r="2966" spans="1:6">
      <c r="A2966" s="32">
        <v>39400</v>
      </c>
      <c r="B2966">
        <v>43</v>
      </c>
      <c r="C2966">
        <v>44.25</v>
      </c>
      <c r="D2966">
        <v>43</v>
      </c>
      <c r="E2966">
        <v>44.25</v>
      </c>
      <c r="F2966">
        <v>690000</v>
      </c>
    </row>
    <row r="2967" spans="1:6">
      <c r="A2967" s="32">
        <v>39399</v>
      </c>
      <c r="B2967">
        <v>44</v>
      </c>
      <c r="C2967">
        <v>44</v>
      </c>
      <c r="D2967">
        <v>43.5</v>
      </c>
      <c r="E2967">
        <v>44</v>
      </c>
      <c r="F2967">
        <v>347300</v>
      </c>
    </row>
    <row r="2968" spans="1:6">
      <c r="A2968" s="32">
        <v>39398</v>
      </c>
      <c r="B2968">
        <v>42.5</v>
      </c>
      <c r="C2968">
        <v>44.75</v>
      </c>
      <c r="D2968">
        <v>42.5</v>
      </c>
      <c r="E2968">
        <v>44.75</v>
      </c>
      <c r="F2968">
        <v>298400</v>
      </c>
    </row>
    <row r="2969" spans="1:6">
      <c r="A2969" s="32">
        <v>39395</v>
      </c>
      <c r="B2969">
        <v>43</v>
      </c>
      <c r="C2969">
        <v>43.5</v>
      </c>
      <c r="D2969">
        <v>43</v>
      </c>
      <c r="E2969">
        <v>43.5</v>
      </c>
      <c r="F2969">
        <v>158000</v>
      </c>
    </row>
    <row r="2970" spans="1:6">
      <c r="A2970" s="32">
        <v>39394</v>
      </c>
      <c r="B2970">
        <v>43</v>
      </c>
      <c r="C2970">
        <v>43.5</v>
      </c>
      <c r="D2970">
        <v>43</v>
      </c>
      <c r="E2970">
        <v>43.25</v>
      </c>
      <c r="F2970">
        <v>319300</v>
      </c>
    </row>
    <row r="2971" spans="1:6">
      <c r="A2971" s="32">
        <v>39393</v>
      </c>
      <c r="B2971">
        <v>44</v>
      </c>
      <c r="C2971">
        <v>44.25</v>
      </c>
      <c r="D2971">
        <v>43.25</v>
      </c>
      <c r="E2971">
        <v>43.75</v>
      </c>
      <c r="F2971">
        <v>772900</v>
      </c>
    </row>
    <row r="2972" spans="1:6">
      <c r="A2972" s="32">
        <v>39392</v>
      </c>
      <c r="B2972">
        <v>43.5</v>
      </c>
      <c r="C2972">
        <v>44</v>
      </c>
      <c r="D2972">
        <v>43.5</v>
      </c>
      <c r="E2972">
        <v>44</v>
      </c>
      <c r="F2972">
        <v>270800</v>
      </c>
    </row>
    <row r="2973" spans="1:6">
      <c r="A2973" s="32">
        <v>39391</v>
      </c>
      <c r="B2973">
        <v>43.5</v>
      </c>
      <c r="C2973">
        <v>43.5</v>
      </c>
      <c r="D2973">
        <v>42.75</v>
      </c>
      <c r="E2973">
        <v>43.25</v>
      </c>
      <c r="F2973">
        <v>735400</v>
      </c>
    </row>
    <row r="2974" spans="1:6">
      <c r="A2974" s="32">
        <v>39388</v>
      </c>
      <c r="B2974">
        <v>44</v>
      </c>
      <c r="C2974">
        <v>44</v>
      </c>
      <c r="D2974">
        <v>43.25</v>
      </c>
      <c r="E2974">
        <v>43.75</v>
      </c>
      <c r="F2974">
        <v>549900</v>
      </c>
    </row>
    <row r="2975" spans="1:6">
      <c r="A2975" s="32">
        <v>39387</v>
      </c>
      <c r="B2975">
        <v>44.75</v>
      </c>
      <c r="C2975">
        <v>44.75</v>
      </c>
      <c r="D2975">
        <v>43.75</v>
      </c>
      <c r="E2975">
        <v>44.25</v>
      </c>
      <c r="F2975">
        <v>655400</v>
      </c>
    </row>
    <row r="2976" spans="1:6">
      <c r="A2976" s="32">
        <v>39386</v>
      </c>
      <c r="B2976">
        <v>45</v>
      </c>
      <c r="C2976">
        <v>45</v>
      </c>
      <c r="D2976">
        <v>44.25</v>
      </c>
      <c r="E2976">
        <v>44.25</v>
      </c>
      <c r="F2976">
        <v>502200</v>
      </c>
    </row>
    <row r="2977" spans="1:6">
      <c r="A2977" s="32">
        <v>39385</v>
      </c>
      <c r="B2977">
        <v>45.5</v>
      </c>
      <c r="C2977">
        <v>45.5</v>
      </c>
      <c r="D2977">
        <v>44.75</v>
      </c>
      <c r="E2977">
        <v>44.75</v>
      </c>
      <c r="F2977">
        <v>612400</v>
      </c>
    </row>
    <row r="2978" spans="1:6">
      <c r="A2978" s="32">
        <v>39384</v>
      </c>
      <c r="B2978">
        <v>46</v>
      </c>
      <c r="C2978">
        <v>46.25</v>
      </c>
      <c r="D2978">
        <v>45.25</v>
      </c>
      <c r="E2978">
        <v>45.5</v>
      </c>
      <c r="F2978">
        <v>1468200</v>
      </c>
    </row>
    <row r="2979" spans="1:6">
      <c r="A2979" s="32">
        <v>39381</v>
      </c>
      <c r="B2979">
        <v>45</v>
      </c>
      <c r="C2979">
        <v>45</v>
      </c>
      <c r="D2979">
        <v>44.5</v>
      </c>
      <c r="E2979">
        <v>44.5</v>
      </c>
      <c r="F2979">
        <v>254800</v>
      </c>
    </row>
    <row r="2980" spans="1:6">
      <c r="A2980" s="32">
        <v>39380</v>
      </c>
      <c r="B2980">
        <v>44.75</v>
      </c>
      <c r="C2980">
        <v>45</v>
      </c>
      <c r="D2980">
        <v>44.25</v>
      </c>
      <c r="E2980">
        <v>44.75</v>
      </c>
      <c r="F2980">
        <v>943000</v>
      </c>
    </row>
    <row r="2981" spans="1:6">
      <c r="A2981" s="32">
        <v>39379</v>
      </c>
      <c r="B2981">
        <v>45</v>
      </c>
      <c r="C2981">
        <v>45</v>
      </c>
      <c r="D2981">
        <v>44.75</v>
      </c>
      <c r="E2981">
        <v>45</v>
      </c>
      <c r="F2981">
        <v>1052700</v>
      </c>
    </row>
    <row r="2982" spans="1:6">
      <c r="A2982" s="32">
        <v>39377</v>
      </c>
      <c r="B2982">
        <v>44.75</v>
      </c>
      <c r="C2982">
        <v>45</v>
      </c>
      <c r="D2982">
        <v>44.5</v>
      </c>
      <c r="E2982">
        <v>44.75</v>
      </c>
      <c r="F2982">
        <v>517300</v>
      </c>
    </row>
    <row r="2983" spans="1:6">
      <c r="A2983" s="32">
        <v>39374</v>
      </c>
      <c r="B2983">
        <v>45.25</v>
      </c>
      <c r="C2983">
        <v>45.5</v>
      </c>
      <c r="D2983">
        <v>45</v>
      </c>
      <c r="E2983">
        <v>45.5</v>
      </c>
      <c r="F2983">
        <v>878300</v>
      </c>
    </row>
    <row r="2984" spans="1:6">
      <c r="A2984" s="32">
        <v>39373</v>
      </c>
      <c r="B2984">
        <v>44.25</v>
      </c>
      <c r="C2984">
        <v>44.75</v>
      </c>
      <c r="D2984">
        <v>44</v>
      </c>
      <c r="E2984">
        <v>44.75</v>
      </c>
      <c r="F2984">
        <v>238200</v>
      </c>
    </row>
    <row r="2985" spans="1:6">
      <c r="A2985" s="32">
        <v>39372</v>
      </c>
      <c r="B2985">
        <v>45.5</v>
      </c>
      <c r="C2985">
        <v>45.75</v>
      </c>
      <c r="D2985">
        <v>44.25</v>
      </c>
      <c r="E2985">
        <v>44.25</v>
      </c>
      <c r="F2985">
        <v>382000</v>
      </c>
    </row>
    <row r="2986" spans="1:6">
      <c r="A2986" s="32">
        <v>39371</v>
      </c>
      <c r="B2986">
        <v>45.5</v>
      </c>
      <c r="C2986">
        <v>45.5</v>
      </c>
      <c r="D2986">
        <v>45</v>
      </c>
      <c r="E2986">
        <v>45.25</v>
      </c>
      <c r="F2986">
        <v>366700</v>
      </c>
    </row>
    <row r="2987" spans="1:6">
      <c r="A2987" s="32">
        <v>39370</v>
      </c>
      <c r="B2987">
        <v>46.5</v>
      </c>
      <c r="C2987">
        <v>46.5</v>
      </c>
      <c r="D2987">
        <v>45.75</v>
      </c>
      <c r="E2987">
        <v>46</v>
      </c>
      <c r="F2987">
        <v>566200</v>
      </c>
    </row>
    <row r="2988" spans="1:6">
      <c r="A2988" s="32">
        <v>39367</v>
      </c>
      <c r="B2988">
        <v>46.25</v>
      </c>
      <c r="C2988">
        <v>46.5</v>
      </c>
      <c r="D2988">
        <v>46</v>
      </c>
      <c r="E2988">
        <v>46.25</v>
      </c>
      <c r="F2988">
        <v>521400</v>
      </c>
    </row>
    <row r="2989" spans="1:6">
      <c r="A2989" s="32">
        <v>39366</v>
      </c>
      <c r="B2989">
        <v>46</v>
      </c>
      <c r="C2989">
        <v>46.75</v>
      </c>
      <c r="D2989">
        <v>45.75</v>
      </c>
      <c r="E2989">
        <v>46.25</v>
      </c>
      <c r="F2989">
        <v>308400</v>
      </c>
    </row>
    <row r="2990" spans="1:6">
      <c r="A2990" s="32">
        <v>39365</v>
      </c>
      <c r="B2990">
        <v>46</v>
      </c>
      <c r="C2990">
        <v>46</v>
      </c>
      <c r="D2990">
        <v>45.75</v>
      </c>
      <c r="E2990">
        <v>46</v>
      </c>
      <c r="F2990">
        <v>258200</v>
      </c>
    </row>
    <row r="2991" spans="1:6">
      <c r="A2991" s="32">
        <v>39364</v>
      </c>
      <c r="B2991">
        <v>45.5</v>
      </c>
      <c r="C2991">
        <v>46</v>
      </c>
      <c r="D2991">
        <v>45.5</v>
      </c>
      <c r="E2991">
        <v>45.5</v>
      </c>
      <c r="F2991">
        <v>861900</v>
      </c>
    </row>
    <row r="2992" spans="1:6">
      <c r="A2992" s="32">
        <v>39363</v>
      </c>
      <c r="B2992">
        <v>45.5</v>
      </c>
      <c r="C2992">
        <v>45.75</v>
      </c>
      <c r="D2992">
        <v>45.5</v>
      </c>
      <c r="E2992">
        <v>45.75</v>
      </c>
      <c r="F2992">
        <v>265300</v>
      </c>
    </row>
    <row r="2993" spans="1:6">
      <c r="A2993" s="32">
        <v>39360</v>
      </c>
      <c r="B2993">
        <v>45.5</v>
      </c>
      <c r="C2993">
        <v>45.75</v>
      </c>
      <c r="D2993">
        <v>45.5</v>
      </c>
      <c r="E2993">
        <v>45.5</v>
      </c>
      <c r="F2993">
        <v>320600</v>
      </c>
    </row>
    <row r="2994" spans="1:6">
      <c r="A2994" s="32">
        <v>39359</v>
      </c>
      <c r="B2994">
        <v>45</v>
      </c>
      <c r="C2994">
        <v>45.5</v>
      </c>
      <c r="D2994">
        <v>45</v>
      </c>
      <c r="E2994">
        <v>45.5</v>
      </c>
      <c r="F2994">
        <v>222200</v>
      </c>
    </row>
    <row r="2995" spans="1:6">
      <c r="A2995" s="32">
        <v>39358</v>
      </c>
      <c r="B2995">
        <v>46</v>
      </c>
      <c r="C2995">
        <v>46.25</v>
      </c>
      <c r="D2995">
        <v>45.25</v>
      </c>
      <c r="E2995">
        <v>45.25</v>
      </c>
      <c r="F2995">
        <v>351700</v>
      </c>
    </row>
    <row r="2996" spans="1:6">
      <c r="A2996" s="32">
        <v>39357</v>
      </c>
      <c r="B2996">
        <v>45.5</v>
      </c>
      <c r="C2996">
        <v>46.25</v>
      </c>
      <c r="D2996">
        <v>45.5</v>
      </c>
      <c r="E2996">
        <v>46</v>
      </c>
      <c r="F2996">
        <v>330900</v>
      </c>
    </row>
    <row r="2997" spans="1:6">
      <c r="A2997" s="32">
        <v>39356</v>
      </c>
      <c r="B2997">
        <v>44.75</v>
      </c>
      <c r="C2997">
        <v>45.5</v>
      </c>
      <c r="D2997">
        <v>44.75</v>
      </c>
      <c r="E2997">
        <v>45.25</v>
      </c>
      <c r="F2997">
        <v>64300</v>
      </c>
    </row>
    <row r="2998" spans="1:6">
      <c r="A2998" s="32">
        <v>39353</v>
      </c>
      <c r="B2998">
        <v>45.25</v>
      </c>
      <c r="C2998">
        <v>45.5</v>
      </c>
      <c r="D2998">
        <v>44.75</v>
      </c>
      <c r="E2998">
        <v>44.75</v>
      </c>
      <c r="F2998">
        <v>474900</v>
      </c>
    </row>
    <row r="2999" spans="1:6">
      <c r="A2999" s="32">
        <v>39352</v>
      </c>
      <c r="B2999">
        <v>45.5</v>
      </c>
      <c r="C2999">
        <v>46</v>
      </c>
      <c r="D2999">
        <v>45.25</v>
      </c>
      <c r="E2999">
        <v>45.5</v>
      </c>
      <c r="F2999">
        <v>799300</v>
      </c>
    </row>
    <row r="3000" spans="1:6">
      <c r="A3000" s="32">
        <v>39351</v>
      </c>
      <c r="B3000">
        <v>43.5</v>
      </c>
      <c r="C3000">
        <v>45.5</v>
      </c>
      <c r="D3000">
        <v>43.25</v>
      </c>
      <c r="E3000">
        <v>45.5</v>
      </c>
      <c r="F3000">
        <v>795200</v>
      </c>
    </row>
    <row r="3001" spans="1:6">
      <c r="A3001" s="32">
        <v>39350</v>
      </c>
      <c r="B3001">
        <v>43</v>
      </c>
      <c r="C3001">
        <v>43.5</v>
      </c>
      <c r="D3001">
        <v>42.75</v>
      </c>
      <c r="E3001">
        <v>43.25</v>
      </c>
      <c r="F3001">
        <v>878300</v>
      </c>
    </row>
    <row r="3002" spans="1:6">
      <c r="A3002" s="32">
        <v>39349</v>
      </c>
      <c r="B3002">
        <v>42.75</v>
      </c>
      <c r="C3002">
        <v>43</v>
      </c>
      <c r="D3002">
        <v>42.75</v>
      </c>
      <c r="E3002">
        <v>42.75</v>
      </c>
      <c r="F3002">
        <v>413300</v>
      </c>
    </row>
    <row r="3003" spans="1:6">
      <c r="A3003" s="32">
        <v>39346</v>
      </c>
      <c r="B3003">
        <v>42</v>
      </c>
      <c r="C3003">
        <v>43</v>
      </c>
      <c r="D3003">
        <v>42</v>
      </c>
      <c r="E3003">
        <v>42.75</v>
      </c>
      <c r="F3003">
        <v>254600</v>
      </c>
    </row>
    <row r="3004" spans="1:6">
      <c r="A3004" s="32">
        <v>39345</v>
      </c>
      <c r="B3004">
        <v>43</v>
      </c>
      <c r="C3004">
        <v>43</v>
      </c>
      <c r="D3004">
        <v>42</v>
      </c>
      <c r="E3004">
        <v>42</v>
      </c>
      <c r="F3004">
        <v>330000</v>
      </c>
    </row>
    <row r="3005" spans="1:6">
      <c r="A3005" s="32">
        <v>39344</v>
      </c>
      <c r="B3005">
        <v>43</v>
      </c>
      <c r="C3005">
        <v>43</v>
      </c>
      <c r="D3005">
        <v>43</v>
      </c>
      <c r="E3005">
        <v>43</v>
      </c>
      <c r="F3005">
        <v>159700</v>
      </c>
    </row>
    <row r="3006" spans="1:6">
      <c r="A3006" s="32">
        <v>39343</v>
      </c>
      <c r="B3006">
        <v>43</v>
      </c>
      <c r="C3006">
        <v>43.25</v>
      </c>
      <c r="D3006">
        <v>42.75</v>
      </c>
      <c r="E3006">
        <v>43.25</v>
      </c>
      <c r="F3006">
        <v>321300</v>
      </c>
    </row>
    <row r="3007" spans="1:6">
      <c r="A3007" s="32">
        <v>39342</v>
      </c>
      <c r="B3007">
        <v>43.25</v>
      </c>
      <c r="C3007">
        <v>43.25</v>
      </c>
      <c r="D3007">
        <v>43</v>
      </c>
      <c r="E3007">
        <v>43</v>
      </c>
      <c r="F3007">
        <v>120600</v>
      </c>
    </row>
    <row r="3008" spans="1:6">
      <c r="A3008" s="32">
        <v>39339</v>
      </c>
      <c r="B3008">
        <v>43.25</v>
      </c>
      <c r="C3008">
        <v>43.25</v>
      </c>
      <c r="D3008">
        <v>43</v>
      </c>
      <c r="E3008">
        <v>43</v>
      </c>
      <c r="F3008">
        <v>147200</v>
      </c>
    </row>
    <row r="3009" spans="1:6">
      <c r="A3009" s="32">
        <v>39338</v>
      </c>
      <c r="B3009">
        <v>43.25</v>
      </c>
      <c r="C3009">
        <v>43.75</v>
      </c>
      <c r="D3009">
        <v>43.25</v>
      </c>
      <c r="E3009">
        <v>43.25</v>
      </c>
      <c r="F3009">
        <v>42700</v>
      </c>
    </row>
    <row r="3010" spans="1:6">
      <c r="A3010" s="32">
        <v>39337</v>
      </c>
      <c r="B3010">
        <v>43</v>
      </c>
      <c r="C3010">
        <v>43.25</v>
      </c>
      <c r="D3010">
        <v>43</v>
      </c>
      <c r="E3010">
        <v>43</v>
      </c>
      <c r="F3010">
        <v>168000</v>
      </c>
    </row>
    <row r="3011" spans="1:6">
      <c r="A3011" s="32">
        <v>39336</v>
      </c>
      <c r="B3011">
        <v>42.75</v>
      </c>
      <c r="C3011">
        <v>43</v>
      </c>
      <c r="D3011">
        <v>42.75</v>
      </c>
      <c r="E3011">
        <v>43</v>
      </c>
      <c r="F3011">
        <v>265300</v>
      </c>
    </row>
    <row r="3012" spans="1:6">
      <c r="A3012" s="32">
        <v>39335</v>
      </c>
      <c r="B3012">
        <v>43.5</v>
      </c>
      <c r="C3012">
        <v>43.5</v>
      </c>
      <c r="D3012">
        <v>42.75</v>
      </c>
      <c r="E3012">
        <v>43</v>
      </c>
      <c r="F3012">
        <v>280800</v>
      </c>
    </row>
    <row r="3013" spans="1:6">
      <c r="A3013" s="32">
        <v>39332</v>
      </c>
      <c r="B3013">
        <v>44.5</v>
      </c>
      <c r="C3013">
        <v>44.5</v>
      </c>
      <c r="D3013">
        <v>43.75</v>
      </c>
      <c r="E3013">
        <v>44</v>
      </c>
      <c r="F3013">
        <v>206700</v>
      </c>
    </row>
    <row r="3014" spans="1:6">
      <c r="A3014" s="32">
        <v>39331</v>
      </c>
      <c r="B3014">
        <v>44.5</v>
      </c>
      <c r="C3014">
        <v>44.75</v>
      </c>
      <c r="D3014">
        <v>43.75</v>
      </c>
      <c r="E3014">
        <v>44.25</v>
      </c>
      <c r="F3014">
        <v>273900</v>
      </c>
    </row>
    <row r="3015" spans="1:6">
      <c r="A3015" s="32">
        <v>39330</v>
      </c>
      <c r="B3015">
        <v>44</v>
      </c>
      <c r="C3015">
        <v>44.75</v>
      </c>
      <c r="D3015">
        <v>44</v>
      </c>
      <c r="E3015">
        <v>44.5</v>
      </c>
      <c r="F3015">
        <v>241200</v>
      </c>
    </row>
    <row r="3016" spans="1:6">
      <c r="A3016" s="32">
        <v>39329</v>
      </c>
      <c r="B3016">
        <v>44</v>
      </c>
      <c r="C3016">
        <v>44.25</v>
      </c>
      <c r="D3016">
        <v>43.75</v>
      </c>
      <c r="E3016">
        <v>44</v>
      </c>
      <c r="F3016">
        <v>122200</v>
      </c>
    </row>
    <row r="3017" spans="1:6">
      <c r="A3017" s="32">
        <v>39328</v>
      </c>
      <c r="B3017">
        <v>43.5</v>
      </c>
      <c r="C3017">
        <v>43.75</v>
      </c>
      <c r="D3017">
        <v>43</v>
      </c>
      <c r="E3017">
        <v>43.5</v>
      </c>
      <c r="F3017">
        <v>142000</v>
      </c>
    </row>
    <row r="3018" spans="1:6">
      <c r="A3018" s="32">
        <v>39325</v>
      </c>
      <c r="B3018">
        <v>43.5</v>
      </c>
      <c r="C3018">
        <v>44</v>
      </c>
      <c r="D3018">
        <v>43.25</v>
      </c>
      <c r="E3018">
        <v>43.75</v>
      </c>
      <c r="F3018">
        <v>311200</v>
      </c>
    </row>
    <row r="3019" spans="1:6">
      <c r="A3019" s="32">
        <v>39324</v>
      </c>
      <c r="B3019">
        <v>43.5</v>
      </c>
      <c r="C3019">
        <v>43.5</v>
      </c>
      <c r="D3019">
        <v>43.25</v>
      </c>
      <c r="E3019">
        <v>43.25</v>
      </c>
      <c r="F3019">
        <v>70900</v>
      </c>
    </row>
    <row r="3020" spans="1:6">
      <c r="A3020" s="32">
        <v>39323</v>
      </c>
      <c r="B3020">
        <v>43.25</v>
      </c>
      <c r="C3020">
        <v>43.75</v>
      </c>
      <c r="D3020">
        <v>42.75</v>
      </c>
      <c r="E3020">
        <v>43.75</v>
      </c>
      <c r="F3020">
        <v>413400</v>
      </c>
    </row>
    <row r="3021" spans="1:6">
      <c r="A3021" s="32">
        <v>39322</v>
      </c>
      <c r="B3021">
        <v>43.75</v>
      </c>
      <c r="C3021">
        <v>44</v>
      </c>
      <c r="D3021">
        <v>43</v>
      </c>
      <c r="E3021">
        <v>43.75</v>
      </c>
      <c r="F3021">
        <v>181900</v>
      </c>
    </row>
    <row r="3022" spans="1:6">
      <c r="A3022" s="32">
        <v>39321</v>
      </c>
      <c r="B3022">
        <v>43.75</v>
      </c>
      <c r="C3022">
        <v>43.75</v>
      </c>
      <c r="D3022">
        <v>43.25</v>
      </c>
      <c r="E3022">
        <v>43.5</v>
      </c>
      <c r="F3022">
        <v>321700</v>
      </c>
    </row>
    <row r="3023" spans="1:6">
      <c r="A3023" s="32">
        <v>39318</v>
      </c>
      <c r="B3023">
        <v>43.5</v>
      </c>
      <c r="C3023">
        <v>43.75</v>
      </c>
      <c r="D3023">
        <v>43</v>
      </c>
      <c r="E3023">
        <v>43.5</v>
      </c>
      <c r="F3023">
        <v>114900</v>
      </c>
    </row>
    <row r="3024" spans="1:6">
      <c r="A3024" s="32">
        <v>39317</v>
      </c>
      <c r="B3024">
        <v>42.75</v>
      </c>
      <c r="C3024">
        <v>43.75</v>
      </c>
      <c r="D3024">
        <v>42.25</v>
      </c>
      <c r="E3024">
        <v>43.5</v>
      </c>
      <c r="F3024">
        <v>1180100</v>
      </c>
    </row>
    <row r="3025" spans="1:6">
      <c r="A3025" s="32">
        <v>39316</v>
      </c>
      <c r="B3025">
        <v>41.5</v>
      </c>
      <c r="C3025">
        <v>41.75</v>
      </c>
      <c r="D3025">
        <v>41.25</v>
      </c>
      <c r="E3025">
        <v>41.75</v>
      </c>
      <c r="F3025">
        <v>470700</v>
      </c>
    </row>
    <row r="3026" spans="1:6">
      <c r="A3026" s="32">
        <v>39315</v>
      </c>
      <c r="B3026">
        <v>42.75</v>
      </c>
      <c r="C3026">
        <v>43.5</v>
      </c>
      <c r="D3026">
        <v>41</v>
      </c>
      <c r="E3026">
        <v>41</v>
      </c>
      <c r="F3026">
        <v>1280600</v>
      </c>
    </row>
    <row r="3027" spans="1:6">
      <c r="A3027" s="32">
        <v>39314</v>
      </c>
      <c r="B3027">
        <v>43</v>
      </c>
      <c r="C3027">
        <v>43</v>
      </c>
      <c r="D3027">
        <v>42.5</v>
      </c>
      <c r="E3027">
        <v>43</v>
      </c>
      <c r="F3027">
        <v>688100</v>
      </c>
    </row>
    <row r="3028" spans="1:6">
      <c r="A3028" s="32">
        <v>39311</v>
      </c>
      <c r="B3028">
        <v>39.25</v>
      </c>
      <c r="C3028">
        <v>42</v>
      </c>
      <c r="D3028">
        <v>38.25</v>
      </c>
      <c r="E3028">
        <v>42</v>
      </c>
      <c r="F3028">
        <v>1505200</v>
      </c>
    </row>
    <row r="3029" spans="1:6">
      <c r="A3029" s="32">
        <v>39310</v>
      </c>
      <c r="B3029">
        <v>39.75</v>
      </c>
      <c r="C3029">
        <v>39.75</v>
      </c>
      <c r="D3029">
        <v>37.5</v>
      </c>
      <c r="E3029">
        <v>39.5</v>
      </c>
      <c r="F3029">
        <v>4096700</v>
      </c>
    </row>
    <row r="3030" spans="1:6">
      <c r="A3030" s="32">
        <v>39309</v>
      </c>
      <c r="B3030">
        <v>42.25</v>
      </c>
      <c r="C3030">
        <v>42.5</v>
      </c>
      <c r="D3030">
        <v>41</v>
      </c>
      <c r="E3030">
        <v>41</v>
      </c>
      <c r="F3030">
        <v>765400</v>
      </c>
    </row>
    <row r="3031" spans="1:6">
      <c r="A3031" s="32">
        <v>39308</v>
      </c>
      <c r="B3031">
        <v>45.25</v>
      </c>
      <c r="C3031">
        <v>45.25</v>
      </c>
      <c r="D3031">
        <v>43.25</v>
      </c>
      <c r="E3031">
        <v>43.5</v>
      </c>
      <c r="F3031">
        <v>486900</v>
      </c>
    </row>
    <row r="3032" spans="1:6">
      <c r="A3032" s="32">
        <v>39304</v>
      </c>
      <c r="B3032">
        <v>45</v>
      </c>
      <c r="C3032">
        <v>45.5</v>
      </c>
      <c r="D3032">
        <v>44.5</v>
      </c>
      <c r="E3032">
        <v>45.25</v>
      </c>
      <c r="F3032">
        <v>441100</v>
      </c>
    </row>
    <row r="3033" spans="1:6">
      <c r="A3033" s="32">
        <v>39303</v>
      </c>
      <c r="B3033">
        <v>46</v>
      </c>
      <c r="C3033">
        <v>46</v>
      </c>
      <c r="D3033">
        <v>45.75</v>
      </c>
      <c r="E3033">
        <v>45.75</v>
      </c>
      <c r="F3033">
        <v>519000</v>
      </c>
    </row>
    <row r="3034" spans="1:6">
      <c r="A3034" s="32">
        <v>39302</v>
      </c>
      <c r="B3034">
        <v>46</v>
      </c>
      <c r="C3034">
        <v>46</v>
      </c>
      <c r="D3034">
        <v>45.5</v>
      </c>
      <c r="E3034">
        <v>46</v>
      </c>
      <c r="F3034">
        <v>499300</v>
      </c>
    </row>
    <row r="3035" spans="1:6">
      <c r="A3035" s="32">
        <v>39301</v>
      </c>
      <c r="B3035">
        <v>46</v>
      </c>
      <c r="C3035">
        <v>46.25</v>
      </c>
      <c r="D3035">
        <v>46</v>
      </c>
      <c r="E3035">
        <v>46.25</v>
      </c>
      <c r="F3035">
        <v>203900</v>
      </c>
    </row>
    <row r="3036" spans="1:6">
      <c r="A3036" s="32">
        <v>39300</v>
      </c>
      <c r="B3036">
        <v>46.25</v>
      </c>
      <c r="C3036">
        <v>46.25</v>
      </c>
      <c r="D3036">
        <v>45.75</v>
      </c>
      <c r="E3036">
        <v>46</v>
      </c>
      <c r="F3036">
        <v>217700</v>
      </c>
    </row>
    <row r="3037" spans="1:6">
      <c r="A3037" s="32">
        <v>39297</v>
      </c>
      <c r="B3037">
        <v>46.5</v>
      </c>
      <c r="C3037">
        <v>46.75</v>
      </c>
      <c r="D3037">
        <v>46.25</v>
      </c>
      <c r="E3037">
        <v>46.5</v>
      </c>
      <c r="F3037">
        <v>283500</v>
      </c>
    </row>
    <row r="3038" spans="1:6">
      <c r="A3038" s="32">
        <v>39296</v>
      </c>
      <c r="B3038">
        <v>47.25</v>
      </c>
      <c r="C3038">
        <v>47.25</v>
      </c>
      <c r="D3038">
        <v>46</v>
      </c>
      <c r="E3038">
        <v>46.5</v>
      </c>
      <c r="F3038">
        <v>303000</v>
      </c>
    </row>
    <row r="3039" spans="1:6">
      <c r="A3039" s="32">
        <v>39295</v>
      </c>
      <c r="B3039">
        <v>47.5</v>
      </c>
      <c r="C3039">
        <v>47.5</v>
      </c>
      <c r="D3039">
        <v>46.5</v>
      </c>
      <c r="E3039">
        <v>46.5</v>
      </c>
      <c r="F3039">
        <v>598400</v>
      </c>
    </row>
    <row r="3040" spans="1:6">
      <c r="A3040" s="32">
        <v>39294</v>
      </c>
      <c r="B3040">
        <v>48</v>
      </c>
      <c r="C3040">
        <v>48</v>
      </c>
      <c r="D3040">
        <v>47.5</v>
      </c>
      <c r="E3040">
        <v>47.75</v>
      </c>
      <c r="F3040">
        <v>201200</v>
      </c>
    </row>
    <row r="3041" spans="1:6">
      <c r="A3041" s="32">
        <v>39290</v>
      </c>
      <c r="B3041">
        <v>48</v>
      </c>
      <c r="C3041">
        <v>48</v>
      </c>
      <c r="D3041">
        <v>47.5</v>
      </c>
      <c r="E3041">
        <v>48</v>
      </c>
      <c r="F3041">
        <v>385200</v>
      </c>
    </row>
    <row r="3042" spans="1:6">
      <c r="A3042" s="32">
        <v>39289</v>
      </c>
      <c r="B3042">
        <v>48</v>
      </c>
      <c r="C3042">
        <v>48.25</v>
      </c>
      <c r="D3042">
        <v>47.75</v>
      </c>
      <c r="E3042">
        <v>48.25</v>
      </c>
      <c r="F3042">
        <v>584700</v>
      </c>
    </row>
    <row r="3043" spans="1:6">
      <c r="A3043" s="32">
        <v>39288</v>
      </c>
      <c r="B3043">
        <v>48.25</v>
      </c>
      <c r="C3043">
        <v>48.5</v>
      </c>
      <c r="D3043">
        <v>47.75</v>
      </c>
      <c r="E3043">
        <v>48</v>
      </c>
      <c r="F3043">
        <v>1234500</v>
      </c>
    </row>
    <row r="3044" spans="1:6">
      <c r="A3044" s="32">
        <v>39287</v>
      </c>
      <c r="B3044">
        <v>48</v>
      </c>
      <c r="C3044">
        <v>48.25</v>
      </c>
      <c r="D3044">
        <v>48</v>
      </c>
      <c r="E3044">
        <v>48.25</v>
      </c>
      <c r="F3044">
        <v>543200</v>
      </c>
    </row>
    <row r="3045" spans="1:6">
      <c r="A3045" s="32">
        <v>39286</v>
      </c>
      <c r="B3045">
        <v>47.75</v>
      </c>
      <c r="C3045">
        <v>48.25</v>
      </c>
      <c r="D3045">
        <v>47.75</v>
      </c>
      <c r="E3045">
        <v>48.25</v>
      </c>
      <c r="F3045">
        <v>567800</v>
      </c>
    </row>
    <row r="3046" spans="1:6">
      <c r="A3046" s="32">
        <v>39283</v>
      </c>
      <c r="B3046">
        <v>48.25</v>
      </c>
      <c r="C3046">
        <v>48.5</v>
      </c>
      <c r="D3046">
        <v>48</v>
      </c>
      <c r="E3046">
        <v>48</v>
      </c>
      <c r="F3046">
        <v>481800</v>
      </c>
    </row>
    <row r="3047" spans="1:6">
      <c r="A3047" s="32">
        <v>39282</v>
      </c>
      <c r="B3047">
        <v>48</v>
      </c>
      <c r="C3047">
        <v>48.25</v>
      </c>
      <c r="D3047">
        <v>48</v>
      </c>
      <c r="E3047">
        <v>48.25</v>
      </c>
      <c r="F3047">
        <v>677800</v>
      </c>
    </row>
    <row r="3048" spans="1:6">
      <c r="A3048" s="32">
        <v>39281</v>
      </c>
      <c r="B3048">
        <v>48.25</v>
      </c>
      <c r="C3048">
        <v>48.5</v>
      </c>
      <c r="D3048">
        <v>48.25</v>
      </c>
      <c r="E3048">
        <v>48.25</v>
      </c>
      <c r="F3048">
        <v>411700</v>
      </c>
    </row>
    <row r="3049" spans="1:6">
      <c r="A3049" s="32">
        <v>39280</v>
      </c>
      <c r="B3049">
        <v>48.5</v>
      </c>
      <c r="C3049">
        <v>48.5</v>
      </c>
      <c r="D3049">
        <v>48.25</v>
      </c>
      <c r="E3049">
        <v>48.5</v>
      </c>
      <c r="F3049">
        <v>761400</v>
      </c>
    </row>
    <row r="3050" spans="1:6">
      <c r="A3050" s="32">
        <v>39279</v>
      </c>
      <c r="B3050">
        <v>48.5</v>
      </c>
      <c r="C3050">
        <v>48.5</v>
      </c>
      <c r="D3050">
        <v>48.25</v>
      </c>
      <c r="E3050">
        <v>48.5</v>
      </c>
      <c r="F3050">
        <v>750400</v>
      </c>
    </row>
    <row r="3051" spans="1:6">
      <c r="A3051" s="32">
        <v>39276</v>
      </c>
      <c r="B3051">
        <v>48.5</v>
      </c>
      <c r="C3051">
        <v>48.5</v>
      </c>
      <c r="D3051">
        <v>48</v>
      </c>
      <c r="E3051">
        <v>48</v>
      </c>
      <c r="F3051">
        <v>1804100</v>
      </c>
    </row>
    <row r="3052" spans="1:6">
      <c r="A3052" s="32">
        <v>39275</v>
      </c>
      <c r="B3052">
        <v>48</v>
      </c>
      <c r="C3052">
        <v>48.5</v>
      </c>
      <c r="D3052">
        <v>48</v>
      </c>
      <c r="E3052">
        <v>48.5</v>
      </c>
      <c r="F3052">
        <v>522700</v>
      </c>
    </row>
    <row r="3053" spans="1:6">
      <c r="A3053" s="32">
        <v>39274</v>
      </c>
      <c r="B3053">
        <v>48.5</v>
      </c>
      <c r="C3053">
        <v>48.5</v>
      </c>
      <c r="D3053">
        <v>48</v>
      </c>
      <c r="E3053">
        <v>48</v>
      </c>
      <c r="F3053">
        <v>1253100</v>
      </c>
    </row>
    <row r="3054" spans="1:6">
      <c r="A3054" s="32">
        <v>39273</v>
      </c>
      <c r="B3054">
        <v>48.5</v>
      </c>
      <c r="C3054">
        <v>48.5</v>
      </c>
      <c r="D3054">
        <v>48.25</v>
      </c>
      <c r="E3054">
        <v>48.5</v>
      </c>
      <c r="F3054">
        <v>1666400</v>
      </c>
    </row>
    <row r="3055" spans="1:6">
      <c r="A3055" s="32">
        <v>39272</v>
      </c>
      <c r="B3055">
        <v>48.5</v>
      </c>
      <c r="C3055">
        <v>48.5</v>
      </c>
      <c r="D3055">
        <v>48.25</v>
      </c>
      <c r="E3055">
        <v>48.5</v>
      </c>
      <c r="F3055">
        <v>1409700</v>
      </c>
    </row>
    <row r="3056" spans="1:6">
      <c r="A3056" s="32">
        <v>39269</v>
      </c>
      <c r="B3056">
        <v>48.25</v>
      </c>
      <c r="C3056">
        <v>48.5</v>
      </c>
      <c r="D3056">
        <v>48</v>
      </c>
      <c r="E3056">
        <v>48.5</v>
      </c>
      <c r="F3056">
        <v>1050300</v>
      </c>
    </row>
    <row r="3057" spans="1:6">
      <c r="A3057" s="32">
        <v>39268</v>
      </c>
      <c r="B3057">
        <v>49</v>
      </c>
      <c r="C3057">
        <v>49</v>
      </c>
      <c r="D3057">
        <v>48</v>
      </c>
      <c r="E3057">
        <v>48</v>
      </c>
      <c r="F3057">
        <v>1450700</v>
      </c>
    </row>
    <row r="3058" spans="1:6">
      <c r="A3058" s="32">
        <v>39267</v>
      </c>
      <c r="B3058">
        <v>48.25</v>
      </c>
      <c r="C3058">
        <v>48.75</v>
      </c>
      <c r="D3058">
        <v>48</v>
      </c>
      <c r="E3058">
        <v>48.5</v>
      </c>
      <c r="F3058">
        <v>1978500</v>
      </c>
    </row>
    <row r="3059" spans="1:6">
      <c r="A3059" s="32">
        <v>39266</v>
      </c>
      <c r="B3059">
        <v>48.25</v>
      </c>
      <c r="C3059">
        <v>48.5</v>
      </c>
      <c r="D3059">
        <v>48</v>
      </c>
      <c r="E3059">
        <v>48</v>
      </c>
      <c r="F3059">
        <v>1925600</v>
      </c>
    </row>
    <row r="3060" spans="1:6">
      <c r="A3060" s="32">
        <v>39265</v>
      </c>
      <c r="B3060">
        <v>48</v>
      </c>
      <c r="C3060">
        <v>48.5</v>
      </c>
      <c r="D3060">
        <v>47.75</v>
      </c>
      <c r="E3060">
        <v>48</v>
      </c>
      <c r="F3060">
        <v>1966400</v>
      </c>
    </row>
    <row r="3061" spans="1:6">
      <c r="A3061" s="32">
        <v>39262</v>
      </c>
      <c r="B3061">
        <v>48.25</v>
      </c>
      <c r="C3061">
        <v>48.75</v>
      </c>
      <c r="D3061">
        <v>47.75</v>
      </c>
      <c r="E3061">
        <v>47.75</v>
      </c>
      <c r="F3061">
        <v>1025100</v>
      </c>
    </row>
    <row r="3062" spans="1:6">
      <c r="A3062" s="32">
        <v>39261</v>
      </c>
      <c r="B3062">
        <v>48.5</v>
      </c>
      <c r="C3062">
        <v>48.5</v>
      </c>
      <c r="D3062">
        <v>47.5</v>
      </c>
      <c r="E3062">
        <v>48.25</v>
      </c>
      <c r="F3062">
        <v>979500</v>
      </c>
    </row>
    <row r="3063" spans="1:6">
      <c r="A3063" s="32">
        <v>39260</v>
      </c>
      <c r="B3063">
        <v>48.5</v>
      </c>
      <c r="C3063">
        <v>48.5</v>
      </c>
      <c r="D3063">
        <v>48</v>
      </c>
      <c r="E3063">
        <v>48.25</v>
      </c>
      <c r="F3063">
        <v>575700</v>
      </c>
    </row>
    <row r="3064" spans="1:6">
      <c r="A3064" s="32">
        <v>39259</v>
      </c>
      <c r="B3064">
        <v>49</v>
      </c>
      <c r="C3064">
        <v>49.5</v>
      </c>
      <c r="D3064">
        <v>48</v>
      </c>
      <c r="E3064">
        <v>48</v>
      </c>
      <c r="F3064">
        <v>728700</v>
      </c>
    </row>
    <row r="3065" spans="1:6">
      <c r="A3065" s="32">
        <v>39258</v>
      </c>
      <c r="B3065">
        <v>49.25</v>
      </c>
      <c r="C3065">
        <v>49.75</v>
      </c>
      <c r="D3065">
        <v>49</v>
      </c>
      <c r="E3065">
        <v>49</v>
      </c>
      <c r="F3065">
        <v>216800</v>
      </c>
    </row>
    <row r="3066" spans="1:6">
      <c r="A3066" s="32">
        <v>39255</v>
      </c>
      <c r="B3066">
        <v>49</v>
      </c>
      <c r="C3066">
        <v>50</v>
      </c>
      <c r="D3066">
        <v>49</v>
      </c>
      <c r="E3066">
        <v>49.25</v>
      </c>
      <c r="F3066">
        <v>535400</v>
      </c>
    </row>
    <row r="3067" spans="1:6">
      <c r="A3067" s="32">
        <v>39254</v>
      </c>
      <c r="B3067">
        <v>48.5</v>
      </c>
      <c r="C3067">
        <v>49.25</v>
      </c>
      <c r="D3067">
        <v>48.5</v>
      </c>
      <c r="E3067">
        <v>48.75</v>
      </c>
      <c r="F3067">
        <v>885600</v>
      </c>
    </row>
    <row r="3068" spans="1:6">
      <c r="A3068" s="32">
        <v>39253</v>
      </c>
      <c r="B3068">
        <v>48</v>
      </c>
      <c r="C3068">
        <v>48.5</v>
      </c>
      <c r="D3068">
        <v>48</v>
      </c>
      <c r="E3068">
        <v>48.25</v>
      </c>
      <c r="F3068">
        <v>197300</v>
      </c>
    </row>
    <row r="3069" spans="1:6">
      <c r="A3069" s="32">
        <v>39252</v>
      </c>
      <c r="B3069">
        <v>48.5</v>
      </c>
      <c r="C3069">
        <v>48.75</v>
      </c>
      <c r="D3069">
        <v>48</v>
      </c>
      <c r="E3069">
        <v>48</v>
      </c>
      <c r="F3069">
        <v>272000</v>
      </c>
    </row>
    <row r="3070" spans="1:6">
      <c r="A3070" s="32">
        <v>39251</v>
      </c>
      <c r="B3070">
        <v>48.25</v>
      </c>
      <c r="C3070">
        <v>49</v>
      </c>
      <c r="D3070">
        <v>48.25</v>
      </c>
      <c r="E3070">
        <v>48.5</v>
      </c>
      <c r="F3070">
        <v>480700</v>
      </c>
    </row>
    <row r="3071" spans="1:6">
      <c r="A3071" s="32">
        <v>39248</v>
      </c>
      <c r="B3071">
        <v>48</v>
      </c>
      <c r="C3071">
        <v>48</v>
      </c>
      <c r="D3071">
        <v>47.25</v>
      </c>
      <c r="E3071">
        <v>48</v>
      </c>
      <c r="F3071">
        <v>209000</v>
      </c>
    </row>
    <row r="3072" spans="1:6">
      <c r="A3072" s="32">
        <v>39247</v>
      </c>
      <c r="B3072">
        <v>48</v>
      </c>
      <c r="C3072">
        <v>48.25</v>
      </c>
      <c r="D3072">
        <v>47.5</v>
      </c>
      <c r="E3072">
        <v>47.75</v>
      </c>
      <c r="F3072">
        <v>103100</v>
      </c>
    </row>
    <row r="3073" spans="1:6">
      <c r="A3073" s="32">
        <v>39246</v>
      </c>
      <c r="B3073">
        <v>48.75</v>
      </c>
      <c r="C3073">
        <v>48.75</v>
      </c>
      <c r="D3073">
        <v>47</v>
      </c>
      <c r="E3073">
        <v>47</v>
      </c>
      <c r="F3073">
        <v>226900</v>
      </c>
    </row>
    <row r="3074" spans="1:6">
      <c r="A3074" s="32">
        <v>39245</v>
      </c>
      <c r="B3074">
        <v>49.75</v>
      </c>
      <c r="C3074">
        <v>49.75</v>
      </c>
      <c r="D3074">
        <v>48.75</v>
      </c>
      <c r="E3074">
        <v>48.75</v>
      </c>
      <c r="F3074">
        <v>738900</v>
      </c>
    </row>
    <row r="3075" spans="1:6">
      <c r="A3075" s="32">
        <v>39244</v>
      </c>
      <c r="B3075">
        <v>48.5</v>
      </c>
      <c r="C3075">
        <v>49.5</v>
      </c>
      <c r="D3075">
        <v>48.5</v>
      </c>
      <c r="E3075">
        <v>49.25</v>
      </c>
      <c r="F3075">
        <v>863700</v>
      </c>
    </row>
    <row r="3076" spans="1:6">
      <c r="A3076" s="32">
        <v>39241</v>
      </c>
      <c r="B3076">
        <v>46.5</v>
      </c>
      <c r="C3076">
        <v>48.5</v>
      </c>
      <c r="D3076">
        <v>46.25</v>
      </c>
      <c r="E3076">
        <v>48</v>
      </c>
      <c r="F3076">
        <v>1476700</v>
      </c>
    </row>
    <row r="3077" spans="1:6">
      <c r="A3077" s="32">
        <v>39240</v>
      </c>
      <c r="B3077">
        <v>46</v>
      </c>
      <c r="C3077">
        <v>46.25</v>
      </c>
      <c r="D3077">
        <v>45.75</v>
      </c>
      <c r="E3077">
        <v>46.25</v>
      </c>
      <c r="F3077">
        <v>23300</v>
      </c>
    </row>
    <row r="3078" spans="1:6">
      <c r="A3078" s="32">
        <v>39239</v>
      </c>
      <c r="B3078">
        <v>46</v>
      </c>
      <c r="C3078">
        <v>46</v>
      </c>
      <c r="D3078">
        <v>46</v>
      </c>
      <c r="E3078">
        <v>46</v>
      </c>
      <c r="F3078">
        <v>79200</v>
      </c>
    </row>
    <row r="3079" spans="1:6">
      <c r="A3079" s="32">
        <v>39238</v>
      </c>
      <c r="B3079">
        <v>46.25</v>
      </c>
      <c r="C3079">
        <v>46.25</v>
      </c>
      <c r="D3079">
        <v>45.75</v>
      </c>
      <c r="E3079">
        <v>46</v>
      </c>
      <c r="F3079">
        <v>955600</v>
      </c>
    </row>
    <row r="3080" spans="1:6">
      <c r="A3080" s="32">
        <v>39237</v>
      </c>
      <c r="B3080">
        <v>46.5</v>
      </c>
      <c r="C3080">
        <v>46.5</v>
      </c>
      <c r="D3080">
        <v>46.25</v>
      </c>
      <c r="E3080">
        <v>46.5</v>
      </c>
      <c r="F3080">
        <v>947900</v>
      </c>
    </row>
    <row r="3081" spans="1:6">
      <c r="A3081" s="32">
        <v>39234</v>
      </c>
      <c r="B3081">
        <v>46.5</v>
      </c>
      <c r="C3081">
        <v>46.5</v>
      </c>
      <c r="D3081">
        <v>46.25</v>
      </c>
      <c r="E3081">
        <v>46.5</v>
      </c>
      <c r="F3081">
        <v>820300</v>
      </c>
    </row>
    <row r="3082" spans="1:6">
      <c r="A3082" s="32">
        <v>39232</v>
      </c>
      <c r="B3082">
        <v>46</v>
      </c>
      <c r="C3082">
        <v>46.75</v>
      </c>
      <c r="D3082">
        <v>46</v>
      </c>
      <c r="E3082">
        <v>46.5</v>
      </c>
      <c r="F3082">
        <v>337200</v>
      </c>
    </row>
    <row r="3083" spans="1:6">
      <c r="A3083" s="32">
        <v>39231</v>
      </c>
      <c r="B3083">
        <v>47</v>
      </c>
      <c r="C3083">
        <v>47.25</v>
      </c>
      <c r="D3083">
        <v>45.75</v>
      </c>
      <c r="E3083">
        <v>46.75</v>
      </c>
      <c r="F3083">
        <v>710300</v>
      </c>
    </row>
    <row r="3084" spans="1:6">
      <c r="A3084" s="32">
        <v>39230</v>
      </c>
      <c r="B3084">
        <v>47</v>
      </c>
      <c r="C3084">
        <v>47.25</v>
      </c>
      <c r="D3084">
        <v>47</v>
      </c>
      <c r="E3084">
        <v>47</v>
      </c>
      <c r="F3084">
        <v>307500</v>
      </c>
    </row>
    <row r="3085" spans="1:6">
      <c r="A3085" s="32">
        <v>39227</v>
      </c>
      <c r="B3085">
        <v>47.25</v>
      </c>
      <c r="C3085">
        <v>47.5</v>
      </c>
      <c r="D3085">
        <v>47</v>
      </c>
      <c r="E3085">
        <v>47.25</v>
      </c>
      <c r="F3085">
        <v>150100</v>
      </c>
    </row>
    <row r="3086" spans="1:6">
      <c r="A3086" s="32">
        <v>39226</v>
      </c>
      <c r="B3086">
        <v>47.25</v>
      </c>
      <c r="C3086">
        <v>47.5</v>
      </c>
      <c r="D3086">
        <v>47</v>
      </c>
      <c r="E3086">
        <v>47.25</v>
      </c>
      <c r="F3086">
        <v>536000</v>
      </c>
    </row>
    <row r="3087" spans="1:6">
      <c r="A3087" s="32">
        <v>39225</v>
      </c>
      <c r="B3087">
        <v>48.5</v>
      </c>
      <c r="C3087">
        <v>48.5</v>
      </c>
      <c r="D3087">
        <v>47.25</v>
      </c>
      <c r="E3087">
        <v>47.25</v>
      </c>
      <c r="F3087">
        <v>730500</v>
      </c>
    </row>
    <row r="3088" spans="1:6">
      <c r="A3088" s="32">
        <v>39224</v>
      </c>
      <c r="B3088">
        <v>49</v>
      </c>
      <c r="C3088">
        <v>49</v>
      </c>
      <c r="D3088">
        <v>48.5</v>
      </c>
      <c r="E3088">
        <v>48.5</v>
      </c>
      <c r="F3088">
        <v>172400</v>
      </c>
    </row>
    <row r="3089" spans="1:6">
      <c r="A3089" s="32">
        <v>39223</v>
      </c>
      <c r="B3089">
        <v>49</v>
      </c>
      <c r="C3089">
        <v>49.5</v>
      </c>
      <c r="D3089">
        <v>48.75</v>
      </c>
      <c r="E3089">
        <v>48.75</v>
      </c>
      <c r="F3089">
        <v>196100</v>
      </c>
    </row>
    <row r="3090" spans="1:6">
      <c r="A3090" s="32">
        <v>39220</v>
      </c>
      <c r="B3090">
        <v>49</v>
      </c>
      <c r="C3090">
        <v>50</v>
      </c>
      <c r="D3090">
        <v>49</v>
      </c>
      <c r="E3090">
        <v>50</v>
      </c>
      <c r="F3090">
        <v>439900</v>
      </c>
    </row>
    <row r="3091" spans="1:6">
      <c r="A3091" s="32">
        <v>39219</v>
      </c>
      <c r="B3091">
        <v>48.25</v>
      </c>
      <c r="C3091">
        <v>49</v>
      </c>
      <c r="D3091">
        <v>48.25</v>
      </c>
      <c r="E3091">
        <v>48.75</v>
      </c>
      <c r="F3091">
        <v>148400</v>
      </c>
    </row>
    <row r="3092" spans="1:6">
      <c r="A3092" s="32">
        <v>39218</v>
      </c>
      <c r="B3092">
        <v>47.75</v>
      </c>
      <c r="C3092">
        <v>48.25</v>
      </c>
      <c r="D3092">
        <v>47.5</v>
      </c>
      <c r="E3092">
        <v>48.25</v>
      </c>
      <c r="F3092">
        <v>126200</v>
      </c>
    </row>
    <row r="3093" spans="1:6">
      <c r="A3093" s="32">
        <v>39217</v>
      </c>
      <c r="B3093">
        <v>48.25</v>
      </c>
      <c r="C3093">
        <v>48.25</v>
      </c>
      <c r="D3093">
        <v>47.5</v>
      </c>
      <c r="E3093">
        <v>47.5</v>
      </c>
      <c r="F3093">
        <v>216000</v>
      </c>
    </row>
    <row r="3094" spans="1:6">
      <c r="A3094" s="32">
        <v>39216</v>
      </c>
      <c r="B3094">
        <v>48.25</v>
      </c>
      <c r="C3094">
        <v>48.5</v>
      </c>
      <c r="D3094">
        <v>47.75</v>
      </c>
      <c r="E3094">
        <v>48.25</v>
      </c>
      <c r="F3094">
        <v>574300</v>
      </c>
    </row>
    <row r="3095" spans="1:6">
      <c r="A3095" s="32">
        <v>39213</v>
      </c>
      <c r="B3095">
        <v>49</v>
      </c>
      <c r="C3095">
        <v>49</v>
      </c>
      <c r="D3095">
        <v>46.75</v>
      </c>
      <c r="E3095">
        <v>47.5</v>
      </c>
      <c r="F3095">
        <v>899900</v>
      </c>
    </row>
    <row r="3096" spans="1:6">
      <c r="A3096" s="32">
        <v>39212</v>
      </c>
      <c r="B3096">
        <v>50</v>
      </c>
      <c r="C3096">
        <v>50</v>
      </c>
      <c r="D3096">
        <v>48.5</v>
      </c>
      <c r="E3096">
        <v>49.25</v>
      </c>
      <c r="F3096">
        <v>442000</v>
      </c>
    </row>
    <row r="3097" spans="1:6">
      <c r="A3097" s="32">
        <v>39211</v>
      </c>
      <c r="B3097">
        <v>51</v>
      </c>
      <c r="C3097">
        <v>51</v>
      </c>
      <c r="D3097">
        <v>49.75</v>
      </c>
      <c r="E3097">
        <v>50</v>
      </c>
      <c r="F3097">
        <v>210300</v>
      </c>
    </row>
    <row r="3098" spans="1:6">
      <c r="A3098" s="32">
        <v>39210</v>
      </c>
      <c r="B3098">
        <v>50</v>
      </c>
      <c r="C3098">
        <v>52</v>
      </c>
      <c r="D3098">
        <v>50</v>
      </c>
      <c r="E3098">
        <v>50.5</v>
      </c>
      <c r="F3098">
        <v>702300</v>
      </c>
    </row>
    <row r="3099" spans="1:6">
      <c r="A3099" s="32">
        <v>39206</v>
      </c>
      <c r="B3099">
        <v>49.75</v>
      </c>
      <c r="C3099">
        <v>50</v>
      </c>
      <c r="D3099">
        <v>49.75</v>
      </c>
      <c r="E3099">
        <v>49.75</v>
      </c>
      <c r="F3099">
        <v>665600</v>
      </c>
    </row>
    <row r="3100" spans="1:6">
      <c r="A3100" s="32">
        <v>39205</v>
      </c>
      <c r="B3100">
        <v>49.75</v>
      </c>
      <c r="C3100">
        <v>50.5</v>
      </c>
      <c r="D3100">
        <v>49.5</v>
      </c>
      <c r="E3100">
        <v>50</v>
      </c>
      <c r="F3100">
        <v>1336300</v>
      </c>
    </row>
    <row r="3101" spans="1:6">
      <c r="A3101" s="32">
        <v>39204</v>
      </c>
      <c r="B3101">
        <v>49</v>
      </c>
      <c r="C3101">
        <v>49.5</v>
      </c>
      <c r="D3101">
        <v>49</v>
      </c>
      <c r="E3101">
        <v>49.5</v>
      </c>
      <c r="F3101">
        <v>1038300</v>
      </c>
    </row>
    <row r="3102" spans="1:6">
      <c r="A3102" s="32">
        <v>39202</v>
      </c>
      <c r="B3102">
        <v>46.5</v>
      </c>
      <c r="C3102">
        <v>51</v>
      </c>
      <c r="D3102">
        <v>46.5</v>
      </c>
      <c r="E3102">
        <v>48.5</v>
      </c>
      <c r="F3102">
        <v>914000</v>
      </c>
    </row>
    <row r="3103" spans="1:6">
      <c r="A3103" s="32">
        <v>39199</v>
      </c>
      <c r="B3103">
        <v>46</v>
      </c>
      <c r="C3103">
        <v>46.25</v>
      </c>
      <c r="D3103">
        <v>45.75</v>
      </c>
      <c r="E3103">
        <v>46.25</v>
      </c>
      <c r="F3103">
        <v>384600</v>
      </c>
    </row>
    <row r="3104" spans="1:6">
      <c r="A3104" s="32">
        <v>39198</v>
      </c>
      <c r="B3104">
        <v>45.75</v>
      </c>
      <c r="C3104">
        <v>46.75</v>
      </c>
      <c r="D3104">
        <v>45.25</v>
      </c>
      <c r="E3104">
        <v>46</v>
      </c>
      <c r="F3104">
        <v>248200</v>
      </c>
    </row>
    <row r="3105" spans="1:6">
      <c r="A3105" s="32">
        <v>39197</v>
      </c>
      <c r="B3105">
        <v>46</v>
      </c>
      <c r="C3105">
        <v>46.5</v>
      </c>
      <c r="D3105">
        <v>45.75</v>
      </c>
      <c r="E3105">
        <v>45.75</v>
      </c>
      <c r="F3105">
        <v>1328400</v>
      </c>
    </row>
    <row r="3106" spans="1:6">
      <c r="A3106" s="32">
        <v>39196</v>
      </c>
      <c r="B3106">
        <v>42.25</v>
      </c>
      <c r="C3106">
        <v>44.5</v>
      </c>
      <c r="D3106">
        <v>42.25</v>
      </c>
      <c r="E3106">
        <v>44.25</v>
      </c>
      <c r="F3106">
        <v>804300</v>
      </c>
    </row>
    <row r="3107" spans="1:6">
      <c r="A3107" s="32">
        <v>39195</v>
      </c>
      <c r="B3107">
        <v>42.25</v>
      </c>
      <c r="C3107">
        <v>42.25</v>
      </c>
      <c r="D3107">
        <v>42</v>
      </c>
      <c r="E3107">
        <v>42</v>
      </c>
      <c r="F3107">
        <v>40400</v>
      </c>
    </row>
    <row r="3108" spans="1:6">
      <c r="A3108" s="32">
        <v>39192</v>
      </c>
      <c r="B3108">
        <v>41.75</v>
      </c>
      <c r="C3108">
        <v>42.75</v>
      </c>
      <c r="D3108">
        <v>41.5</v>
      </c>
      <c r="E3108">
        <v>42.25</v>
      </c>
      <c r="F3108">
        <v>268200</v>
      </c>
    </row>
    <row r="3109" spans="1:6">
      <c r="A3109" s="32">
        <v>39191</v>
      </c>
      <c r="B3109">
        <v>41.5</v>
      </c>
      <c r="C3109">
        <v>41.5</v>
      </c>
      <c r="D3109">
        <v>41</v>
      </c>
      <c r="E3109">
        <v>41.25</v>
      </c>
      <c r="F3109">
        <v>168900</v>
      </c>
    </row>
    <row r="3110" spans="1:6">
      <c r="A3110" s="32">
        <v>39190</v>
      </c>
      <c r="B3110">
        <v>41.25</v>
      </c>
      <c r="C3110">
        <v>41.75</v>
      </c>
      <c r="D3110">
        <v>41.25</v>
      </c>
      <c r="E3110">
        <v>41.25</v>
      </c>
      <c r="F3110">
        <v>155800</v>
      </c>
    </row>
    <row r="3111" spans="1:6">
      <c r="A3111" s="32">
        <v>39189</v>
      </c>
      <c r="B3111">
        <v>41</v>
      </c>
      <c r="C3111">
        <v>41.5</v>
      </c>
      <c r="D3111">
        <v>41</v>
      </c>
      <c r="E3111">
        <v>41.5</v>
      </c>
      <c r="F3111">
        <v>343500</v>
      </c>
    </row>
    <row r="3112" spans="1:6">
      <c r="A3112" s="32">
        <v>39184</v>
      </c>
      <c r="B3112">
        <v>41</v>
      </c>
      <c r="C3112">
        <v>41.75</v>
      </c>
      <c r="D3112">
        <v>41</v>
      </c>
      <c r="E3112">
        <v>41</v>
      </c>
      <c r="F3112">
        <v>235700</v>
      </c>
    </row>
    <row r="3113" spans="1:6">
      <c r="A3113" s="32">
        <v>39183</v>
      </c>
      <c r="B3113">
        <v>41.25</v>
      </c>
      <c r="C3113">
        <v>41.5</v>
      </c>
      <c r="D3113">
        <v>40.5</v>
      </c>
      <c r="E3113">
        <v>41</v>
      </c>
      <c r="F3113">
        <v>252800</v>
      </c>
    </row>
    <row r="3114" spans="1:6">
      <c r="A3114" s="32">
        <v>39182</v>
      </c>
      <c r="B3114">
        <v>41.25</v>
      </c>
      <c r="C3114">
        <v>41.75</v>
      </c>
      <c r="D3114">
        <v>41.25</v>
      </c>
      <c r="E3114">
        <v>41.75</v>
      </c>
      <c r="F3114">
        <v>186800</v>
      </c>
    </row>
    <row r="3115" spans="1:6">
      <c r="A3115" s="32">
        <v>39181</v>
      </c>
      <c r="B3115">
        <v>41</v>
      </c>
      <c r="C3115">
        <v>42</v>
      </c>
      <c r="D3115">
        <v>41</v>
      </c>
      <c r="E3115">
        <v>41.75</v>
      </c>
      <c r="F3115">
        <v>419200</v>
      </c>
    </row>
    <row r="3116" spans="1:6">
      <c r="A3116" s="32">
        <v>39177</v>
      </c>
      <c r="B3116">
        <v>41.25</v>
      </c>
      <c r="C3116">
        <v>41.25</v>
      </c>
      <c r="D3116">
        <v>41</v>
      </c>
      <c r="E3116">
        <v>41</v>
      </c>
      <c r="F3116">
        <v>403000</v>
      </c>
    </row>
    <row r="3117" spans="1:6">
      <c r="A3117" s="32">
        <v>39176</v>
      </c>
      <c r="B3117">
        <v>40.75</v>
      </c>
      <c r="C3117">
        <v>41.25</v>
      </c>
      <c r="D3117">
        <v>40.75</v>
      </c>
      <c r="E3117">
        <v>41</v>
      </c>
      <c r="F3117">
        <v>373700</v>
      </c>
    </row>
    <row r="3118" spans="1:6">
      <c r="A3118" s="32">
        <v>39175</v>
      </c>
      <c r="B3118">
        <v>40</v>
      </c>
      <c r="C3118">
        <v>41</v>
      </c>
      <c r="D3118">
        <v>40</v>
      </c>
      <c r="E3118">
        <v>40.75</v>
      </c>
      <c r="F3118">
        <v>569600</v>
      </c>
    </row>
    <row r="3119" spans="1:6">
      <c r="A3119" s="32">
        <v>39174</v>
      </c>
      <c r="B3119">
        <v>39.75</v>
      </c>
      <c r="C3119">
        <v>40</v>
      </c>
      <c r="D3119">
        <v>39.75</v>
      </c>
      <c r="E3119">
        <v>39.75</v>
      </c>
      <c r="F3119">
        <v>206700</v>
      </c>
    </row>
    <row r="3120" spans="1:6">
      <c r="A3120" s="32">
        <v>39171</v>
      </c>
      <c r="B3120">
        <v>40</v>
      </c>
      <c r="C3120">
        <v>40</v>
      </c>
      <c r="D3120">
        <v>39.75</v>
      </c>
      <c r="E3120">
        <v>39.75</v>
      </c>
      <c r="F3120">
        <v>887100</v>
      </c>
    </row>
    <row r="3121" spans="1:6">
      <c r="A3121" s="32">
        <v>39170</v>
      </c>
      <c r="B3121">
        <v>41</v>
      </c>
      <c r="C3121">
        <v>41</v>
      </c>
      <c r="D3121">
        <v>40.25</v>
      </c>
      <c r="E3121">
        <v>40.75</v>
      </c>
      <c r="F3121">
        <v>356300</v>
      </c>
    </row>
    <row r="3122" spans="1:6">
      <c r="A3122" s="32">
        <v>39169</v>
      </c>
      <c r="B3122">
        <v>40</v>
      </c>
      <c r="C3122">
        <v>41</v>
      </c>
      <c r="D3122">
        <v>40</v>
      </c>
      <c r="E3122">
        <v>40.75</v>
      </c>
      <c r="F3122">
        <v>735700</v>
      </c>
    </row>
    <row r="3123" spans="1:6">
      <c r="A3123" s="32">
        <v>39168</v>
      </c>
      <c r="B3123">
        <v>39.25</v>
      </c>
      <c r="C3123">
        <v>40.25</v>
      </c>
      <c r="D3123">
        <v>39.25</v>
      </c>
      <c r="E3123">
        <v>40</v>
      </c>
      <c r="F3123">
        <v>798900</v>
      </c>
    </row>
    <row r="3124" spans="1:6">
      <c r="A3124" s="32">
        <v>39167</v>
      </c>
      <c r="B3124">
        <v>39.25</v>
      </c>
      <c r="C3124">
        <v>39.5</v>
      </c>
      <c r="D3124">
        <v>39</v>
      </c>
      <c r="E3124">
        <v>39.25</v>
      </c>
      <c r="F3124">
        <v>63100</v>
      </c>
    </row>
    <row r="3125" spans="1:6">
      <c r="A3125" s="32">
        <v>39164</v>
      </c>
      <c r="B3125">
        <v>39.25</v>
      </c>
      <c r="C3125">
        <v>39.25</v>
      </c>
      <c r="D3125">
        <v>39</v>
      </c>
      <c r="E3125">
        <v>39.25</v>
      </c>
      <c r="F3125">
        <v>214100</v>
      </c>
    </row>
    <row r="3126" spans="1:6">
      <c r="A3126" s="32">
        <v>39163</v>
      </c>
      <c r="B3126">
        <v>39.25</v>
      </c>
      <c r="C3126">
        <v>39.5</v>
      </c>
      <c r="D3126">
        <v>39</v>
      </c>
      <c r="E3126">
        <v>39.25</v>
      </c>
      <c r="F3126">
        <v>361000</v>
      </c>
    </row>
    <row r="3127" spans="1:6">
      <c r="A3127" s="32">
        <v>39162</v>
      </c>
      <c r="B3127">
        <v>38.5</v>
      </c>
      <c r="C3127">
        <v>39.25</v>
      </c>
      <c r="D3127">
        <v>38.25</v>
      </c>
      <c r="E3127">
        <v>39</v>
      </c>
      <c r="F3127">
        <v>441800</v>
      </c>
    </row>
    <row r="3128" spans="1:6">
      <c r="A3128" s="32">
        <v>39161</v>
      </c>
      <c r="B3128">
        <v>37.75</v>
      </c>
      <c r="C3128">
        <v>39</v>
      </c>
      <c r="D3128">
        <v>37.75</v>
      </c>
      <c r="E3128">
        <v>38.5</v>
      </c>
      <c r="F3128">
        <v>368600</v>
      </c>
    </row>
    <row r="3129" spans="1:6">
      <c r="A3129" s="32">
        <v>39160</v>
      </c>
      <c r="B3129">
        <v>38</v>
      </c>
      <c r="C3129">
        <v>38</v>
      </c>
      <c r="D3129">
        <v>37.75</v>
      </c>
      <c r="E3129">
        <v>37.75</v>
      </c>
      <c r="F3129">
        <v>112400</v>
      </c>
    </row>
    <row r="3130" spans="1:6">
      <c r="A3130" s="32">
        <v>39157</v>
      </c>
      <c r="B3130">
        <v>38.5</v>
      </c>
      <c r="C3130">
        <v>38.5</v>
      </c>
      <c r="D3130">
        <v>38.25</v>
      </c>
      <c r="E3130">
        <v>38.25</v>
      </c>
      <c r="F3130">
        <v>31900</v>
      </c>
    </row>
    <row r="3131" spans="1:6">
      <c r="A3131" s="32">
        <v>39156</v>
      </c>
      <c r="B3131">
        <v>37.75</v>
      </c>
      <c r="C3131">
        <v>39</v>
      </c>
      <c r="D3131">
        <v>37.75</v>
      </c>
      <c r="E3131">
        <v>38.5</v>
      </c>
      <c r="F3131">
        <v>1250300</v>
      </c>
    </row>
    <row r="3132" spans="1:6">
      <c r="A3132" s="32">
        <v>39155</v>
      </c>
      <c r="B3132">
        <v>37</v>
      </c>
      <c r="C3132">
        <v>37.5</v>
      </c>
      <c r="D3132">
        <v>37</v>
      </c>
      <c r="E3132">
        <v>37.5</v>
      </c>
      <c r="F3132">
        <v>262500</v>
      </c>
    </row>
    <row r="3133" spans="1:6">
      <c r="A3133" s="32">
        <v>39154</v>
      </c>
      <c r="B3133">
        <v>36.75</v>
      </c>
      <c r="C3133">
        <v>37</v>
      </c>
      <c r="D3133">
        <v>36.75</v>
      </c>
      <c r="E3133">
        <v>36.75</v>
      </c>
      <c r="F3133">
        <v>293000</v>
      </c>
    </row>
    <row r="3134" spans="1:6">
      <c r="A3134" s="32">
        <v>39153</v>
      </c>
      <c r="B3134">
        <v>36.75</v>
      </c>
      <c r="C3134">
        <v>37</v>
      </c>
      <c r="D3134">
        <v>36.75</v>
      </c>
      <c r="E3134">
        <v>37</v>
      </c>
      <c r="F3134">
        <v>245300</v>
      </c>
    </row>
    <row r="3135" spans="1:6">
      <c r="A3135" s="32">
        <v>39150</v>
      </c>
      <c r="B3135">
        <v>36.75</v>
      </c>
      <c r="C3135">
        <v>37</v>
      </c>
      <c r="D3135">
        <v>36.75</v>
      </c>
      <c r="E3135">
        <v>36.75</v>
      </c>
      <c r="F3135">
        <v>18600</v>
      </c>
    </row>
    <row r="3136" spans="1:6">
      <c r="A3136" s="32">
        <v>39149</v>
      </c>
      <c r="B3136">
        <v>37</v>
      </c>
      <c r="C3136">
        <v>37</v>
      </c>
      <c r="D3136">
        <v>36.75</v>
      </c>
      <c r="E3136">
        <v>36.75</v>
      </c>
      <c r="F3136">
        <v>11800</v>
      </c>
    </row>
    <row r="3137" spans="1:6">
      <c r="A3137" s="32">
        <v>39148</v>
      </c>
      <c r="B3137">
        <v>37</v>
      </c>
      <c r="C3137">
        <v>37</v>
      </c>
      <c r="D3137">
        <v>36.75</v>
      </c>
      <c r="E3137">
        <v>36.75</v>
      </c>
      <c r="F3137">
        <v>35300</v>
      </c>
    </row>
    <row r="3138" spans="1:6">
      <c r="A3138" s="32">
        <v>39147</v>
      </c>
      <c r="B3138">
        <v>36.75</v>
      </c>
      <c r="C3138">
        <v>37.25</v>
      </c>
      <c r="D3138">
        <v>36.25</v>
      </c>
      <c r="E3138">
        <v>37.25</v>
      </c>
      <c r="F3138">
        <v>358000</v>
      </c>
    </row>
    <row r="3139" spans="1:6">
      <c r="A3139" s="32">
        <v>39143</v>
      </c>
      <c r="B3139">
        <v>37</v>
      </c>
      <c r="C3139">
        <v>37.25</v>
      </c>
      <c r="D3139">
        <v>36.75</v>
      </c>
      <c r="E3139">
        <v>36.75</v>
      </c>
      <c r="F3139">
        <v>1093300</v>
      </c>
    </row>
    <row r="3140" spans="1:6">
      <c r="A3140" s="32">
        <v>39142</v>
      </c>
      <c r="B3140">
        <v>37.5</v>
      </c>
      <c r="C3140">
        <v>37.5</v>
      </c>
      <c r="D3140">
        <v>37</v>
      </c>
      <c r="E3140">
        <v>37</v>
      </c>
      <c r="F3140">
        <v>391700</v>
      </c>
    </row>
    <row r="3141" spans="1:6">
      <c r="A3141" s="32">
        <v>39141</v>
      </c>
      <c r="B3141">
        <v>36.5</v>
      </c>
      <c r="C3141">
        <v>37.25</v>
      </c>
      <c r="D3141">
        <v>36</v>
      </c>
      <c r="E3141">
        <v>37.25</v>
      </c>
      <c r="F3141">
        <v>481200</v>
      </c>
    </row>
    <row r="3142" spans="1:6">
      <c r="A3142" s="32">
        <v>39140</v>
      </c>
      <c r="B3142">
        <v>37.25</v>
      </c>
      <c r="C3142">
        <v>37.25</v>
      </c>
      <c r="D3142">
        <v>36.75</v>
      </c>
      <c r="E3142">
        <v>36.75</v>
      </c>
      <c r="F3142">
        <v>279800</v>
      </c>
    </row>
    <row r="3143" spans="1:6">
      <c r="A3143" s="32">
        <v>39139</v>
      </c>
      <c r="B3143">
        <v>37.5</v>
      </c>
      <c r="C3143">
        <v>37.5</v>
      </c>
      <c r="D3143">
        <v>37</v>
      </c>
      <c r="E3143">
        <v>37.25</v>
      </c>
      <c r="F3143">
        <v>163900</v>
      </c>
    </row>
    <row r="3144" spans="1:6">
      <c r="A3144" s="32">
        <v>39136</v>
      </c>
      <c r="B3144">
        <v>37</v>
      </c>
      <c r="C3144">
        <v>37.5</v>
      </c>
      <c r="D3144">
        <v>37</v>
      </c>
      <c r="E3144">
        <v>37</v>
      </c>
      <c r="F3144">
        <v>493800</v>
      </c>
    </row>
    <row r="3145" spans="1:6">
      <c r="A3145" s="32">
        <v>39135</v>
      </c>
      <c r="B3145">
        <v>37</v>
      </c>
      <c r="C3145">
        <v>37.25</v>
      </c>
      <c r="D3145">
        <v>36.75</v>
      </c>
      <c r="E3145">
        <v>36.75</v>
      </c>
      <c r="F3145">
        <v>285300</v>
      </c>
    </row>
    <row r="3146" spans="1:6">
      <c r="A3146" s="32">
        <v>39134</v>
      </c>
      <c r="B3146">
        <v>37.25</v>
      </c>
      <c r="C3146">
        <v>37.5</v>
      </c>
      <c r="D3146">
        <v>37</v>
      </c>
      <c r="E3146">
        <v>37</v>
      </c>
      <c r="F3146">
        <v>762600</v>
      </c>
    </row>
    <row r="3147" spans="1:6">
      <c r="A3147" s="32">
        <v>39133</v>
      </c>
      <c r="B3147">
        <v>37.5</v>
      </c>
      <c r="C3147">
        <v>37.5</v>
      </c>
      <c r="D3147">
        <v>37.25</v>
      </c>
      <c r="E3147">
        <v>37.5</v>
      </c>
      <c r="F3147">
        <v>244000</v>
      </c>
    </row>
    <row r="3148" spans="1:6">
      <c r="A3148" s="32">
        <v>39132</v>
      </c>
      <c r="B3148">
        <v>37.25</v>
      </c>
      <c r="C3148">
        <v>37.25</v>
      </c>
      <c r="D3148">
        <v>37</v>
      </c>
      <c r="E3148">
        <v>37</v>
      </c>
      <c r="F3148">
        <v>53300</v>
      </c>
    </row>
    <row r="3149" spans="1:6">
      <c r="A3149" s="32">
        <v>39129</v>
      </c>
      <c r="B3149">
        <v>37</v>
      </c>
      <c r="C3149">
        <v>37.5</v>
      </c>
      <c r="D3149">
        <v>37</v>
      </c>
      <c r="E3149">
        <v>37.25</v>
      </c>
      <c r="F3149">
        <v>410700</v>
      </c>
    </row>
    <row r="3150" spans="1:6">
      <c r="A3150" s="32">
        <v>39128</v>
      </c>
      <c r="B3150">
        <v>37.75</v>
      </c>
      <c r="C3150">
        <v>37.75</v>
      </c>
      <c r="D3150">
        <v>37</v>
      </c>
      <c r="E3150">
        <v>37</v>
      </c>
      <c r="F3150">
        <v>243500</v>
      </c>
    </row>
    <row r="3151" spans="1:6">
      <c r="A3151" s="32">
        <v>39127</v>
      </c>
      <c r="B3151">
        <v>37.25</v>
      </c>
      <c r="C3151">
        <v>37.75</v>
      </c>
      <c r="D3151">
        <v>37.25</v>
      </c>
      <c r="E3151">
        <v>37.5</v>
      </c>
      <c r="F3151">
        <v>660400</v>
      </c>
    </row>
    <row r="3152" spans="1:6">
      <c r="A3152" s="32">
        <v>39126</v>
      </c>
      <c r="B3152">
        <v>37.5</v>
      </c>
      <c r="C3152">
        <v>37.5</v>
      </c>
      <c r="D3152">
        <v>37</v>
      </c>
      <c r="E3152">
        <v>37</v>
      </c>
      <c r="F3152">
        <v>334400</v>
      </c>
    </row>
    <row r="3153" spans="1:6">
      <c r="A3153" s="32">
        <v>39125</v>
      </c>
      <c r="B3153">
        <v>36.75</v>
      </c>
      <c r="C3153">
        <v>37.5</v>
      </c>
      <c r="D3153">
        <v>36.75</v>
      </c>
      <c r="E3153">
        <v>37.5</v>
      </c>
      <c r="F3153">
        <v>230200</v>
      </c>
    </row>
    <row r="3154" spans="1:6">
      <c r="A3154" s="32">
        <v>39122</v>
      </c>
      <c r="B3154">
        <v>37.25</v>
      </c>
      <c r="C3154">
        <v>37.25</v>
      </c>
      <c r="D3154">
        <v>36.75</v>
      </c>
      <c r="E3154">
        <v>36.75</v>
      </c>
      <c r="F3154">
        <v>270200</v>
      </c>
    </row>
    <row r="3155" spans="1:6">
      <c r="A3155" s="32">
        <v>39121</v>
      </c>
      <c r="B3155">
        <v>37.25</v>
      </c>
      <c r="C3155">
        <v>37.5</v>
      </c>
      <c r="D3155">
        <v>37</v>
      </c>
      <c r="E3155">
        <v>37</v>
      </c>
      <c r="F3155">
        <v>201400</v>
      </c>
    </row>
    <row r="3156" spans="1:6">
      <c r="A3156" s="32">
        <v>39120</v>
      </c>
      <c r="B3156">
        <v>37.25</v>
      </c>
      <c r="C3156">
        <v>37.5</v>
      </c>
      <c r="D3156">
        <v>37.25</v>
      </c>
      <c r="E3156">
        <v>37.25</v>
      </c>
      <c r="F3156">
        <v>435400</v>
      </c>
    </row>
    <row r="3157" spans="1:6">
      <c r="A3157" s="32">
        <v>39119</v>
      </c>
      <c r="B3157">
        <v>37.25</v>
      </c>
      <c r="C3157">
        <v>37.25</v>
      </c>
      <c r="D3157">
        <v>37</v>
      </c>
      <c r="E3157">
        <v>37</v>
      </c>
      <c r="F3157">
        <v>287000</v>
      </c>
    </row>
    <row r="3158" spans="1:6">
      <c r="A3158" s="32">
        <v>39118</v>
      </c>
      <c r="B3158">
        <v>36.75</v>
      </c>
      <c r="C3158">
        <v>37.25</v>
      </c>
      <c r="D3158">
        <v>36.75</v>
      </c>
      <c r="E3158">
        <v>37</v>
      </c>
      <c r="F3158">
        <v>264500</v>
      </c>
    </row>
    <row r="3159" spans="1:6">
      <c r="A3159" s="32">
        <v>39115</v>
      </c>
      <c r="B3159">
        <v>36.5</v>
      </c>
      <c r="C3159">
        <v>37.75</v>
      </c>
      <c r="D3159">
        <v>36.5</v>
      </c>
      <c r="E3159">
        <v>37</v>
      </c>
      <c r="F3159">
        <v>807100</v>
      </c>
    </row>
    <row r="3160" spans="1:6">
      <c r="A3160" s="32">
        <v>39114</v>
      </c>
      <c r="B3160">
        <v>36.25</v>
      </c>
      <c r="C3160">
        <v>36.25</v>
      </c>
      <c r="D3160">
        <v>36.25</v>
      </c>
      <c r="E3160">
        <v>36.25</v>
      </c>
      <c r="F3160">
        <v>80000</v>
      </c>
    </row>
    <row r="3161" spans="1:6">
      <c r="A3161" s="32">
        <v>39113</v>
      </c>
      <c r="B3161">
        <v>36</v>
      </c>
      <c r="C3161">
        <v>36</v>
      </c>
      <c r="D3161">
        <v>36</v>
      </c>
      <c r="E3161">
        <v>36</v>
      </c>
      <c r="F3161">
        <v>87900</v>
      </c>
    </row>
    <row r="3162" spans="1:6">
      <c r="A3162" s="32">
        <v>39112</v>
      </c>
      <c r="B3162">
        <v>36</v>
      </c>
      <c r="C3162">
        <v>36.25</v>
      </c>
      <c r="D3162">
        <v>36</v>
      </c>
      <c r="E3162">
        <v>36.25</v>
      </c>
      <c r="F3162">
        <v>127700</v>
      </c>
    </row>
    <row r="3163" spans="1:6">
      <c r="A3163" s="32">
        <v>39111</v>
      </c>
      <c r="B3163">
        <v>36.25</v>
      </c>
      <c r="C3163">
        <v>36.25</v>
      </c>
      <c r="D3163">
        <v>36</v>
      </c>
      <c r="E3163">
        <v>36</v>
      </c>
      <c r="F3163">
        <v>156800</v>
      </c>
    </row>
    <row r="3164" spans="1:6">
      <c r="A3164" s="32">
        <v>39108</v>
      </c>
      <c r="B3164">
        <v>36</v>
      </c>
      <c r="C3164">
        <v>36.25</v>
      </c>
      <c r="D3164">
        <v>36</v>
      </c>
      <c r="E3164">
        <v>36.25</v>
      </c>
      <c r="F3164">
        <v>95200</v>
      </c>
    </row>
    <row r="3165" spans="1:6">
      <c r="A3165" s="32">
        <v>39107</v>
      </c>
      <c r="B3165">
        <v>36</v>
      </c>
      <c r="C3165">
        <v>36.25</v>
      </c>
      <c r="D3165">
        <v>35.75</v>
      </c>
      <c r="E3165">
        <v>36</v>
      </c>
      <c r="F3165">
        <v>327700</v>
      </c>
    </row>
    <row r="3166" spans="1:6">
      <c r="A3166" s="32">
        <v>39106</v>
      </c>
      <c r="B3166">
        <v>36.25</v>
      </c>
      <c r="C3166">
        <v>36.25</v>
      </c>
      <c r="D3166">
        <v>35.75</v>
      </c>
      <c r="E3166">
        <v>35.75</v>
      </c>
      <c r="F3166">
        <v>147500</v>
      </c>
    </row>
    <row r="3167" spans="1:6">
      <c r="A3167" s="32">
        <v>39105</v>
      </c>
      <c r="B3167">
        <v>35.5</v>
      </c>
      <c r="C3167">
        <v>36.25</v>
      </c>
      <c r="D3167">
        <v>35.5</v>
      </c>
      <c r="E3167">
        <v>36.25</v>
      </c>
      <c r="F3167">
        <v>834100</v>
      </c>
    </row>
    <row r="3168" spans="1:6">
      <c r="A3168" s="32">
        <v>39104</v>
      </c>
      <c r="B3168">
        <v>35.75</v>
      </c>
      <c r="C3168">
        <v>36</v>
      </c>
      <c r="D3168">
        <v>35.75</v>
      </c>
      <c r="E3168">
        <v>35.75</v>
      </c>
      <c r="F3168">
        <v>407600</v>
      </c>
    </row>
    <row r="3169" spans="1:6">
      <c r="A3169" s="32">
        <v>39101</v>
      </c>
      <c r="B3169">
        <v>35.75</v>
      </c>
      <c r="C3169">
        <v>36</v>
      </c>
      <c r="D3169">
        <v>35.5</v>
      </c>
      <c r="E3169">
        <v>35.75</v>
      </c>
      <c r="F3169">
        <v>168200</v>
      </c>
    </row>
    <row r="3170" spans="1:6">
      <c r="A3170" s="32">
        <v>39100</v>
      </c>
      <c r="B3170">
        <v>35.75</v>
      </c>
      <c r="C3170">
        <v>36</v>
      </c>
      <c r="D3170">
        <v>35.75</v>
      </c>
      <c r="E3170">
        <v>35.75</v>
      </c>
      <c r="F3170">
        <v>545800</v>
      </c>
    </row>
    <row r="3171" spans="1:6">
      <c r="A3171" s="32">
        <v>39099</v>
      </c>
      <c r="B3171">
        <v>36</v>
      </c>
      <c r="C3171">
        <v>36</v>
      </c>
      <c r="D3171">
        <v>35.75</v>
      </c>
      <c r="E3171">
        <v>35.75</v>
      </c>
      <c r="F3171">
        <v>479900</v>
      </c>
    </row>
    <row r="3172" spans="1:6">
      <c r="A3172" s="32">
        <v>39098</v>
      </c>
      <c r="B3172">
        <v>36.25</v>
      </c>
      <c r="C3172">
        <v>36.25</v>
      </c>
      <c r="D3172">
        <v>35.5</v>
      </c>
      <c r="E3172">
        <v>35.75</v>
      </c>
      <c r="F3172">
        <v>331300</v>
      </c>
    </row>
    <row r="3173" spans="1:6">
      <c r="A3173" s="32">
        <v>39097</v>
      </c>
      <c r="B3173">
        <v>34.75</v>
      </c>
      <c r="C3173">
        <v>36.25</v>
      </c>
      <c r="D3173">
        <v>34.75</v>
      </c>
      <c r="E3173">
        <v>36</v>
      </c>
      <c r="F3173">
        <v>947500</v>
      </c>
    </row>
    <row r="3174" spans="1:6">
      <c r="A3174" s="32">
        <v>39094</v>
      </c>
      <c r="B3174">
        <v>34.5</v>
      </c>
      <c r="C3174">
        <v>34.75</v>
      </c>
      <c r="D3174">
        <v>34.25</v>
      </c>
      <c r="E3174">
        <v>34.5</v>
      </c>
      <c r="F3174">
        <v>343500</v>
      </c>
    </row>
    <row r="3175" spans="1:6">
      <c r="A3175" s="32">
        <v>39093</v>
      </c>
      <c r="B3175">
        <v>34</v>
      </c>
      <c r="C3175">
        <v>35</v>
      </c>
      <c r="D3175">
        <v>34</v>
      </c>
      <c r="E3175">
        <v>34.75</v>
      </c>
      <c r="F3175">
        <v>450200</v>
      </c>
    </row>
    <row r="3176" spans="1:6">
      <c r="A3176" s="32">
        <v>39092</v>
      </c>
      <c r="B3176">
        <v>33.25</v>
      </c>
      <c r="C3176">
        <v>34.5</v>
      </c>
      <c r="D3176">
        <v>33.25</v>
      </c>
      <c r="E3176">
        <v>34</v>
      </c>
      <c r="F3176">
        <v>920300</v>
      </c>
    </row>
    <row r="3177" spans="1:6">
      <c r="A3177" s="32">
        <v>39091</v>
      </c>
      <c r="B3177">
        <v>35.5</v>
      </c>
      <c r="C3177">
        <v>35.5</v>
      </c>
      <c r="D3177">
        <v>34.25</v>
      </c>
      <c r="E3177">
        <v>34.25</v>
      </c>
      <c r="F3177">
        <v>405200</v>
      </c>
    </row>
    <row r="3178" spans="1:6">
      <c r="A3178" s="32">
        <v>39090</v>
      </c>
      <c r="B3178">
        <v>34.5</v>
      </c>
      <c r="C3178">
        <v>35.75</v>
      </c>
      <c r="D3178">
        <v>34.5</v>
      </c>
      <c r="E3178">
        <v>35</v>
      </c>
      <c r="F3178">
        <v>513400</v>
      </c>
    </row>
    <row r="3179" spans="1:6">
      <c r="A3179" s="32">
        <v>39087</v>
      </c>
      <c r="B3179">
        <v>36.5</v>
      </c>
      <c r="C3179">
        <v>36.5</v>
      </c>
      <c r="D3179">
        <v>34.5</v>
      </c>
      <c r="E3179">
        <v>35.25</v>
      </c>
      <c r="F3179">
        <v>3223500</v>
      </c>
    </row>
    <row r="3180" spans="1:6">
      <c r="A3180" s="32">
        <v>39086</v>
      </c>
      <c r="B3180">
        <v>36.5</v>
      </c>
      <c r="C3180">
        <v>36.5</v>
      </c>
      <c r="D3180">
        <v>36</v>
      </c>
      <c r="E3180">
        <v>36</v>
      </c>
      <c r="F3180">
        <v>132200</v>
      </c>
    </row>
    <row r="3181" spans="1:6">
      <c r="A3181" s="32">
        <v>39085</v>
      </c>
      <c r="B3181">
        <v>36</v>
      </c>
      <c r="C3181">
        <v>36.75</v>
      </c>
      <c r="D3181">
        <v>36</v>
      </c>
      <c r="E3181">
        <v>36.5</v>
      </c>
      <c r="F3181">
        <v>982900</v>
      </c>
    </row>
    <row r="3182" spans="1:6">
      <c r="A3182" s="32">
        <v>39080</v>
      </c>
      <c r="B3182">
        <v>37.25</v>
      </c>
      <c r="C3182">
        <v>37.25</v>
      </c>
      <c r="D3182">
        <v>36.75</v>
      </c>
      <c r="E3182">
        <v>37</v>
      </c>
      <c r="F3182">
        <v>474500</v>
      </c>
    </row>
    <row r="3183" spans="1:6">
      <c r="A3183" s="32">
        <v>39079</v>
      </c>
      <c r="B3183">
        <v>37.5</v>
      </c>
      <c r="C3183">
        <v>38</v>
      </c>
      <c r="D3183">
        <v>37</v>
      </c>
      <c r="E3183">
        <v>37.5</v>
      </c>
      <c r="F3183">
        <v>335400</v>
      </c>
    </row>
    <row r="3184" spans="1:6">
      <c r="A3184" s="32">
        <v>39078</v>
      </c>
      <c r="B3184">
        <v>37.75</v>
      </c>
      <c r="C3184">
        <v>37.75</v>
      </c>
      <c r="D3184">
        <v>37.5</v>
      </c>
      <c r="E3184">
        <v>37.75</v>
      </c>
      <c r="F3184">
        <v>244300</v>
      </c>
    </row>
    <row r="3185" spans="1:6">
      <c r="A3185" s="32">
        <v>39077</v>
      </c>
      <c r="B3185">
        <v>37.5</v>
      </c>
      <c r="C3185">
        <v>37.75</v>
      </c>
      <c r="D3185">
        <v>37.5</v>
      </c>
      <c r="E3185">
        <v>37.75</v>
      </c>
      <c r="F3185">
        <v>203200</v>
      </c>
    </row>
    <row r="3186" spans="1:6">
      <c r="A3186" s="32">
        <v>39076</v>
      </c>
      <c r="B3186">
        <v>36.75</v>
      </c>
      <c r="C3186">
        <v>37.25</v>
      </c>
      <c r="D3186">
        <v>36.5</v>
      </c>
      <c r="E3186">
        <v>36.75</v>
      </c>
      <c r="F3186">
        <v>0</v>
      </c>
    </row>
    <row r="3187" spans="1:6">
      <c r="A3187" s="32">
        <v>39073</v>
      </c>
      <c r="B3187">
        <v>38</v>
      </c>
      <c r="C3187">
        <v>38</v>
      </c>
      <c r="D3187">
        <v>36.5</v>
      </c>
      <c r="E3187">
        <v>37.5</v>
      </c>
      <c r="F3187">
        <v>0</v>
      </c>
    </row>
    <row r="3188" spans="1:6">
      <c r="A3188" s="32">
        <v>39072</v>
      </c>
      <c r="B3188">
        <v>37.5</v>
      </c>
      <c r="C3188">
        <v>38</v>
      </c>
      <c r="D3188">
        <v>36</v>
      </c>
      <c r="E3188">
        <v>37.75</v>
      </c>
      <c r="F3188">
        <v>0</v>
      </c>
    </row>
    <row r="3189" spans="1:6">
      <c r="A3189" s="32">
        <v>39071</v>
      </c>
      <c r="B3189">
        <v>37.5</v>
      </c>
      <c r="C3189">
        <v>38.25</v>
      </c>
      <c r="D3189">
        <v>36.5</v>
      </c>
      <c r="E3189">
        <v>37.5</v>
      </c>
      <c r="F3189">
        <v>0</v>
      </c>
    </row>
    <row r="3190" spans="1:6">
      <c r="A3190" s="32">
        <v>39070</v>
      </c>
      <c r="B3190">
        <v>35.5</v>
      </c>
      <c r="C3190">
        <v>36.75</v>
      </c>
      <c r="D3190">
        <v>34.75</v>
      </c>
      <c r="E3190">
        <v>36.5</v>
      </c>
      <c r="F3190">
        <v>0</v>
      </c>
    </row>
    <row r="3191" spans="1:6">
      <c r="A3191" s="32">
        <v>39069</v>
      </c>
      <c r="B3191">
        <v>39.25</v>
      </c>
      <c r="C3191">
        <v>39.25</v>
      </c>
      <c r="D3191">
        <v>38.5</v>
      </c>
      <c r="E3191">
        <v>38.5</v>
      </c>
      <c r="F3191">
        <v>0</v>
      </c>
    </row>
    <row r="3192" spans="1:6">
      <c r="A3192" s="32">
        <v>39066</v>
      </c>
      <c r="B3192">
        <v>38.25</v>
      </c>
      <c r="C3192">
        <v>39.25</v>
      </c>
      <c r="D3192">
        <v>38.25</v>
      </c>
      <c r="E3192">
        <v>39.25</v>
      </c>
      <c r="F3192">
        <v>0</v>
      </c>
    </row>
    <row r="3193" spans="1:6">
      <c r="A3193" s="32">
        <v>39065</v>
      </c>
      <c r="B3193">
        <v>38.75</v>
      </c>
      <c r="C3193">
        <v>39.5</v>
      </c>
      <c r="D3193">
        <v>38</v>
      </c>
      <c r="E3193">
        <v>38.5</v>
      </c>
      <c r="F3193">
        <v>0</v>
      </c>
    </row>
    <row r="3194" spans="1:6">
      <c r="A3194" s="32">
        <v>39064</v>
      </c>
      <c r="B3194">
        <v>39</v>
      </c>
      <c r="C3194">
        <v>39.5</v>
      </c>
      <c r="D3194">
        <v>38.75</v>
      </c>
      <c r="E3194">
        <v>39.5</v>
      </c>
      <c r="F3194">
        <v>0</v>
      </c>
    </row>
    <row r="3195" spans="1:6">
      <c r="A3195" s="32">
        <v>39063</v>
      </c>
      <c r="B3195">
        <v>39</v>
      </c>
      <c r="C3195">
        <v>39</v>
      </c>
      <c r="D3195">
        <v>38</v>
      </c>
      <c r="E3195">
        <v>39</v>
      </c>
      <c r="F3195">
        <v>11900</v>
      </c>
    </row>
    <row r="3196" spans="1:6">
      <c r="A3196" s="32">
        <v>39059</v>
      </c>
      <c r="B3196">
        <v>39.75</v>
      </c>
      <c r="C3196">
        <v>39.75</v>
      </c>
      <c r="D3196">
        <v>38.75</v>
      </c>
      <c r="E3196">
        <v>39.5</v>
      </c>
      <c r="F3196">
        <v>4400</v>
      </c>
    </row>
    <row r="3197" spans="1:6">
      <c r="A3197" s="32">
        <v>39058</v>
      </c>
      <c r="B3197">
        <v>38</v>
      </c>
      <c r="C3197">
        <v>39.75</v>
      </c>
      <c r="D3197">
        <v>37.75</v>
      </c>
      <c r="E3197">
        <v>39.75</v>
      </c>
      <c r="F3197">
        <v>0</v>
      </c>
    </row>
    <row r="3198" spans="1:6">
      <c r="A3198" s="32">
        <v>39057</v>
      </c>
      <c r="B3198">
        <v>37.75</v>
      </c>
      <c r="C3198">
        <v>38.25</v>
      </c>
      <c r="D3198">
        <v>37.75</v>
      </c>
      <c r="E3198">
        <v>38.25</v>
      </c>
      <c r="F3198">
        <v>0</v>
      </c>
    </row>
    <row r="3199" spans="1:6">
      <c r="A3199" s="32">
        <v>39055</v>
      </c>
      <c r="B3199">
        <v>37</v>
      </c>
      <c r="C3199">
        <v>37.5</v>
      </c>
      <c r="D3199">
        <v>36.75</v>
      </c>
      <c r="E3199">
        <v>37.5</v>
      </c>
      <c r="F3199">
        <v>0</v>
      </c>
    </row>
    <row r="3200" spans="1:6">
      <c r="A3200" s="32">
        <v>39052</v>
      </c>
      <c r="B3200">
        <v>36.5</v>
      </c>
      <c r="C3200">
        <v>37</v>
      </c>
      <c r="D3200">
        <v>36.5</v>
      </c>
      <c r="E3200">
        <v>36.75</v>
      </c>
      <c r="F3200">
        <v>0</v>
      </c>
    </row>
    <row r="3201" spans="1:6">
      <c r="A3201" s="32">
        <v>39051</v>
      </c>
      <c r="B3201">
        <v>36.75</v>
      </c>
      <c r="C3201">
        <v>36.75</v>
      </c>
      <c r="D3201">
        <v>36.5</v>
      </c>
      <c r="E3201">
        <v>36.5</v>
      </c>
      <c r="F3201">
        <v>0</v>
      </c>
    </row>
    <row r="3202" spans="1:6">
      <c r="A3202" s="32">
        <v>39050</v>
      </c>
      <c r="B3202">
        <v>36.25</v>
      </c>
      <c r="C3202">
        <v>36.5</v>
      </c>
      <c r="D3202">
        <v>36.25</v>
      </c>
      <c r="E3202">
        <v>36.5</v>
      </c>
      <c r="F3202">
        <v>0</v>
      </c>
    </row>
    <row r="3203" spans="1:6">
      <c r="A3203" s="32">
        <v>39049</v>
      </c>
      <c r="B3203">
        <v>36</v>
      </c>
      <c r="C3203">
        <v>36.5</v>
      </c>
      <c r="D3203">
        <v>36</v>
      </c>
      <c r="E3203">
        <v>36.25</v>
      </c>
      <c r="F3203">
        <v>0</v>
      </c>
    </row>
    <row r="3204" spans="1:6">
      <c r="A3204" s="32">
        <v>39048</v>
      </c>
      <c r="B3204">
        <v>36.5</v>
      </c>
      <c r="C3204">
        <v>36.75</v>
      </c>
      <c r="D3204">
        <v>36.5</v>
      </c>
      <c r="E3204">
        <v>36.75</v>
      </c>
      <c r="F3204">
        <v>0</v>
      </c>
    </row>
    <row r="3205" spans="1:6">
      <c r="A3205" s="32">
        <v>39045</v>
      </c>
      <c r="B3205">
        <v>36.5</v>
      </c>
      <c r="C3205">
        <v>36.5</v>
      </c>
      <c r="D3205">
        <v>36.5</v>
      </c>
      <c r="E3205">
        <v>36.5</v>
      </c>
      <c r="F3205">
        <v>0</v>
      </c>
    </row>
    <row r="3206" spans="1:6">
      <c r="A3206" s="32">
        <v>39044</v>
      </c>
      <c r="B3206">
        <v>36.25</v>
      </c>
      <c r="C3206">
        <v>36.75</v>
      </c>
      <c r="D3206">
        <v>36.25</v>
      </c>
      <c r="E3206">
        <v>36.5</v>
      </c>
      <c r="F3206">
        <v>0</v>
      </c>
    </row>
    <row r="3207" spans="1:6">
      <c r="A3207" s="32">
        <v>39043</v>
      </c>
      <c r="B3207">
        <v>36</v>
      </c>
      <c r="C3207">
        <v>36.5</v>
      </c>
      <c r="D3207">
        <v>36</v>
      </c>
      <c r="E3207">
        <v>36.25</v>
      </c>
      <c r="F3207">
        <v>0</v>
      </c>
    </row>
    <row r="3208" spans="1:6">
      <c r="A3208" s="32">
        <v>39042</v>
      </c>
      <c r="B3208">
        <v>36.5</v>
      </c>
      <c r="C3208">
        <v>36.5</v>
      </c>
      <c r="D3208">
        <v>35.75</v>
      </c>
      <c r="E3208">
        <v>35.75</v>
      </c>
      <c r="F3208">
        <v>0</v>
      </c>
    </row>
    <row r="3209" spans="1:6">
      <c r="A3209" s="32">
        <v>39041</v>
      </c>
      <c r="B3209">
        <v>36.5</v>
      </c>
      <c r="C3209">
        <v>36.5</v>
      </c>
      <c r="D3209">
        <v>36.5</v>
      </c>
      <c r="E3209">
        <v>36.5</v>
      </c>
      <c r="F3209">
        <v>0</v>
      </c>
    </row>
    <row r="3210" spans="1:6">
      <c r="A3210" s="32">
        <v>39038</v>
      </c>
      <c r="B3210">
        <v>36.25</v>
      </c>
      <c r="C3210">
        <v>36.75</v>
      </c>
      <c r="D3210">
        <v>36.25</v>
      </c>
      <c r="E3210">
        <v>36.5</v>
      </c>
      <c r="F3210">
        <v>0</v>
      </c>
    </row>
    <row r="3211" spans="1:6">
      <c r="A3211" s="32">
        <v>39037</v>
      </c>
      <c r="B3211">
        <v>36.5</v>
      </c>
      <c r="C3211">
        <v>36.5</v>
      </c>
      <c r="D3211">
        <v>35.5</v>
      </c>
      <c r="E3211">
        <v>36.25</v>
      </c>
      <c r="F3211">
        <v>0</v>
      </c>
    </row>
    <row r="3212" spans="1:6">
      <c r="A3212" s="32">
        <v>39036</v>
      </c>
      <c r="B3212">
        <v>36.5</v>
      </c>
      <c r="C3212">
        <v>36.5</v>
      </c>
      <c r="D3212">
        <v>36.25</v>
      </c>
      <c r="E3212">
        <v>36.5</v>
      </c>
      <c r="F3212">
        <v>0</v>
      </c>
    </row>
    <row r="3213" spans="1:6">
      <c r="A3213" s="32">
        <v>39035</v>
      </c>
      <c r="B3213">
        <v>36.5</v>
      </c>
      <c r="C3213">
        <v>36.75</v>
      </c>
      <c r="D3213">
        <v>36.25</v>
      </c>
      <c r="E3213">
        <v>36.25</v>
      </c>
      <c r="F3213">
        <v>0</v>
      </c>
    </row>
    <row r="3214" spans="1:6">
      <c r="A3214" s="32">
        <v>39034</v>
      </c>
      <c r="B3214">
        <v>36.5</v>
      </c>
      <c r="C3214">
        <v>36.5</v>
      </c>
      <c r="D3214">
        <v>36.25</v>
      </c>
      <c r="E3214">
        <v>36.5</v>
      </c>
      <c r="F3214">
        <v>0</v>
      </c>
    </row>
    <row r="3215" spans="1:6">
      <c r="A3215" s="32">
        <v>39031</v>
      </c>
      <c r="B3215">
        <v>36.5</v>
      </c>
      <c r="C3215">
        <v>37</v>
      </c>
      <c r="D3215">
        <v>36</v>
      </c>
      <c r="E3215">
        <v>36.25</v>
      </c>
      <c r="F3215">
        <v>0</v>
      </c>
    </row>
    <row r="3216" spans="1:6">
      <c r="A3216" s="32">
        <v>39030</v>
      </c>
      <c r="B3216">
        <v>37</v>
      </c>
      <c r="C3216">
        <v>37</v>
      </c>
      <c r="D3216">
        <v>36.25</v>
      </c>
      <c r="E3216">
        <v>36.25</v>
      </c>
      <c r="F3216">
        <v>0</v>
      </c>
    </row>
    <row r="3217" spans="1:6">
      <c r="A3217" s="32">
        <v>39029</v>
      </c>
      <c r="B3217">
        <v>37</v>
      </c>
      <c r="C3217">
        <v>37.25</v>
      </c>
      <c r="D3217">
        <v>37</v>
      </c>
      <c r="E3217">
        <v>37</v>
      </c>
      <c r="F3217">
        <v>0</v>
      </c>
    </row>
    <row r="3218" spans="1:6">
      <c r="A3218" s="32">
        <v>39028</v>
      </c>
      <c r="B3218">
        <v>37.5</v>
      </c>
      <c r="C3218">
        <v>37.5</v>
      </c>
      <c r="D3218">
        <v>36.75</v>
      </c>
      <c r="E3218">
        <v>36.75</v>
      </c>
      <c r="F3218">
        <v>0</v>
      </c>
    </row>
    <row r="3219" spans="1:6">
      <c r="A3219" s="32">
        <v>39027</v>
      </c>
      <c r="B3219">
        <v>37.25</v>
      </c>
      <c r="C3219">
        <v>37.25</v>
      </c>
      <c r="D3219">
        <v>37</v>
      </c>
      <c r="E3219">
        <v>37</v>
      </c>
      <c r="F3219">
        <v>0</v>
      </c>
    </row>
    <row r="3220" spans="1:6">
      <c r="A3220" s="32">
        <v>39024</v>
      </c>
      <c r="B3220">
        <v>37.25</v>
      </c>
      <c r="C3220">
        <v>37.5</v>
      </c>
      <c r="D3220">
        <v>37.25</v>
      </c>
      <c r="E3220">
        <v>37.5</v>
      </c>
      <c r="F3220">
        <v>0</v>
      </c>
    </row>
    <row r="3221" spans="1:6">
      <c r="A3221" s="32">
        <v>39023</v>
      </c>
      <c r="B3221">
        <v>38</v>
      </c>
      <c r="C3221">
        <v>38</v>
      </c>
      <c r="D3221">
        <v>37.25</v>
      </c>
      <c r="E3221">
        <v>37.25</v>
      </c>
      <c r="F3221">
        <v>0</v>
      </c>
    </row>
    <row r="3222" spans="1:6">
      <c r="A3222" s="32">
        <v>39022</v>
      </c>
      <c r="B3222">
        <v>37</v>
      </c>
      <c r="C3222">
        <v>38</v>
      </c>
      <c r="D3222">
        <v>37</v>
      </c>
      <c r="E3222">
        <v>38</v>
      </c>
      <c r="F3222">
        <v>0</v>
      </c>
    </row>
    <row r="3223" spans="1:6">
      <c r="A3223" s="32">
        <v>39021</v>
      </c>
      <c r="B3223">
        <v>36.75</v>
      </c>
      <c r="C3223">
        <v>37</v>
      </c>
      <c r="D3223">
        <v>36.75</v>
      </c>
      <c r="E3223">
        <v>36.75</v>
      </c>
      <c r="F3223">
        <v>0</v>
      </c>
    </row>
    <row r="3224" spans="1:6">
      <c r="A3224" s="32">
        <v>39020</v>
      </c>
      <c r="B3224">
        <v>37</v>
      </c>
      <c r="C3224">
        <v>37</v>
      </c>
      <c r="D3224">
        <v>36.5</v>
      </c>
      <c r="E3224">
        <v>36.75</v>
      </c>
      <c r="F3224">
        <v>0</v>
      </c>
    </row>
    <row r="3225" spans="1:6">
      <c r="A3225" s="32">
        <v>39017</v>
      </c>
      <c r="B3225">
        <v>37.75</v>
      </c>
      <c r="C3225">
        <v>37.75</v>
      </c>
      <c r="D3225">
        <v>37</v>
      </c>
      <c r="E3225">
        <v>37</v>
      </c>
      <c r="F3225">
        <v>0</v>
      </c>
    </row>
    <row r="3226" spans="1:6">
      <c r="A3226" s="32">
        <v>39016</v>
      </c>
      <c r="B3226">
        <v>37.25</v>
      </c>
      <c r="C3226">
        <v>37.5</v>
      </c>
      <c r="D3226">
        <v>37.25</v>
      </c>
      <c r="E3226">
        <v>37.25</v>
      </c>
      <c r="F3226">
        <v>0</v>
      </c>
    </row>
    <row r="3227" spans="1:6">
      <c r="A3227" s="32">
        <v>39015</v>
      </c>
      <c r="B3227">
        <v>37.25</v>
      </c>
      <c r="C3227">
        <v>37.5</v>
      </c>
      <c r="D3227">
        <v>37.25</v>
      </c>
      <c r="E3227">
        <v>37.25</v>
      </c>
      <c r="F3227">
        <v>0</v>
      </c>
    </row>
    <row r="3228" spans="1:6">
      <c r="A3228" s="32">
        <v>39014</v>
      </c>
      <c r="B3228">
        <v>37.25</v>
      </c>
      <c r="C3228">
        <v>37.25</v>
      </c>
      <c r="D3228">
        <v>37</v>
      </c>
      <c r="E3228">
        <v>37.25</v>
      </c>
      <c r="F3228">
        <v>0</v>
      </c>
    </row>
    <row r="3229" spans="1:6">
      <c r="A3229" s="32">
        <v>39010</v>
      </c>
      <c r="B3229">
        <v>37</v>
      </c>
      <c r="C3229">
        <v>37.25</v>
      </c>
      <c r="D3229">
        <v>36.5</v>
      </c>
      <c r="E3229">
        <v>36.75</v>
      </c>
      <c r="F3229">
        <v>0</v>
      </c>
    </row>
    <row r="3230" spans="1:6">
      <c r="A3230" s="32">
        <v>39009</v>
      </c>
      <c r="B3230">
        <v>37.5</v>
      </c>
      <c r="C3230">
        <v>38</v>
      </c>
      <c r="D3230">
        <v>37</v>
      </c>
      <c r="E3230">
        <v>37</v>
      </c>
      <c r="F3230">
        <v>0</v>
      </c>
    </row>
    <row r="3231" spans="1:6">
      <c r="A3231" s="32">
        <v>39008</v>
      </c>
      <c r="B3231">
        <v>37.5</v>
      </c>
      <c r="C3231">
        <v>37.75</v>
      </c>
      <c r="D3231">
        <v>37.25</v>
      </c>
      <c r="E3231">
        <v>37.75</v>
      </c>
      <c r="F3231">
        <v>0</v>
      </c>
    </row>
    <row r="3232" spans="1:6">
      <c r="A3232" s="32">
        <v>39007</v>
      </c>
      <c r="B3232">
        <v>37.25</v>
      </c>
      <c r="C3232">
        <v>37.75</v>
      </c>
      <c r="D3232">
        <v>37.25</v>
      </c>
      <c r="E3232">
        <v>37.5</v>
      </c>
      <c r="F3232">
        <v>0</v>
      </c>
    </row>
    <row r="3233" spans="1:6">
      <c r="A3233" s="32">
        <v>39006</v>
      </c>
      <c r="B3233">
        <v>37.25</v>
      </c>
      <c r="C3233">
        <v>37.75</v>
      </c>
      <c r="D3233">
        <v>37</v>
      </c>
      <c r="E3233">
        <v>37.75</v>
      </c>
      <c r="F3233">
        <v>0</v>
      </c>
    </row>
    <row r="3234" spans="1:6">
      <c r="A3234" s="32">
        <v>39003</v>
      </c>
      <c r="B3234">
        <v>37.5</v>
      </c>
      <c r="C3234">
        <v>37.5</v>
      </c>
      <c r="D3234">
        <v>36.75</v>
      </c>
      <c r="E3234">
        <v>37</v>
      </c>
      <c r="F3234">
        <v>0</v>
      </c>
    </row>
    <row r="3235" spans="1:6">
      <c r="A3235" s="32">
        <v>39002</v>
      </c>
      <c r="B3235">
        <v>37.5</v>
      </c>
      <c r="C3235">
        <v>37.5</v>
      </c>
      <c r="D3235">
        <v>37</v>
      </c>
      <c r="E3235">
        <v>37.5</v>
      </c>
      <c r="F3235">
        <v>0</v>
      </c>
    </row>
    <row r="3236" spans="1:6">
      <c r="A3236" s="32">
        <v>39001</v>
      </c>
      <c r="B3236">
        <v>38</v>
      </c>
      <c r="C3236">
        <v>38</v>
      </c>
      <c r="D3236">
        <v>37.25</v>
      </c>
      <c r="E3236">
        <v>37.25</v>
      </c>
      <c r="F3236">
        <v>0</v>
      </c>
    </row>
    <row r="3237" spans="1:6">
      <c r="A3237" s="32">
        <v>39000</v>
      </c>
      <c r="B3237">
        <v>38.5</v>
      </c>
      <c r="C3237">
        <v>38.75</v>
      </c>
      <c r="D3237">
        <v>38</v>
      </c>
      <c r="E3237">
        <v>38.25</v>
      </c>
      <c r="F3237">
        <v>0</v>
      </c>
    </row>
    <row r="3238" spans="1:6">
      <c r="A3238" s="32">
        <v>38999</v>
      </c>
      <c r="B3238">
        <v>38</v>
      </c>
      <c r="C3238">
        <v>38.75</v>
      </c>
      <c r="D3238">
        <v>38</v>
      </c>
      <c r="E3238">
        <v>38.25</v>
      </c>
      <c r="F3238">
        <v>0</v>
      </c>
    </row>
    <row r="3239" spans="1:6">
      <c r="A3239" s="32">
        <v>38996</v>
      </c>
      <c r="B3239">
        <v>38.5</v>
      </c>
      <c r="C3239">
        <v>38.75</v>
      </c>
      <c r="D3239">
        <v>38</v>
      </c>
      <c r="E3239">
        <v>38</v>
      </c>
      <c r="F3239">
        <v>0</v>
      </c>
    </row>
    <row r="3240" spans="1:6">
      <c r="A3240" s="32">
        <v>38995</v>
      </c>
      <c r="B3240">
        <v>37.5</v>
      </c>
      <c r="C3240">
        <v>38.5</v>
      </c>
      <c r="D3240">
        <v>37.5</v>
      </c>
      <c r="E3240">
        <v>38.25</v>
      </c>
      <c r="F3240">
        <v>0</v>
      </c>
    </row>
    <row r="3241" spans="1:6">
      <c r="A3241" s="32">
        <v>38994</v>
      </c>
      <c r="B3241">
        <v>37</v>
      </c>
      <c r="C3241">
        <v>37.25</v>
      </c>
      <c r="D3241">
        <v>37</v>
      </c>
      <c r="E3241">
        <v>37.25</v>
      </c>
      <c r="F3241">
        <v>0</v>
      </c>
    </row>
    <row r="3242" spans="1:6">
      <c r="A3242" s="32">
        <v>38993</v>
      </c>
      <c r="B3242">
        <v>37</v>
      </c>
      <c r="C3242">
        <v>37</v>
      </c>
      <c r="D3242">
        <v>36.25</v>
      </c>
      <c r="E3242">
        <v>37</v>
      </c>
      <c r="F3242">
        <v>0</v>
      </c>
    </row>
    <row r="3243" spans="1:6">
      <c r="A3243" s="32">
        <v>38992</v>
      </c>
      <c r="B3243">
        <v>37.75</v>
      </c>
      <c r="C3243">
        <v>37.75</v>
      </c>
      <c r="D3243">
        <v>37</v>
      </c>
      <c r="E3243">
        <v>37</v>
      </c>
      <c r="F3243">
        <v>0</v>
      </c>
    </row>
    <row r="3244" spans="1:6">
      <c r="A3244" s="32">
        <v>38989</v>
      </c>
      <c r="B3244">
        <v>38.5</v>
      </c>
      <c r="C3244">
        <v>38.5</v>
      </c>
      <c r="D3244">
        <v>37.25</v>
      </c>
      <c r="E3244">
        <v>37.25</v>
      </c>
      <c r="F3244">
        <v>0</v>
      </c>
    </row>
    <row r="3245" spans="1:6">
      <c r="A3245" s="32">
        <v>38988</v>
      </c>
      <c r="B3245">
        <v>38.75</v>
      </c>
      <c r="C3245">
        <v>39</v>
      </c>
      <c r="D3245">
        <v>38.75</v>
      </c>
      <c r="E3245">
        <v>38.75</v>
      </c>
      <c r="F3245">
        <v>2000</v>
      </c>
    </row>
    <row r="3246" spans="1:6">
      <c r="A3246" s="32">
        <v>38987</v>
      </c>
      <c r="B3246">
        <v>39</v>
      </c>
      <c r="C3246">
        <v>39</v>
      </c>
      <c r="D3246">
        <v>38.75</v>
      </c>
      <c r="E3246">
        <v>38.75</v>
      </c>
      <c r="F3246">
        <v>0</v>
      </c>
    </row>
    <row r="3247" spans="1:6">
      <c r="A3247" s="32">
        <v>38986</v>
      </c>
      <c r="B3247">
        <v>38.25</v>
      </c>
      <c r="C3247">
        <v>39.5</v>
      </c>
      <c r="D3247">
        <v>38.25</v>
      </c>
      <c r="E3247">
        <v>39</v>
      </c>
      <c r="F3247">
        <v>0</v>
      </c>
    </row>
    <row r="3248" spans="1:6">
      <c r="A3248" s="32">
        <v>38985</v>
      </c>
      <c r="B3248">
        <v>38.25</v>
      </c>
      <c r="C3248">
        <v>38.5</v>
      </c>
      <c r="D3248">
        <v>38.25</v>
      </c>
      <c r="E3248">
        <v>38.5</v>
      </c>
      <c r="F3248">
        <v>0</v>
      </c>
    </row>
    <row r="3249" spans="1:6">
      <c r="A3249" s="32">
        <v>38982</v>
      </c>
      <c r="B3249">
        <v>38.75</v>
      </c>
      <c r="C3249">
        <v>38.75</v>
      </c>
      <c r="D3249">
        <v>38</v>
      </c>
      <c r="E3249">
        <v>38</v>
      </c>
      <c r="F3249">
        <v>0</v>
      </c>
    </row>
    <row r="3250" spans="1:6">
      <c r="A3250" s="32">
        <v>38981</v>
      </c>
      <c r="B3250">
        <v>36.25</v>
      </c>
      <c r="C3250">
        <v>38.75</v>
      </c>
      <c r="D3250">
        <v>36.25</v>
      </c>
      <c r="E3250">
        <v>38.5</v>
      </c>
      <c r="F3250">
        <v>0</v>
      </c>
    </row>
    <row r="3251" spans="1:6">
      <c r="A3251" s="32">
        <v>38979</v>
      </c>
      <c r="B3251">
        <v>38.75</v>
      </c>
      <c r="C3251">
        <v>39</v>
      </c>
      <c r="D3251">
        <v>38</v>
      </c>
      <c r="E3251">
        <v>38</v>
      </c>
      <c r="F3251">
        <v>0</v>
      </c>
    </row>
    <row r="3252" spans="1:6">
      <c r="A3252" s="32">
        <v>38978</v>
      </c>
      <c r="B3252">
        <v>37.5</v>
      </c>
      <c r="C3252">
        <v>39</v>
      </c>
      <c r="D3252">
        <v>37.25</v>
      </c>
      <c r="E3252">
        <v>39</v>
      </c>
      <c r="F3252">
        <v>0</v>
      </c>
    </row>
    <row r="3253" spans="1:6">
      <c r="A3253" s="32">
        <v>38975</v>
      </c>
      <c r="B3253">
        <v>38</v>
      </c>
      <c r="C3253">
        <v>38.25</v>
      </c>
      <c r="D3253">
        <v>38</v>
      </c>
      <c r="E3253">
        <v>38</v>
      </c>
      <c r="F3253">
        <v>8000</v>
      </c>
    </row>
    <row r="3254" spans="1:6">
      <c r="A3254" s="32">
        <v>38974</v>
      </c>
      <c r="B3254">
        <v>38.5</v>
      </c>
      <c r="C3254">
        <v>38.5</v>
      </c>
      <c r="D3254">
        <v>37.75</v>
      </c>
      <c r="E3254">
        <v>37.75</v>
      </c>
      <c r="F3254">
        <v>10000</v>
      </c>
    </row>
    <row r="3255" spans="1:6">
      <c r="A3255" s="32">
        <v>38973</v>
      </c>
      <c r="B3255">
        <v>37.5</v>
      </c>
      <c r="C3255">
        <v>39</v>
      </c>
      <c r="D3255">
        <v>37.5</v>
      </c>
      <c r="E3255">
        <v>38.5</v>
      </c>
      <c r="F3255">
        <v>0</v>
      </c>
    </row>
    <row r="3256" spans="1:6">
      <c r="A3256" s="32">
        <v>38972</v>
      </c>
      <c r="B3256">
        <v>37.25</v>
      </c>
      <c r="C3256">
        <v>37.25</v>
      </c>
      <c r="D3256">
        <v>37</v>
      </c>
      <c r="E3256">
        <v>37.25</v>
      </c>
      <c r="F3256">
        <v>0</v>
      </c>
    </row>
    <row r="3257" spans="1:6">
      <c r="A3257" s="32">
        <v>38971</v>
      </c>
      <c r="B3257">
        <v>37.5</v>
      </c>
      <c r="C3257">
        <v>37.5</v>
      </c>
      <c r="D3257">
        <v>37</v>
      </c>
      <c r="E3257">
        <v>37</v>
      </c>
      <c r="F3257">
        <v>0</v>
      </c>
    </row>
    <row r="3258" spans="1:6">
      <c r="A3258" s="32">
        <v>38968</v>
      </c>
      <c r="B3258">
        <v>37.5</v>
      </c>
      <c r="C3258">
        <v>37.5</v>
      </c>
      <c r="D3258">
        <v>37</v>
      </c>
      <c r="E3258">
        <v>37.5</v>
      </c>
      <c r="F3258">
        <v>0</v>
      </c>
    </row>
    <row r="3259" spans="1:6">
      <c r="A3259" s="32">
        <v>38967</v>
      </c>
      <c r="B3259">
        <v>37</v>
      </c>
      <c r="C3259">
        <v>37.25</v>
      </c>
      <c r="D3259">
        <v>36.25</v>
      </c>
      <c r="E3259">
        <v>37</v>
      </c>
      <c r="F3259">
        <v>0</v>
      </c>
    </row>
    <row r="3260" spans="1:6">
      <c r="A3260" s="32">
        <v>38966</v>
      </c>
      <c r="B3260">
        <v>36.5</v>
      </c>
      <c r="C3260">
        <v>37</v>
      </c>
      <c r="D3260">
        <v>36.25</v>
      </c>
      <c r="E3260">
        <v>37</v>
      </c>
      <c r="F3260">
        <v>0</v>
      </c>
    </row>
    <row r="3261" spans="1:6">
      <c r="A3261" s="32">
        <v>38965</v>
      </c>
      <c r="B3261">
        <v>36.25</v>
      </c>
      <c r="C3261">
        <v>36.5</v>
      </c>
      <c r="D3261">
        <v>36.25</v>
      </c>
      <c r="E3261">
        <v>36.25</v>
      </c>
      <c r="F3261">
        <v>0</v>
      </c>
    </row>
    <row r="3262" spans="1:6">
      <c r="A3262" s="32">
        <v>38964</v>
      </c>
      <c r="B3262">
        <v>35.75</v>
      </c>
      <c r="C3262">
        <v>37</v>
      </c>
      <c r="D3262">
        <v>35.75</v>
      </c>
      <c r="E3262">
        <v>37</v>
      </c>
      <c r="F3262">
        <v>0</v>
      </c>
    </row>
    <row r="3263" spans="1:6">
      <c r="A3263" s="32">
        <v>38961</v>
      </c>
      <c r="B3263">
        <v>36.25</v>
      </c>
      <c r="C3263">
        <v>36.25</v>
      </c>
      <c r="D3263">
        <v>35.75</v>
      </c>
      <c r="E3263">
        <v>35.75</v>
      </c>
      <c r="F3263">
        <v>0</v>
      </c>
    </row>
    <row r="3264" spans="1:6">
      <c r="A3264" s="32">
        <v>38960</v>
      </c>
      <c r="B3264">
        <v>36</v>
      </c>
      <c r="C3264">
        <v>36.25</v>
      </c>
      <c r="D3264">
        <v>36</v>
      </c>
      <c r="E3264">
        <v>36.25</v>
      </c>
      <c r="F3264">
        <v>0</v>
      </c>
    </row>
    <row r="3265" spans="1:6">
      <c r="A3265" s="32">
        <v>38959</v>
      </c>
      <c r="B3265">
        <v>36</v>
      </c>
      <c r="C3265">
        <v>36.25</v>
      </c>
      <c r="D3265">
        <v>35.75</v>
      </c>
      <c r="E3265">
        <v>36.25</v>
      </c>
      <c r="F3265">
        <v>0</v>
      </c>
    </row>
    <row r="3266" spans="1:6">
      <c r="A3266" s="32">
        <v>38958</v>
      </c>
      <c r="B3266">
        <v>36</v>
      </c>
      <c r="C3266">
        <v>36</v>
      </c>
      <c r="D3266">
        <v>35.75</v>
      </c>
      <c r="E3266">
        <v>35.75</v>
      </c>
      <c r="F3266">
        <v>0</v>
      </c>
    </row>
    <row r="3267" spans="1:6">
      <c r="A3267" s="32">
        <v>38957</v>
      </c>
      <c r="B3267">
        <v>36.5</v>
      </c>
      <c r="C3267">
        <v>36.5</v>
      </c>
      <c r="D3267">
        <v>36</v>
      </c>
      <c r="E3267">
        <v>36.25</v>
      </c>
      <c r="F3267">
        <v>0</v>
      </c>
    </row>
    <row r="3268" spans="1:6">
      <c r="A3268" s="32">
        <v>38954</v>
      </c>
      <c r="B3268">
        <v>36.5</v>
      </c>
      <c r="C3268">
        <v>36.5</v>
      </c>
      <c r="D3268">
        <v>36.5</v>
      </c>
      <c r="E3268">
        <v>36.5</v>
      </c>
      <c r="F3268">
        <v>0</v>
      </c>
    </row>
    <row r="3269" spans="1:6">
      <c r="A3269" s="32">
        <v>38953</v>
      </c>
      <c r="B3269">
        <v>37</v>
      </c>
      <c r="C3269">
        <v>37.25</v>
      </c>
      <c r="D3269">
        <v>36.25</v>
      </c>
      <c r="E3269">
        <v>36.75</v>
      </c>
      <c r="F3269">
        <v>0</v>
      </c>
    </row>
    <row r="3270" spans="1:6">
      <c r="A3270" s="32">
        <v>38952</v>
      </c>
      <c r="B3270">
        <v>37.5</v>
      </c>
      <c r="C3270">
        <v>37.75</v>
      </c>
      <c r="D3270">
        <v>37.5</v>
      </c>
      <c r="E3270">
        <v>37.75</v>
      </c>
      <c r="F3270">
        <v>0</v>
      </c>
    </row>
    <row r="3271" spans="1:6">
      <c r="A3271" s="32">
        <v>38951</v>
      </c>
      <c r="B3271">
        <v>37.5</v>
      </c>
      <c r="C3271">
        <v>37.75</v>
      </c>
      <c r="D3271">
        <v>37.5</v>
      </c>
      <c r="E3271">
        <v>37.75</v>
      </c>
      <c r="F3271">
        <v>0</v>
      </c>
    </row>
    <row r="3272" spans="1:6">
      <c r="A3272" s="32">
        <v>38950</v>
      </c>
      <c r="B3272">
        <v>37.5</v>
      </c>
      <c r="C3272">
        <v>37.75</v>
      </c>
      <c r="D3272">
        <v>37.5</v>
      </c>
      <c r="E3272">
        <v>37.5</v>
      </c>
      <c r="F3272">
        <v>0</v>
      </c>
    </row>
    <row r="3273" spans="1:6">
      <c r="A3273" s="32">
        <v>38947</v>
      </c>
      <c r="B3273">
        <v>38</v>
      </c>
      <c r="C3273">
        <v>38</v>
      </c>
      <c r="D3273">
        <v>37.5</v>
      </c>
      <c r="E3273">
        <v>37.5</v>
      </c>
      <c r="F3273">
        <v>0</v>
      </c>
    </row>
    <row r="3274" spans="1:6">
      <c r="A3274" s="32">
        <v>38946</v>
      </c>
      <c r="B3274">
        <v>38</v>
      </c>
      <c r="C3274">
        <v>38</v>
      </c>
      <c r="D3274">
        <v>37.5</v>
      </c>
      <c r="E3274">
        <v>38</v>
      </c>
      <c r="F3274">
        <v>30000</v>
      </c>
    </row>
    <row r="3275" spans="1:6">
      <c r="A3275" s="32">
        <v>38945</v>
      </c>
      <c r="B3275">
        <v>36.75</v>
      </c>
      <c r="C3275">
        <v>38</v>
      </c>
      <c r="D3275">
        <v>36.5</v>
      </c>
      <c r="E3275">
        <v>37.75</v>
      </c>
      <c r="F3275">
        <v>1000</v>
      </c>
    </row>
    <row r="3276" spans="1:6">
      <c r="A3276" s="32">
        <v>38944</v>
      </c>
      <c r="B3276">
        <v>35.75</v>
      </c>
      <c r="C3276">
        <v>36.75</v>
      </c>
      <c r="D3276">
        <v>35.75</v>
      </c>
      <c r="E3276">
        <v>36.5</v>
      </c>
      <c r="F3276">
        <v>0</v>
      </c>
    </row>
    <row r="3277" spans="1:6">
      <c r="A3277" s="32">
        <v>38940</v>
      </c>
      <c r="B3277">
        <v>35.5</v>
      </c>
      <c r="C3277">
        <v>35.75</v>
      </c>
      <c r="D3277">
        <v>35.5</v>
      </c>
      <c r="E3277">
        <v>35.75</v>
      </c>
      <c r="F3277">
        <v>0</v>
      </c>
    </row>
    <row r="3278" spans="1:6">
      <c r="A3278" s="32">
        <v>38939</v>
      </c>
      <c r="B3278">
        <v>35.25</v>
      </c>
      <c r="C3278">
        <v>35.25</v>
      </c>
      <c r="D3278">
        <v>34.75</v>
      </c>
      <c r="E3278">
        <v>35</v>
      </c>
      <c r="F3278">
        <v>0</v>
      </c>
    </row>
    <row r="3279" spans="1:6">
      <c r="A3279" s="32">
        <v>38938</v>
      </c>
      <c r="B3279">
        <v>35.25</v>
      </c>
      <c r="C3279">
        <v>35.25</v>
      </c>
      <c r="D3279">
        <v>35</v>
      </c>
      <c r="E3279">
        <v>35</v>
      </c>
      <c r="F3279">
        <v>0</v>
      </c>
    </row>
    <row r="3280" spans="1:6">
      <c r="A3280" s="32">
        <v>38937</v>
      </c>
      <c r="B3280">
        <v>35.75</v>
      </c>
      <c r="C3280">
        <v>36</v>
      </c>
      <c r="D3280">
        <v>35.25</v>
      </c>
      <c r="E3280">
        <v>35.25</v>
      </c>
      <c r="F3280">
        <v>0</v>
      </c>
    </row>
    <row r="3281" spans="1:6">
      <c r="A3281" s="32">
        <v>38936</v>
      </c>
      <c r="B3281">
        <v>35.25</v>
      </c>
      <c r="C3281">
        <v>36</v>
      </c>
      <c r="D3281">
        <v>34.75</v>
      </c>
      <c r="E3281">
        <v>35.75</v>
      </c>
      <c r="F3281">
        <v>0</v>
      </c>
    </row>
    <row r="3282" spans="1:6">
      <c r="A3282" s="32">
        <v>38933</v>
      </c>
      <c r="B3282">
        <v>35</v>
      </c>
      <c r="C3282">
        <v>35.75</v>
      </c>
      <c r="D3282">
        <v>35</v>
      </c>
      <c r="E3282">
        <v>35.5</v>
      </c>
      <c r="F3282">
        <v>0</v>
      </c>
    </row>
    <row r="3283" spans="1:6">
      <c r="A3283" s="32">
        <v>38932</v>
      </c>
      <c r="B3283">
        <v>35</v>
      </c>
      <c r="C3283">
        <v>35.5</v>
      </c>
      <c r="D3283">
        <v>35</v>
      </c>
      <c r="E3283">
        <v>35</v>
      </c>
      <c r="F3283">
        <v>0</v>
      </c>
    </row>
    <row r="3284" spans="1:6">
      <c r="A3284" s="32">
        <v>38931</v>
      </c>
      <c r="B3284">
        <v>35</v>
      </c>
      <c r="C3284">
        <v>35</v>
      </c>
      <c r="D3284">
        <v>34.75</v>
      </c>
      <c r="E3284">
        <v>35</v>
      </c>
      <c r="F3284">
        <v>0</v>
      </c>
    </row>
    <row r="3285" spans="1:6">
      <c r="A3285" s="32">
        <v>38930</v>
      </c>
      <c r="B3285">
        <v>36</v>
      </c>
      <c r="C3285">
        <v>36</v>
      </c>
      <c r="D3285">
        <v>34.25</v>
      </c>
      <c r="E3285">
        <v>34.5</v>
      </c>
      <c r="F3285">
        <v>0</v>
      </c>
    </row>
    <row r="3286" spans="1:6">
      <c r="A3286" s="32">
        <v>38929</v>
      </c>
      <c r="B3286">
        <v>36.25</v>
      </c>
      <c r="C3286">
        <v>36.25</v>
      </c>
      <c r="D3286">
        <v>35.25</v>
      </c>
      <c r="E3286">
        <v>35.5</v>
      </c>
      <c r="F3286">
        <v>0</v>
      </c>
    </row>
    <row r="3287" spans="1:6">
      <c r="A3287" s="32">
        <v>38926</v>
      </c>
      <c r="B3287">
        <v>36.5</v>
      </c>
      <c r="C3287">
        <v>36.5</v>
      </c>
      <c r="D3287">
        <v>36</v>
      </c>
      <c r="E3287">
        <v>36.25</v>
      </c>
      <c r="F3287">
        <v>0</v>
      </c>
    </row>
    <row r="3288" spans="1:6">
      <c r="A3288" s="32">
        <v>38925</v>
      </c>
      <c r="B3288">
        <v>35.75</v>
      </c>
      <c r="C3288">
        <v>37</v>
      </c>
      <c r="D3288">
        <v>35.75</v>
      </c>
      <c r="E3288">
        <v>36.5</v>
      </c>
      <c r="F3288">
        <v>5000</v>
      </c>
    </row>
    <row r="3289" spans="1:6">
      <c r="A3289" s="32">
        <v>38924</v>
      </c>
      <c r="B3289">
        <v>35</v>
      </c>
      <c r="C3289">
        <v>35.5</v>
      </c>
      <c r="D3289">
        <v>35</v>
      </c>
      <c r="E3289">
        <v>35.5</v>
      </c>
      <c r="F3289">
        <v>0</v>
      </c>
    </row>
    <row r="3290" spans="1:6">
      <c r="A3290" s="32">
        <v>38923</v>
      </c>
      <c r="B3290">
        <v>34.75</v>
      </c>
      <c r="C3290">
        <v>35.25</v>
      </c>
      <c r="D3290">
        <v>34.75</v>
      </c>
      <c r="E3290">
        <v>34.75</v>
      </c>
      <c r="F3290">
        <v>0</v>
      </c>
    </row>
    <row r="3291" spans="1:6">
      <c r="A3291" s="32">
        <v>38922</v>
      </c>
      <c r="B3291">
        <v>34.5</v>
      </c>
      <c r="C3291">
        <v>34.75</v>
      </c>
      <c r="D3291">
        <v>34.25</v>
      </c>
      <c r="E3291">
        <v>34.25</v>
      </c>
      <c r="F3291">
        <v>0</v>
      </c>
    </row>
    <row r="3292" spans="1:6">
      <c r="A3292" s="32">
        <v>38919</v>
      </c>
      <c r="B3292">
        <v>34.25</v>
      </c>
      <c r="C3292">
        <v>35.25</v>
      </c>
      <c r="D3292">
        <v>34.25</v>
      </c>
      <c r="E3292">
        <v>35</v>
      </c>
      <c r="F3292">
        <v>11000</v>
      </c>
    </row>
    <row r="3293" spans="1:6">
      <c r="A3293" s="32">
        <v>38918</v>
      </c>
      <c r="B3293">
        <v>34</v>
      </c>
      <c r="C3293">
        <v>34.25</v>
      </c>
      <c r="D3293">
        <v>33.75</v>
      </c>
      <c r="E3293">
        <v>34</v>
      </c>
      <c r="F3293">
        <v>80000</v>
      </c>
    </row>
    <row r="3294" spans="1:6">
      <c r="A3294" s="32">
        <v>38917</v>
      </c>
      <c r="B3294">
        <v>33.75</v>
      </c>
      <c r="C3294">
        <v>33.75</v>
      </c>
      <c r="D3294">
        <v>33.25</v>
      </c>
      <c r="E3294">
        <v>33.5</v>
      </c>
      <c r="F3294">
        <v>0</v>
      </c>
    </row>
    <row r="3295" spans="1:6">
      <c r="A3295" s="32">
        <v>38916</v>
      </c>
      <c r="B3295">
        <v>33.25</v>
      </c>
      <c r="C3295">
        <v>33.5</v>
      </c>
      <c r="D3295">
        <v>33</v>
      </c>
      <c r="E3295">
        <v>33.5</v>
      </c>
      <c r="F3295">
        <v>0</v>
      </c>
    </row>
    <row r="3296" spans="1:6">
      <c r="A3296" s="32">
        <v>38915</v>
      </c>
      <c r="B3296">
        <v>32.5</v>
      </c>
      <c r="C3296">
        <v>33</v>
      </c>
      <c r="D3296">
        <v>32.5</v>
      </c>
      <c r="E3296">
        <v>33</v>
      </c>
      <c r="F3296">
        <v>5000</v>
      </c>
    </row>
    <row r="3297" spans="1:6">
      <c r="A3297" s="32">
        <v>38912</v>
      </c>
      <c r="B3297">
        <v>32.75</v>
      </c>
      <c r="C3297">
        <v>33</v>
      </c>
      <c r="D3297">
        <v>32.5</v>
      </c>
      <c r="E3297">
        <v>32.75</v>
      </c>
      <c r="F3297">
        <v>0</v>
      </c>
    </row>
    <row r="3298" spans="1:6">
      <c r="A3298" s="32">
        <v>38911</v>
      </c>
      <c r="B3298">
        <v>33.25</v>
      </c>
      <c r="C3298">
        <v>33.25</v>
      </c>
      <c r="D3298">
        <v>32.75</v>
      </c>
      <c r="E3298">
        <v>33.25</v>
      </c>
      <c r="F3298">
        <v>0</v>
      </c>
    </row>
    <row r="3299" spans="1:6">
      <c r="A3299" s="32">
        <v>38910</v>
      </c>
      <c r="B3299">
        <v>33.5</v>
      </c>
      <c r="C3299">
        <v>33.75</v>
      </c>
      <c r="D3299">
        <v>33.25</v>
      </c>
      <c r="E3299">
        <v>33.25</v>
      </c>
      <c r="F3299">
        <v>0</v>
      </c>
    </row>
    <row r="3300" spans="1:6">
      <c r="A3300" s="32">
        <v>38908</v>
      </c>
      <c r="B3300">
        <v>33.5</v>
      </c>
      <c r="C3300">
        <v>33.75</v>
      </c>
      <c r="D3300">
        <v>33.5</v>
      </c>
      <c r="E3300">
        <v>33.75</v>
      </c>
      <c r="F3300">
        <v>0</v>
      </c>
    </row>
    <row r="3301" spans="1:6">
      <c r="A3301" s="32">
        <v>38905</v>
      </c>
      <c r="B3301">
        <v>33.75</v>
      </c>
      <c r="C3301">
        <v>34.5</v>
      </c>
      <c r="D3301">
        <v>33.25</v>
      </c>
      <c r="E3301">
        <v>33.25</v>
      </c>
      <c r="F3301">
        <v>20000</v>
      </c>
    </row>
    <row r="3302" spans="1:6">
      <c r="A3302" s="32">
        <v>38904</v>
      </c>
      <c r="B3302">
        <v>33.75</v>
      </c>
      <c r="C3302">
        <v>33.75</v>
      </c>
      <c r="D3302">
        <v>33.5</v>
      </c>
      <c r="E3302">
        <v>33.75</v>
      </c>
      <c r="F3302">
        <v>20000</v>
      </c>
    </row>
    <row r="3303" spans="1:6">
      <c r="A3303" s="32">
        <v>38903</v>
      </c>
      <c r="B3303">
        <v>33.75</v>
      </c>
      <c r="C3303">
        <v>33.75</v>
      </c>
      <c r="D3303">
        <v>33.5</v>
      </c>
      <c r="E3303">
        <v>33.5</v>
      </c>
      <c r="F3303">
        <v>0</v>
      </c>
    </row>
    <row r="3304" spans="1:6">
      <c r="A3304" s="32">
        <v>38902</v>
      </c>
      <c r="B3304">
        <v>33.25</v>
      </c>
      <c r="C3304">
        <v>34</v>
      </c>
      <c r="D3304">
        <v>33.25</v>
      </c>
      <c r="E3304">
        <v>34</v>
      </c>
      <c r="F3304">
        <v>245000</v>
      </c>
    </row>
    <row r="3305" spans="1:6">
      <c r="A3305" s="32">
        <v>38901</v>
      </c>
      <c r="B3305">
        <v>33</v>
      </c>
      <c r="C3305">
        <v>33.25</v>
      </c>
      <c r="D3305">
        <v>32.75</v>
      </c>
      <c r="E3305">
        <v>33.25</v>
      </c>
      <c r="F3305">
        <v>57900</v>
      </c>
    </row>
    <row r="3306" spans="1:6">
      <c r="A3306" s="32">
        <v>38898</v>
      </c>
      <c r="B3306">
        <v>33.25</v>
      </c>
      <c r="C3306">
        <v>33.5</v>
      </c>
      <c r="D3306">
        <v>32.75</v>
      </c>
      <c r="E3306">
        <v>32.75</v>
      </c>
      <c r="F3306">
        <v>145000</v>
      </c>
    </row>
    <row r="3307" spans="1:6">
      <c r="A3307" s="32">
        <v>38897</v>
      </c>
      <c r="B3307">
        <v>32.75</v>
      </c>
      <c r="C3307">
        <v>33.25</v>
      </c>
      <c r="D3307">
        <v>32.75</v>
      </c>
      <c r="E3307">
        <v>33</v>
      </c>
      <c r="F3307">
        <v>130000</v>
      </c>
    </row>
    <row r="3308" spans="1:6">
      <c r="A3308" s="32">
        <v>38896</v>
      </c>
      <c r="B3308">
        <v>32.25</v>
      </c>
      <c r="C3308">
        <v>32.75</v>
      </c>
      <c r="D3308">
        <v>32.25</v>
      </c>
      <c r="E3308">
        <v>32.75</v>
      </c>
      <c r="F3308">
        <v>0</v>
      </c>
    </row>
    <row r="3309" spans="1:6">
      <c r="A3309" s="32">
        <v>38895</v>
      </c>
      <c r="B3309">
        <v>32</v>
      </c>
      <c r="C3309">
        <v>32.5</v>
      </c>
      <c r="D3309">
        <v>32</v>
      </c>
      <c r="E3309">
        <v>32.5</v>
      </c>
      <c r="F3309">
        <v>10000</v>
      </c>
    </row>
    <row r="3310" spans="1:6">
      <c r="A3310" s="32">
        <v>38894</v>
      </c>
      <c r="B3310">
        <v>31.75</v>
      </c>
      <c r="C3310">
        <v>32</v>
      </c>
      <c r="D3310">
        <v>31.75</v>
      </c>
      <c r="E3310">
        <v>32</v>
      </c>
      <c r="F3310">
        <v>15000</v>
      </c>
    </row>
    <row r="3311" spans="1:6">
      <c r="A3311" s="32">
        <v>38891</v>
      </c>
      <c r="B3311">
        <v>32</v>
      </c>
      <c r="C3311">
        <v>32</v>
      </c>
      <c r="D3311">
        <v>31.75</v>
      </c>
      <c r="E3311">
        <v>31.75</v>
      </c>
      <c r="F3311">
        <v>0</v>
      </c>
    </row>
    <row r="3312" spans="1:6">
      <c r="A3312" s="32">
        <v>38890</v>
      </c>
      <c r="B3312">
        <v>32.25</v>
      </c>
      <c r="C3312">
        <v>32.25</v>
      </c>
      <c r="D3312">
        <v>32</v>
      </c>
      <c r="E3312">
        <v>32</v>
      </c>
      <c r="F3312">
        <v>1000</v>
      </c>
    </row>
    <row r="3313" spans="1:6">
      <c r="A3313" s="32">
        <v>38889</v>
      </c>
      <c r="B3313">
        <v>32</v>
      </c>
      <c r="C3313">
        <v>32.25</v>
      </c>
      <c r="D3313">
        <v>31.75</v>
      </c>
      <c r="E3313">
        <v>32.25</v>
      </c>
      <c r="F3313">
        <v>10000</v>
      </c>
    </row>
    <row r="3314" spans="1:6">
      <c r="A3314" s="32">
        <v>38888</v>
      </c>
      <c r="B3314">
        <v>32.5</v>
      </c>
      <c r="C3314">
        <v>32.5</v>
      </c>
      <c r="D3314">
        <v>32</v>
      </c>
      <c r="E3314">
        <v>32.25</v>
      </c>
      <c r="F3314">
        <v>0</v>
      </c>
    </row>
    <row r="3315" spans="1:6">
      <c r="A3315" s="32">
        <v>38887</v>
      </c>
      <c r="B3315">
        <v>32.75</v>
      </c>
      <c r="C3315">
        <v>32.75</v>
      </c>
      <c r="D3315">
        <v>32.25</v>
      </c>
      <c r="E3315">
        <v>32.5</v>
      </c>
      <c r="F3315">
        <v>20000</v>
      </c>
    </row>
    <row r="3316" spans="1:6">
      <c r="A3316" s="32">
        <v>38884</v>
      </c>
      <c r="B3316">
        <v>32.75</v>
      </c>
      <c r="C3316">
        <v>32.75</v>
      </c>
      <c r="D3316">
        <v>32.25</v>
      </c>
      <c r="E3316">
        <v>32.75</v>
      </c>
      <c r="F3316">
        <v>93000</v>
      </c>
    </row>
    <row r="3317" spans="1:6">
      <c r="A3317" s="32">
        <v>38883</v>
      </c>
      <c r="B3317">
        <v>32</v>
      </c>
      <c r="C3317">
        <v>32.5</v>
      </c>
      <c r="D3317">
        <v>31.5</v>
      </c>
      <c r="E3317">
        <v>32.25</v>
      </c>
      <c r="F3317">
        <v>60000</v>
      </c>
    </row>
    <row r="3318" spans="1:6">
      <c r="A3318" s="32">
        <v>38882</v>
      </c>
      <c r="B3318">
        <v>32</v>
      </c>
      <c r="C3318">
        <v>32</v>
      </c>
      <c r="D3318">
        <v>31.5</v>
      </c>
      <c r="E3318">
        <v>32</v>
      </c>
      <c r="F3318">
        <v>80000</v>
      </c>
    </row>
    <row r="3319" spans="1:6">
      <c r="A3319" s="32">
        <v>38877</v>
      </c>
      <c r="B3319">
        <v>32</v>
      </c>
      <c r="C3319">
        <v>32.25</v>
      </c>
      <c r="D3319">
        <v>32</v>
      </c>
      <c r="E3319">
        <v>32</v>
      </c>
      <c r="F3319">
        <v>30000</v>
      </c>
    </row>
    <row r="3320" spans="1:6">
      <c r="A3320" s="32">
        <v>38876</v>
      </c>
      <c r="B3320">
        <v>32</v>
      </c>
      <c r="C3320">
        <v>32.25</v>
      </c>
      <c r="D3320">
        <v>31.5</v>
      </c>
      <c r="E3320">
        <v>31.75</v>
      </c>
      <c r="F3320">
        <v>60000</v>
      </c>
    </row>
    <row r="3321" spans="1:6">
      <c r="A3321" s="32">
        <v>38875</v>
      </c>
      <c r="B3321">
        <v>32.5</v>
      </c>
      <c r="C3321">
        <v>32.5</v>
      </c>
      <c r="D3321">
        <v>31.25</v>
      </c>
      <c r="E3321">
        <v>32.5</v>
      </c>
      <c r="F3321">
        <v>155000</v>
      </c>
    </row>
    <row r="3322" spans="1:6">
      <c r="A3322" s="32">
        <v>38874</v>
      </c>
      <c r="B3322">
        <v>32.75</v>
      </c>
      <c r="C3322">
        <v>32.75</v>
      </c>
      <c r="D3322">
        <v>32</v>
      </c>
      <c r="E3322">
        <v>32.5</v>
      </c>
      <c r="F3322">
        <v>526100</v>
      </c>
    </row>
    <row r="3323" spans="1:6">
      <c r="A3323" s="32">
        <v>38873</v>
      </c>
      <c r="B3323">
        <v>33</v>
      </c>
      <c r="C3323">
        <v>33.25</v>
      </c>
      <c r="D3323">
        <v>32.75</v>
      </c>
      <c r="E3323">
        <v>33</v>
      </c>
      <c r="F3323">
        <v>100000</v>
      </c>
    </row>
    <row r="3324" spans="1:6">
      <c r="A3324" s="32">
        <v>38870</v>
      </c>
      <c r="B3324">
        <v>32.75</v>
      </c>
      <c r="C3324">
        <v>33.5</v>
      </c>
      <c r="D3324">
        <v>32.5</v>
      </c>
      <c r="E3324">
        <v>33.25</v>
      </c>
      <c r="F3324">
        <v>560000</v>
      </c>
    </row>
    <row r="3325" spans="1:6">
      <c r="A3325" s="32">
        <v>38869</v>
      </c>
      <c r="B3325">
        <v>32.25</v>
      </c>
      <c r="C3325">
        <v>32.5</v>
      </c>
      <c r="D3325">
        <v>32</v>
      </c>
      <c r="E3325">
        <v>32.5</v>
      </c>
      <c r="F3325">
        <v>0</v>
      </c>
    </row>
    <row r="3326" spans="1:6">
      <c r="A3326" s="32">
        <v>38868</v>
      </c>
      <c r="B3326">
        <v>32.5</v>
      </c>
      <c r="C3326">
        <v>32.75</v>
      </c>
      <c r="D3326">
        <v>32</v>
      </c>
      <c r="E3326">
        <v>32</v>
      </c>
      <c r="F3326">
        <v>0</v>
      </c>
    </row>
    <row r="3327" spans="1:6">
      <c r="A3327" s="32">
        <v>38867</v>
      </c>
      <c r="B3327">
        <v>32.5</v>
      </c>
      <c r="C3327">
        <v>32.75</v>
      </c>
      <c r="D3327">
        <v>32.5</v>
      </c>
      <c r="E3327">
        <v>32.5</v>
      </c>
      <c r="F3327">
        <v>190000</v>
      </c>
    </row>
    <row r="3328" spans="1:6">
      <c r="A3328" s="32">
        <v>38866</v>
      </c>
      <c r="B3328">
        <v>32.5</v>
      </c>
      <c r="C3328">
        <v>33</v>
      </c>
      <c r="D3328">
        <v>32.25</v>
      </c>
      <c r="E3328">
        <v>32.75</v>
      </c>
      <c r="F3328">
        <v>120000</v>
      </c>
    </row>
    <row r="3329" spans="1:6">
      <c r="A3329" s="32">
        <v>38863</v>
      </c>
      <c r="B3329">
        <v>32</v>
      </c>
      <c r="C3329">
        <v>33.5</v>
      </c>
      <c r="D3329">
        <v>31.75</v>
      </c>
      <c r="E3329">
        <v>33</v>
      </c>
      <c r="F3329">
        <v>90000</v>
      </c>
    </row>
    <row r="3330" spans="1:6">
      <c r="A3330" s="32">
        <v>38862</v>
      </c>
      <c r="B3330">
        <v>34.5</v>
      </c>
      <c r="C3330">
        <v>34.5</v>
      </c>
      <c r="D3330">
        <v>32</v>
      </c>
      <c r="E3330">
        <v>32</v>
      </c>
      <c r="F3330">
        <v>103000</v>
      </c>
    </row>
    <row r="3331" spans="1:6">
      <c r="A3331" s="32">
        <v>38861</v>
      </c>
      <c r="B3331">
        <v>35</v>
      </c>
      <c r="C3331">
        <v>35</v>
      </c>
      <c r="D3331">
        <v>33.5</v>
      </c>
      <c r="E3331">
        <v>34.25</v>
      </c>
      <c r="F3331">
        <v>208000</v>
      </c>
    </row>
    <row r="3332" spans="1:6">
      <c r="A3332" s="32">
        <v>38860</v>
      </c>
      <c r="B3332">
        <v>33.75</v>
      </c>
      <c r="C3332">
        <v>35</v>
      </c>
      <c r="D3332">
        <v>33.5</v>
      </c>
      <c r="E3332">
        <v>35</v>
      </c>
      <c r="F3332">
        <v>0</v>
      </c>
    </row>
    <row r="3333" spans="1:6">
      <c r="A3333" s="32">
        <v>38859</v>
      </c>
      <c r="B3333">
        <v>35.25</v>
      </c>
      <c r="C3333">
        <v>35.25</v>
      </c>
      <c r="D3333">
        <v>32.75</v>
      </c>
      <c r="E3333">
        <v>33.75</v>
      </c>
      <c r="F3333">
        <v>0</v>
      </c>
    </row>
    <row r="3334" spans="1:6">
      <c r="A3334" s="32">
        <v>38856</v>
      </c>
      <c r="B3334">
        <v>34.5</v>
      </c>
      <c r="C3334">
        <v>35.5</v>
      </c>
      <c r="D3334">
        <v>34.5</v>
      </c>
      <c r="E3334">
        <v>35.5</v>
      </c>
      <c r="F3334">
        <v>0</v>
      </c>
    </row>
    <row r="3335" spans="1:6">
      <c r="A3335" s="32">
        <v>38855</v>
      </c>
      <c r="B3335">
        <v>35.5</v>
      </c>
      <c r="C3335">
        <v>35.5</v>
      </c>
      <c r="D3335">
        <v>35</v>
      </c>
      <c r="E3335">
        <v>35.5</v>
      </c>
      <c r="F3335">
        <v>150000</v>
      </c>
    </row>
    <row r="3336" spans="1:6">
      <c r="A3336" s="32">
        <v>38854</v>
      </c>
      <c r="B3336">
        <v>35.75</v>
      </c>
      <c r="C3336">
        <v>35.75</v>
      </c>
      <c r="D3336">
        <v>35.5</v>
      </c>
      <c r="E3336">
        <v>35.5</v>
      </c>
      <c r="F3336">
        <v>100000</v>
      </c>
    </row>
    <row r="3337" spans="1:6">
      <c r="A3337" s="32">
        <v>38853</v>
      </c>
      <c r="B3337">
        <v>36.25</v>
      </c>
      <c r="C3337">
        <v>36.25</v>
      </c>
      <c r="D3337">
        <v>34.5</v>
      </c>
      <c r="E3337">
        <v>36</v>
      </c>
      <c r="F3337">
        <v>0</v>
      </c>
    </row>
    <row r="3338" spans="1:6">
      <c r="A3338" s="32">
        <v>38852</v>
      </c>
      <c r="B3338">
        <v>36</v>
      </c>
      <c r="C3338">
        <v>36.25</v>
      </c>
      <c r="D3338">
        <v>35.75</v>
      </c>
      <c r="E3338">
        <v>36</v>
      </c>
      <c r="F3338">
        <v>0</v>
      </c>
    </row>
    <row r="3339" spans="1:6">
      <c r="A3339" s="32">
        <v>38848</v>
      </c>
      <c r="B3339">
        <v>36</v>
      </c>
      <c r="C3339">
        <v>36.25</v>
      </c>
      <c r="D3339">
        <v>35.5</v>
      </c>
      <c r="E3339">
        <v>36.25</v>
      </c>
      <c r="F3339">
        <v>0</v>
      </c>
    </row>
    <row r="3340" spans="1:6">
      <c r="A3340" s="32">
        <v>38847</v>
      </c>
      <c r="B3340">
        <v>36.25</v>
      </c>
      <c r="C3340">
        <v>36.25</v>
      </c>
      <c r="D3340">
        <v>35.75</v>
      </c>
      <c r="E3340">
        <v>36</v>
      </c>
      <c r="F3340">
        <v>160000</v>
      </c>
    </row>
    <row r="3341" spans="1:6">
      <c r="A3341" s="32">
        <v>38846</v>
      </c>
      <c r="B3341">
        <v>36</v>
      </c>
      <c r="C3341">
        <v>36.25</v>
      </c>
      <c r="D3341">
        <v>35.75</v>
      </c>
      <c r="E3341">
        <v>35.75</v>
      </c>
      <c r="F3341">
        <v>40000</v>
      </c>
    </row>
    <row r="3342" spans="1:6">
      <c r="A3342" s="32">
        <v>38845</v>
      </c>
      <c r="B3342">
        <v>36.5</v>
      </c>
      <c r="C3342">
        <v>36.5</v>
      </c>
      <c r="D3342">
        <v>36</v>
      </c>
      <c r="E3342">
        <v>36</v>
      </c>
      <c r="F3342">
        <v>81600</v>
      </c>
    </row>
    <row r="3343" spans="1:6">
      <c r="A3343" s="32">
        <v>38841</v>
      </c>
      <c r="B3343">
        <v>36.5</v>
      </c>
      <c r="C3343">
        <v>36.5</v>
      </c>
      <c r="D3343">
        <v>36.25</v>
      </c>
      <c r="E3343">
        <v>36.5</v>
      </c>
      <c r="F3343">
        <v>0</v>
      </c>
    </row>
    <row r="3344" spans="1:6">
      <c r="A3344" s="32">
        <v>38840</v>
      </c>
      <c r="B3344">
        <v>37</v>
      </c>
      <c r="C3344">
        <v>37.25</v>
      </c>
      <c r="D3344">
        <v>36.25</v>
      </c>
      <c r="E3344">
        <v>36.5</v>
      </c>
      <c r="F3344">
        <v>5000</v>
      </c>
    </row>
    <row r="3345" spans="1:6">
      <c r="A3345" s="32">
        <v>38839</v>
      </c>
      <c r="B3345">
        <v>36.75</v>
      </c>
      <c r="C3345">
        <v>37.25</v>
      </c>
      <c r="D3345">
        <v>36.75</v>
      </c>
      <c r="E3345">
        <v>37</v>
      </c>
      <c r="F3345">
        <v>0</v>
      </c>
    </row>
    <row r="3346" spans="1:6">
      <c r="A3346" s="32">
        <v>38835</v>
      </c>
      <c r="B3346">
        <v>36</v>
      </c>
      <c r="C3346">
        <v>37</v>
      </c>
      <c r="D3346">
        <v>36</v>
      </c>
      <c r="E3346">
        <v>36.75</v>
      </c>
      <c r="F3346">
        <v>20000</v>
      </c>
    </row>
    <row r="3347" spans="1:6">
      <c r="A3347" s="32">
        <v>38834</v>
      </c>
      <c r="B3347">
        <v>35.75</v>
      </c>
      <c r="C3347">
        <v>36.5</v>
      </c>
      <c r="D3347">
        <v>35.75</v>
      </c>
      <c r="E3347">
        <v>36.25</v>
      </c>
      <c r="F3347">
        <v>4000</v>
      </c>
    </row>
    <row r="3348" spans="1:6">
      <c r="A3348" s="32">
        <v>38833</v>
      </c>
      <c r="B3348">
        <v>35.75</v>
      </c>
      <c r="C3348">
        <v>36</v>
      </c>
      <c r="D3348">
        <v>35.5</v>
      </c>
      <c r="E3348">
        <v>36</v>
      </c>
      <c r="F3348">
        <v>0</v>
      </c>
    </row>
    <row r="3349" spans="1:6">
      <c r="A3349" s="32">
        <v>38832</v>
      </c>
      <c r="B3349">
        <v>36</v>
      </c>
      <c r="C3349">
        <v>36</v>
      </c>
      <c r="D3349">
        <v>35.75</v>
      </c>
      <c r="E3349">
        <v>35.75</v>
      </c>
      <c r="F3349">
        <v>0</v>
      </c>
    </row>
    <row r="3350" spans="1:6">
      <c r="A3350" s="32">
        <v>38831</v>
      </c>
      <c r="B3350">
        <v>36.25</v>
      </c>
      <c r="C3350">
        <v>36.25</v>
      </c>
      <c r="D3350">
        <v>36</v>
      </c>
      <c r="E3350">
        <v>36</v>
      </c>
      <c r="F3350">
        <v>12500</v>
      </c>
    </row>
    <row r="3351" spans="1:6">
      <c r="A3351" s="32">
        <v>38828</v>
      </c>
      <c r="B3351">
        <v>36.25</v>
      </c>
      <c r="C3351">
        <v>36.5</v>
      </c>
      <c r="D3351">
        <v>36</v>
      </c>
      <c r="E3351">
        <v>36.25</v>
      </c>
      <c r="F3351">
        <v>13100</v>
      </c>
    </row>
    <row r="3352" spans="1:6">
      <c r="A3352" s="32">
        <v>38827</v>
      </c>
      <c r="B3352">
        <v>36.25</v>
      </c>
      <c r="C3352">
        <v>36.5</v>
      </c>
      <c r="D3352">
        <v>36</v>
      </c>
      <c r="E3352">
        <v>36.25</v>
      </c>
      <c r="F3352">
        <v>5000</v>
      </c>
    </row>
    <row r="3353" spans="1:6">
      <c r="A3353" s="32">
        <v>38825</v>
      </c>
      <c r="B3353">
        <v>35.75</v>
      </c>
      <c r="C3353">
        <v>36.25</v>
      </c>
      <c r="D3353">
        <v>35.5</v>
      </c>
      <c r="E3353">
        <v>36</v>
      </c>
      <c r="F3353">
        <v>193400</v>
      </c>
    </row>
    <row r="3354" spans="1:6">
      <c r="A3354" s="32">
        <v>38824</v>
      </c>
      <c r="B3354">
        <v>35.5</v>
      </c>
      <c r="C3354">
        <v>36</v>
      </c>
      <c r="D3354">
        <v>35.5</v>
      </c>
      <c r="E3354">
        <v>35.75</v>
      </c>
      <c r="F3354">
        <v>48000</v>
      </c>
    </row>
    <row r="3355" spans="1:6">
      <c r="A3355" s="32">
        <v>38819</v>
      </c>
      <c r="B3355">
        <v>34</v>
      </c>
      <c r="C3355">
        <v>35.5</v>
      </c>
      <c r="D3355">
        <v>34</v>
      </c>
      <c r="E3355">
        <v>35.5</v>
      </c>
      <c r="F3355">
        <v>7000</v>
      </c>
    </row>
    <row r="3356" spans="1:6">
      <c r="A3356" s="32">
        <v>38818</v>
      </c>
      <c r="B3356">
        <v>33.75</v>
      </c>
      <c r="C3356">
        <v>34</v>
      </c>
      <c r="D3356">
        <v>33.25</v>
      </c>
      <c r="E3356">
        <v>34</v>
      </c>
      <c r="F3356">
        <v>7500</v>
      </c>
    </row>
    <row r="3357" spans="1:6">
      <c r="A3357" s="32">
        <v>38817</v>
      </c>
      <c r="B3357">
        <v>34</v>
      </c>
      <c r="C3357">
        <v>34.25</v>
      </c>
      <c r="D3357">
        <v>34</v>
      </c>
      <c r="E3357">
        <v>34.25</v>
      </c>
      <c r="F3357">
        <v>22500</v>
      </c>
    </row>
    <row r="3358" spans="1:6">
      <c r="A3358" s="32">
        <v>38814</v>
      </c>
      <c r="B3358">
        <v>34.5</v>
      </c>
      <c r="C3358">
        <v>34.75</v>
      </c>
      <c r="D3358">
        <v>34</v>
      </c>
      <c r="E3358">
        <v>34.75</v>
      </c>
      <c r="F3358">
        <v>55000</v>
      </c>
    </row>
    <row r="3359" spans="1:6">
      <c r="A3359" s="32">
        <v>38812</v>
      </c>
      <c r="B3359">
        <v>34.25</v>
      </c>
      <c r="C3359">
        <v>35</v>
      </c>
      <c r="D3359">
        <v>34</v>
      </c>
      <c r="E3359">
        <v>34.25</v>
      </c>
      <c r="F3359">
        <v>61000</v>
      </c>
    </row>
    <row r="3360" spans="1:6">
      <c r="A3360" s="32">
        <v>38811</v>
      </c>
      <c r="B3360">
        <v>32.25</v>
      </c>
      <c r="C3360">
        <v>33.75</v>
      </c>
      <c r="D3360">
        <v>32</v>
      </c>
      <c r="E3360">
        <v>33.25</v>
      </c>
      <c r="F3360">
        <v>4600</v>
      </c>
    </row>
    <row r="3361" spans="1:6">
      <c r="A3361" s="32">
        <v>38810</v>
      </c>
      <c r="B3361">
        <v>31.5</v>
      </c>
      <c r="C3361">
        <v>32.5</v>
      </c>
      <c r="D3361">
        <v>31.5</v>
      </c>
      <c r="E3361">
        <v>32.5</v>
      </c>
      <c r="F3361">
        <v>7000</v>
      </c>
    </row>
    <row r="3362" spans="1:6">
      <c r="A3362" s="32">
        <v>38807</v>
      </c>
      <c r="B3362">
        <v>31.25</v>
      </c>
      <c r="C3362">
        <v>31.75</v>
      </c>
      <c r="D3362">
        <v>31</v>
      </c>
      <c r="E3362">
        <v>31.25</v>
      </c>
      <c r="F3362">
        <v>52000</v>
      </c>
    </row>
    <row r="3363" spans="1:6">
      <c r="A3363" s="32">
        <v>38806</v>
      </c>
      <c r="B3363">
        <v>31.5</v>
      </c>
      <c r="C3363">
        <v>32</v>
      </c>
      <c r="D3363">
        <v>31.25</v>
      </c>
      <c r="E3363">
        <v>32</v>
      </c>
      <c r="F3363">
        <v>0</v>
      </c>
    </row>
    <row r="3364" spans="1:6">
      <c r="A3364" s="32">
        <v>38805</v>
      </c>
      <c r="B3364">
        <v>31.5</v>
      </c>
      <c r="C3364">
        <v>31.75</v>
      </c>
      <c r="D3364">
        <v>31.25</v>
      </c>
      <c r="E3364">
        <v>31.75</v>
      </c>
      <c r="F3364">
        <v>11300</v>
      </c>
    </row>
    <row r="3365" spans="1:6">
      <c r="A3365" s="32">
        <v>38804</v>
      </c>
      <c r="B3365">
        <v>31.75</v>
      </c>
      <c r="C3365">
        <v>31.75</v>
      </c>
      <c r="D3365">
        <v>31.5</v>
      </c>
      <c r="E3365">
        <v>31.5</v>
      </c>
      <c r="F3365">
        <v>91100</v>
      </c>
    </row>
    <row r="3366" spans="1:6">
      <c r="A3366" s="32">
        <v>38803</v>
      </c>
      <c r="B3366">
        <v>31.25</v>
      </c>
      <c r="C3366">
        <v>31.75</v>
      </c>
      <c r="D3366">
        <v>31.25</v>
      </c>
      <c r="E3366">
        <v>31.75</v>
      </c>
      <c r="F3366">
        <v>47000</v>
      </c>
    </row>
    <row r="3367" spans="1:6">
      <c r="A3367" s="32">
        <v>38800</v>
      </c>
      <c r="B3367">
        <v>31</v>
      </c>
      <c r="C3367">
        <v>31.5</v>
      </c>
      <c r="D3367">
        <v>31</v>
      </c>
      <c r="E3367">
        <v>31.25</v>
      </c>
      <c r="F3367">
        <v>20000</v>
      </c>
    </row>
    <row r="3368" spans="1:6">
      <c r="A3368" s="32">
        <v>38799</v>
      </c>
      <c r="B3368">
        <v>31</v>
      </c>
      <c r="C3368">
        <v>31.25</v>
      </c>
      <c r="D3368">
        <v>31</v>
      </c>
      <c r="E3368">
        <v>31</v>
      </c>
      <c r="F3368">
        <v>0</v>
      </c>
    </row>
    <row r="3369" spans="1:6">
      <c r="A3369" s="32">
        <v>38798</v>
      </c>
      <c r="B3369">
        <v>31.25</v>
      </c>
      <c r="C3369">
        <v>31.25</v>
      </c>
      <c r="D3369">
        <v>30.5</v>
      </c>
      <c r="E3369">
        <v>31</v>
      </c>
      <c r="F3369">
        <v>8300</v>
      </c>
    </row>
    <row r="3370" spans="1:6">
      <c r="A3370" s="32">
        <v>38797</v>
      </c>
      <c r="B3370">
        <v>31</v>
      </c>
      <c r="C3370">
        <v>31.5</v>
      </c>
      <c r="D3370">
        <v>31</v>
      </c>
      <c r="E3370">
        <v>31.25</v>
      </c>
      <c r="F3370">
        <v>0</v>
      </c>
    </row>
    <row r="3371" spans="1:6">
      <c r="A3371" s="32">
        <v>38796</v>
      </c>
      <c r="B3371">
        <v>31</v>
      </c>
      <c r="C3371">
        <v>31.25</v>
      </c>
      <c r="D3371">
        <v>31</v>
      </c>
      <c r="E3371">
        <v>31</v>
      </c>
      <c r="F3371">
        <v>0</v>
      </c>
    </row>
    <row r="3372" spans="1:6">
      <c r="A3372" s="32">
        <v>38793</v>
      </c>
      <c r="B3372">
        <v>31.25</v>
      </c>
      <c r="C3372">
        <v>31.25</v>
      </c>
      <c r="D3372">
        <v>30.75</v>
      </c>
      <c r="E3372">
        <v>31</v>
      </c>
      <c r="F3372">
        <v>33700</v>
      </c>
    </row>
    <row r="3373" spans="1:6">
      <c r="A3373" s="32">
        <v>38792</v>
      </c>
      <c r="B3373">
        <v>31.25</v>
      </c>
      <c r="C3373">
        <v>31.5</v>
      </c>
      <c r="D3373">
        <v>31</v>
      </c>
      <c r="E3373">
        <v>31.25</v>
      </c>
      <c r="F3373">
        <v>0</v>
      </c>
    </row>
    <row r="3374" spans="1:6">
      <c r="A3374" s="32">
        <v>38791</v>
      </c>
      <c r="B3374">
        <v>31.5</v>
      </c>
      <c r="C3374">
        <v>31.5</v>
      </c>
      <c r="D3374">
        <v>31</v>
      </c>
      <c r="E3374">
        <v>31.25</v>
      </c>
      <c r="F3374">
        <v>0</v>
      </c>
    </row>
    <row r="3375" spans="1:6">
      <c r="A3375" s="32">
        <v>38790</v>
      </c>
      <c r="B3375">
        <v>30.75</v>
      </c>
      <c r="C3375">
        <v>31.25</v>
      </c>
      <c r="D3375">
        <v>30.75</v>
      </c>
      <c r="E3375">
        <v>31.25</v>
      </c>
      <c r="F3375">
        <v>0</v>
      </c>
    </row>
    <row r="3376" spans="1:6">
      <c r="A3376" s="32">
        <v>38789</v>
      </c>
      <c r="B3376">
        <v>30.75</v>
      </c>
      <c r="C3376">
        <v>31</v>
      </c>
      <c r="D3376">
        <v>30.5</v>
      </c>
      <c r="E3376">
        <v>30.75</v>
      </c>
      <c r="F3376">
        <v>0</v>
      </c>
    </row>
    <row r="3377" spans="1:6">
      <c r="A3377" s="32">
        <v>38786</v>
      </c>
      <c r="B3377">
        <v>31</v>
      </c>
      <c r="C3377">
        <v>31.25</v>
      </c>
      <c r="D3377">
        <v>30.75</v>
      </c>
      <c r="E3377">
        <v>30.75</v>
      </c>
      <c r="F3377">
        <v>0</v>
      </c>
    </row>
    <row r="3378" spans="1:6">
      <c r="A3378" s="32">
        <v>38785</v>
      </c>
      <c r="B3378">
        <v>30.5</v>
      </c>
      <c r="C3378">
        <v>31.25</v>
      </c>
      <c r="D3378">
        <v>30.5</v>
      </c>
      <c r="E3378">
        <v>31</v>
      </c>
      <c r="F3378">
        <v>0</v>
      </c>
    </row>
    <row r="3379" spans="1:6">
      <c r="A3379" s="32">
        <v>38784</v>
      </c>
      <c r="B3379">
        <v>31</v>
      </c>
      <c r="C3379">
        <v>31.5</v>
      </c>
      <c r="D3379">
        <v>30.5</v>
      </c>
      <c r="E3379">
        <v>31</v>
      </c>
      <c r="F3379">
        <v>0</v>
      </c>
    </row>
    <row r="3380" spans="1:6">
      <c r="A3380" s="32">
        <v>38783</v>
      </c>
      <c r="B3380">
        <v>32.75</v>
      </c>
      <c r="C3380">
        <v>32.75</v>
      </c>
      <c r="D3380">
        <v>31.25</v>
      </c>
      <c r="E3380">
        <v>31.75</v>
      </c>
      <c r="F3380">
        <v>0</v>
      </c>
    </row>
    <row r="3381" spans="1:6">
      <c r="A3381" s="32">
        <v>38782</v>
      </c>
      <c r="B3381">
        <v>33.75</v>
      </c>
      <c r="C3381">
        <v>33.75</v>
      </c>
      <c r="D3381">
        <v>32.5</v>
      </c>
      <c r="E3381">
        <v>32.75</v>
      </c>
      <c r="F3381">
        <v>260000</v>
      </c>
    </row>
    <row r="3382" spans="1:6">
      <c r="A3382" s="32">
        <v>38779</v>
      </c>
      <c r="B3382">
        <v>33.75</v>
      </c>
      <c r="C3382">
        <v>34</v>
      </c>
      <c r="D3382">
        <v>33.5</v>
      </c>
      <c r="E3382">
        <v>33.75</v>
      </c>
      <c r="F3382">
        <v>0</v>
      </c>
    </row>
    <row r="3383" spans="1:6">
      <c r="A3383" s="32">
        <v>38778</v>
      </c>
      <c r="B3383">
        <v>34.25</v>
      </c>
      <c r="C3383">
        <v>34.25</v>
      </c>
      <c r="D3383">
        <v>33.75</v>
      </c>
      <c r="E3383">
        <v>33.75</v>
      </c>
      <c r="F3383">
        <v>150000</v>
      </c>
    </row>
    <row r="3384" spans="1:6">
      <c r="A3384" s="32">
        <v>38777</v>
      </c>
      <c r="B3384">
        <v>33.5</v>
      </c>
      <c r="C3384">
        <v>34.75</v>
      </c>
      <c r="D3384">
        <v>33.25</v>
      </c>
      <c r="E3384">
        <v>34.25</v>
      </c>
      <c r="F3384">
        <v>75000</v>
      </c>
    </row>
    <row r="3385" spans="1:6">
      <c r="A3385" s="32">
        <v>38776</v>
      </c>
      <c r="B3385">
        <v>33.75</v>
      </c>
      <c r="C3385">
        <v>33.75</v>
      </c>
      <c r="D3385">
        <v>33.5</v>
      </c>
      <c r="E3385">
        <v>33.5</v>
      </c>
      <c r="F3385">
        <v>0</v>
      </c>
    </row>
    <row r="3386" spans="1:6">
      <c r="A3386" s="32">
        <v>38775</v>
      </c>
      <c r="B3386">
        <v>33.5</v>
      </c>
      <c r="C3386">
        <v>33.75</v>
      </c>
      <c r="D3386">
        <v>33.5</v>
      </c>
      <c r="E3386">
        <v>33.75</v>
      </c>
      <c r="F3386">
        <v>20000</v>
      </c>
    </row>
    <row r="3387" spans="1:6">
      <c r="A3387" s="32">
        <v>38772</v>
      </c>
      <c r="B3387">
        <v>33.25</v>
      </c>
      <c r="C3387">
        <v>33.75</v>
      </c>
      <c r="D3387">
        <v>33.25</v>
      </c>
      <c r="E3387">
        <v>33.75</v>
      </c>
      <c r="F3387">
        <v>0</v>
      </c>
    </row>
    <row r="3388" spans="1:6">
      <c r="A3388" s="32">
        <v>38771</v>
      </c>
      <c r="B3388">
        <v>33.5</v>
      </c>
      <c r="C3388">
        <v>34</v>
      </c>
      <c r="D3388">
        <v>33.5</v>
      </c>
      <c r="E3388">
        <v>33.5</v>
      </c>
      <c r="F3388">
        <v>0</v>
      </c>
    </row>
    <row r="3389" spans="1:6">
      <c r="A3389" s="32">
        <v>38770</v>
      </c>
      <c r="B3389">
        <v>33.5</v>
      </c>
      <c r="C3389">
        <v>33.5</v>
      </c>
      <c r="D3389">
        <v>33</v>
      </c>
      <c r="E3389">
        <v>33.25</v>
      </c>
      <c r="F3389">
        <v>0</v>
      </c>
    </row>
    <row r="3390" spans="1:6">
      <c r="A3390" s="32">
        <v>38769</v>
      </c>
      <c r="B3390">
        <v>34</v>
      </c>
      <c r="C3390">
        <v>34</v>
      </c>
      <c r="D3390">
        <v>33.5</v>
      </c>
      <c r="E3390">
        <v>33.5</v>
      </c>
      <c r="F3390">
        <v>0</v>
      </c>
    </row>
    <row r="3391" spans="1:6">
      <c r="A3391" s="32">
        <v>38768</v>
      </c>
      <c r="B3391">
        <v>34</v>
      </c>
      <c r="C3391">
        <v>34</v>
      </c>
      <c r="D3391">
        <v>33.5</v>
      </c>
      <c r="E3391">
        <v>33.75</v>
      </c>
      <c r="F3391">
        <v>0</v>
      </c>
    </row>
    <row r="3392" spans="1:6">
      <c r="A3392" s="32">
        <v>38765</v>
      </c>
      <c r="B3392">
        <v>34</v>
      </c>
      <c r="C3392">
        <v>34.5</v>
      </c>
      <c r="D3392">
        <v>33.5</v>
      </c>
      <c r="E3392">
        <v>33.5</v>
      </c>
      <c r="F3392">
        <v>90000</v>
      </c>
    </row>
    <row r="3393" spans="1:6">
      <c r="A3393" s="32">
        <v>38764</v>
      </c>
      <c r="B3393">
        <v>33.75</v>
      </c>
      <c r="C3393">
        <v>34</v>
      </c>
      <c r="D3393">
        <v>33.5</v>
      </c>
      <c r="E3393">
        <v>33.75</v>
      </c>
      <c r="F3393">
        <v>55000</v>
      </c>
    </row>
    <row r="3394" spans="1:6">
      <c r="A3394" s="32">
        <v>38763</v>
      </c>
      <c r="B3394">
        <v>33.5</v>
      </c>
      <c r="C3394">
        <v>33.75</v>
      </c>
      <c r="D3394">
        <v>33.5</v>
      </c>
      <c r="E3394">
        <v>33.75</v>
      </c>
      <c r="F3394">
        <v>40000</v>
      </c>
    </row>
    <row r="3395" spans="1:6">
      <c r="A3395" s="32">
        <v>38762</v>
      </c>
      <c r="B3395">
        <v>34.25</v>
      </c>
      <c r="C3395">
        <v>34.25</v>
      </c>
      <c r="D3395">
        <v>33</v>
      </c>
      <c r="E3395">
        <v>33.75</v>
      </c>
      <c r="F3395">
        <v>320000</v>
      </c>
    </row>
    <row r="3396" spans="1:6">
      <c r="A3396" s="32">
        <v>38758</v>
      </c>
      <c r="B3396">
        <v>34.5</v>
      </c>
      <c r="C3396">
        <v>34.75</v>
      </c>
      <c r="D3396">
        <v>34.25</v>
      </c>
      <c r="E3396">
        <v>34.25</v>
      </c>
      <c r="F3396">
        <v>1130000</v>
      </c>
    </row>
    <row r="3397" spans="1:6">
      <c r="A3397" s="32">
        <v>38757</v>
      </c>
      <c r="B3397">
        <v>34.25</v>
      </c>
      <c r="C3397">
        <v>34.75</v>
      </c>
      <c r="D3397">
        <v>34</v>
      </c>
      <c r="E3397">
        <v>34.25</v>
      </c>
      <c r="F3397">
        <v>0</v>
      </c>
    </row>
    <row r="3398" spans="1:6">
      <c r="A3398" s="32">
        <v>38756</v>
      </c>
      <c r="B3398">
        <v>34.25</v>
      </c>
      <c r="C3398">
        <v>34.5</v>
      </c>
      <c r="D3398">
        <v>33.5</v>
      </c>
      <c r="E3398">
        <v>34.5</v>
      </c>
      <c r="F3398">
        <v>142000</v>
      </c>
    </row>
    <row r="3399" spans="1:6">
      <c r="A3399" s="32">
        <v>38755</v>
      </c>
      <c r="B3399">
        <v>34.25</v>
      </c>
      <c r="C3399">
        <v>34.75</v>
      </c>
      <c r="D3399">
        <v>34</v>
      </c>
      <c r="E3399">
        <v>34</v>
      </c>
      <c r="F3399">
        <v>25000</v>
      </c>
    </row>
    <row r="3400" spans="1:6">
      <c r="A3400" s="32">
        <v>38754</v>
      </c>
      <c r="B3400">
        <v>32.5</v>
      </c>
      <c r="C3400">
        <v>35</v>
      </c>
      <c r="D3400">
        <v>32.25</v>
      </c>
      <c r="E3400">
        <v>34.25</v>
      </c>
      <c r="F3400">
        <v>20000</v>
      </c>
    </row>
    <row r="3401" spans="1:6">
      <c r="A3401" s="32">
        <v>38751</v>
      </c>
      <c r="B3401">
        <v>32</v>
      </c>
      <c r="C3401">
        <v>32</v>
      </c>
      <c r="D3401">
        <v>31.75</v>
      </c>
      <c r="E3401">
        <v>32</v>
      </c>
      <c r="F3401">
        <v>0</v>
      </c>
    </row>
    <row r="3402" spans="1:6">
      <c r="A3402" s="32">
        <v>38750</v>
      </c>
      <c r="B3402">
        <v>32</v>
      </c>
      <c r="C3402">
        <v>32</v>
      </c>
      <c r="D3402">
        <v>31.25</v>
      </c>
      <c r="E3402">
        <v>32</v>
      </c>
      <c r="F3402">
        <v>0</v>
      </c>
    </row>
    <row r="3403" spans="1:6">
      <c r="A3403" s="32">
        <v>38749</v>
      </c>
      <c r="B3403">
        <v>32.25</v>
      </c>
      <c r="C3403">
        <v>32.25</v>
      </c>
      <c r="D3403">
        <v>31.75</v>
      </c>
      <c r="E3403">
        <v>32</v>
      </c>
      <c r="F3403">
        <v>0</v>
      </c>
    </row>
    <row r="3404" spans="1:6">
      <c r="A3404" s="32">
        <v>38748</v>
      </c>
      <c r="B3404">
        <v>32.25</v>
      </c>
      <c r="C3404">
        <v>32.5</v>
      </c>
      <c r="D3404">
        <v>32</v>
      </c>
      <c r="E3404">
        <v>32.25</v>
      </c>
      <c r="F3404">
        <v>0</v>
      </c>
    </row>
    <row r="3405" spans="1:6">
      <c r="A3405" s="32">
        <v>38747</v>
      </c>
      <c r="B3405">
        <v>32.5</v>
      </c>
      <c r="C3405">
        <v>32.75</v>
      </c>
      <c r="D3405">
        <v>32</v>
      </c>
      <c r="E3405">
        <v>32.5</v>
      </c>
      <c r="F3405">
        <v>0</v>
      </c>
    </row>
    <row r="3406" spans="1:6">
      <c r="A3406" s="32">
        <v>38744</v>
      </c>
      <c r="B3406">
        <v>32.25</v>
      </c>
      <c r="C3406">
        <v>32.5</v>
      </c>
      <c r="D3406">
        <v>32.25</v>
      </c>
      <c r="E3406">
        <v>32.5</v>
      </c>
      <c r="F3406">
        <v>0</v>
      </c>
    </row>
    <row r="3407" spans="1:6">
      <c r="A3407" s="32">
        <v>38743</v>
      </c>
      <c r="B3407">
        <v>32.5</v>
      </c>
      <c r="C3407">
        <v>32.5</v>
      </c>
      <c r="D3407">
        <v>31.75</v>
      </c>
      <c r="E3407">
        <v>32</v>
      </c>
      <c r="F3407">
        <v>0</v>
      </c>
    </row>
    <row r="3408" spans="1:6">
      <c r="A3408" s="32">
        <v>38742</v>
      </c>
      <c r="B3408">
        <v>30.75</v>
      </c>
      <c r="C3408">
        <v>32</v>
      </c>
      <c r="D3408">
        <v>30.75</v>
      </c>
      <c r="E3408">
        <v>32</v>
      </c>
      <c r="F3408">
        <v>490000</v>
      </c>
    </row>
    <row r="3409" spans="1:6">
      <c r="A3409" s="32">
        <v>38741</v>
      </c>
      <c r="B3409">
        <v>30</v>
      </c>
      <c r="C3409">
        <v>30.75</v>
      </c>
      <c r="D3409">
        <v>30</v>
      </c>
      <c r="E3409">
        <v>30.5</v>
      </c>
      <c r="F3409">
        <v>0</v>
      </c>
    </row>
    <row r="3410" spans="1:6">
      <c r="A3410" s="32">
        <v>38740</v>
      </c>
      <c r="B3410">
        <v>31</v>
      </c>
      <c r="C3410">
        <v>31</v>
      </c>
      <c r="D3410">
        <v>29</v>
      </c>
      <c r="E3410">
        <v>30</v>
      </c>
      <c r="F3410">
        <v>0</v>
      </c>
    </row>
    <row r="3411" spans="1:6">
      <c r="A3411" s="32">
        <v>38737</v>
      </c>
      <c r="B3411">
        <v>33.5</v>
      </c>
      <c r="C3411">
        <v>33.5</v>
      </c>
      <c r="D3411">
        <v>31</v>
      </c>
      <c r="E3411">
        <v>31</v>
      </c>
      <c r="F3411">
        <v>0</v>
      </c>
    </row>
    <row r="3412" spans="1:6">
      <c r="A3412" s="32">
        <v>38736</v>
      </c>
      <c r="B3412">
        <v>33.5</v>
      </c>
      <c r="C3412">
        <v>33.75</v>
      </c>
      <c r="D3412">
        <v>33.5</v>
      </c>
      <c r="E3412">
        <v>33.5</v>
      </c>
      <c r="F3412">
        <v>0</v>
      </c>
    </row>
    <row r="3413" spans="1:6">
      <c r="A3413" s="32">
        <v>38735</v>
      </c>
      <c r="B3413">
        <v>33.5</v>
      </c>
      <c r="C3413">
        <v>34</v>
      </c>
      <c r="D3413">
        <v>33</v>
      </c>
      <c r="E3413">
        <v>33.5</v>
      </c>
      <c r="F3413">
        <v>0</v>
      </c>
    </row>
    <row r="3414" spans="1:6">
      <c r="A3414" s="32">
        <v>38734</v>
      </c>
      <c r="B3414">
        <v>33.75</v>
      </c>
      <c r="C3414">
        <v>34.25</v>
      </c>
      <c r="D3414">
        <v>33.5</v>
      </c>
      <c r="E3414">
        <v>33.75</v>
      </c>
      <c r="F3414">
        <v>0</v>
      </c>
    </row>
    <row r="3415" spans="1:6">
      <c r="A3415" s="32">
        <v>38733</v>
      </c>
      <c r="B3415">
        <v>33</v>
      </c>
      <c r="C3415">
        <v>34</v>
      </c>
      <c r="D3415">
        <v>32.5</v>
      </c>
      <c r="E3415">
        <v>33.75</v>
      </c>
      <c r="F3415">
        <v>0</v>
      </c>
    </row>
    <row r="3416" spans="1:6">
      <c r="A3416" s="32">
        <v>38730</v>
      </c>
      <c r="B3416">
        <v>34</v>
      </c>
      <c r="C3416">
        <v>34.25</v>
      </c>
      <c r="D3416">
        <v>33.5</v>
      </c>
      <c r="E3416">
        <v>33.75</v>
      </c>
      <c r="F3416">
        <v>66400</v>
      </c>
    </row>
    <row r="3417" spans="1:6">
      <c r="A3417" s="32">
        <v>38729</v>
      </c>
      <c r="B3417">
        <v>34</v>
      </c>
      <c r="C3417">
        <v>34.25</v>
      </c>
      <c r="D3417">
        <v>33.5</v>
      </c>
      <c r="E3417">
        <v>34</v>
      </c>
      <c r="F3417">
        <v>0</v>
      </c>
    </row>
    <row r="3418" spans="1:6">
      <c r="A3418" s="32">
        <v>38728</v>
      </c>
      <c r="B3418">
        <v>34</v>
      </c>
      <c r="C3418">
        <v>34.5</v>
      </c>
      <c r="D3418">
        <v>33.75</v>
      </c>
      <c r="E3418">
        <v>34.25</v>
      </c>
      <c r="F3418">
        <v>0</v>
      </c>
    </row>
    <row r="3419" spans="1:6">
      <c r="A3419" s="32">
        <v>38727</v>
      </c>
      <c r="B3419">
        <v>35</v>
      </c>
      <c r="C3419">
        <v>35</v>
      </c>
      <c r="D3419">
        <v>33.25</v>
      </c>
      <c r="E3419">
        <v>34.25</v>
      </c>
      <c r="F3419">
        <v>2000</v>
      </c>
    </row>
    <row r="3420" spans="1:6">
      <c r="A3420" s="32">
        <v>38726</v>
      </c>
      <c r="B3420">
        <v>32.5</v>
      </c>
      <c r="C3420">
        <v>34.25</v>
      </c>
      <c r="D3420">
        <v>32.5</v>
      </c>
      <c r="E3420">
        <v>33.75</v>
      </c>
      <c r="F3420">
        <v>0</v>
      </c>
    </row>
    <row r="3421" spans="1:6">
      <c r="A3421" s="32">
        <v>38723</v>
      </c>
      <c r="B3421">
        <v>32</v>
      </c>
      <c r="C3421">
        <v>32.5</v>
      </c>
      <c r="D3421">
        <v>32</v>
      </c>
      <c r="E3421">
        <v>32.25</v>
      </c>
      <c r="F3421">
        <v>0</v>
      </c>
    </row>
    <row r="3422" spans="1:6">
      <c r="A3422" s="32">
        <v>38722</v>
      </c>
      <c r="B3422">
        <v>31.5</v>
      </c>
      <c r="C3422">
        <v>33.5</v>
      </c>
      <c r="D3422">
        <v>31.25</v>
      </c>
      <c r="E3422">
        <v>32</v>
      </c>
      <c r="F3422">
        <v>0</v>
      </c>
    </row>
    <row r="3423" spans="1:6">
      <c r="A3423" s="32">
        <v>38721</v>
      </c>
      <c r="B3423">
        <v>30.5</v>
      </c>
      <c r="C3423">
        <v>31.75</v>
      </c>
      <c r="D3423">
        <v>30.5</v>
      </c>
      <c r="E3423">
        <v>31</v>
      </c>
      <c r="F3423">
        <v>0</v>
      </c>
    </row>
    <row r="3424" spans="1:6">
      <c r="A3424" s="32">
        <v>38720</v>
      </c>
      <c r="B3424">
        <v>29.75</v>
      </c>
      <c r="C3424">
        <v>30.5</v>
      </c>
      <c r="D3424">
        <v>29.5</v>
      </c>
      <c r="E3424">
        <v>30.5</v>
      </c>
      <c r="F3424">
        <v>0</v>
      </c>
    </row>
    <row r="3425" spans="1:6">
      <c r="A3425" s="32">
        <v>38716</v>
      </c>
      <c r="B3425">
        <v>30</v>
      </c>
      <c r="C3425">
        <v>30</v>
      </c>
      <c r="D3425">
        <v>29.5</v>
      </c>
      <c r="E3425">
        <v>29.5</v>
      </c>
      <c r="F3425">
        <v>140000</v>
      </c>
    </row>
    <row r="3426" spans="1:6">
      <c r="A3426" s="32">
        <v>38715</v>
      </c>
      <c r="B3426">
        <v>29.25</v>
      </c>
      <c r="C3426">
        <v>30</v>
      </c>
      <c r="D3426">
        <v>29</v>
      </c>
      <c r="E3426">
        <v>29.5</v>
      </c>
      <c r="F3426">
        <v>0</v>
      </c>
    </row>
    <row r="3427" spans="1:6">
      <c r="A3427" s="32">
        <v>38714</v>
      </c>
      <c r="B3427">
        <v>28.25</v>
      </c>
      <c r="C3427">
        <v>29</v>
      </c>
      <c r="D3427">
        <v>28.25</v>
      </c>
      <c r="E3427">
        <v>29</v>
      </c>
      <c r="F3427">
        <v>0</v>
      </c>
    </row>
    <row r="3428" spans="1:6">
      <c r="A3428" s="32">
        <v>38713</v>
      </c>
      <c r="B3428">
        <v>29</v>
      </c>
      <c r="C3428">
        <v>29.25</v>
      </c>
      <c r="D3428">
        <v>28</v>
      </c>
      <c r="E3428">
        <v>28</v>
      </c>
      <c r="F3428">
        <v>0</v>
      </c>
    </row>
    <row r="3429" spans="1:6">
      <c r="A3429" s="32">
        <v>38712</v>
      </c>
      <c r="B3429">
        <v>28</v>
      </c>
      <c r="C3429">
        <v>28.75</v>
      </c>
      <c r="D3429">
        <v>28</v>
      </c>
      <c r="E3429">
        <v>28.75</v>
      </c>
      <c r="F3429">
        <v>0</v>
      </c>
    </row>
    <row r="3430" spans="1:6">
      <c r="A3430" s="32">
        <v>38709</v>
      </c>
      <c r="B3430">
        <v>28</v>
      </c>
      <c r="C3430">
        <v>28</v>
      </c>
      <c r="D3430">
        <v>28</v>
      </c>
      <c r="E3430">
        <v>28</v>
      </c>
      <c r="F3430">
        <v>0</v>
      </c>
    </row>
    <row r="3431" spans="1:6">
      <c r="A3431" s="32">
        <v>38708</v>
      </c>
      <c r="B3431">
        <v>28</v>
      </c>
      <c r="C3431">
        <v>28</v>
      </c>
      <c r="D3431">
        <v>27.75</v>
      </c>
      <c r="E3431">
        <v>27.75</v>
      </c>
      <c r="F3431">
        <v>0</v>
      </c>
    </row>
    <row r="3432" spans="1:6">
      <c r="A3432" s="32">
        <v>38707</v>
      </c>
      <c r="B3432">
        <v>28.5</v>
      </c>
      <c r="C3432">
        <v>28.5</v>
      </c>
      <c r="D3432">
        <v>28.25</v>
      </c>
      <c r="E3432">
        <v>28.5</v>
      </c>
      <c r="F3432">
        <v>0</v>
      </c>
    </row>
    <row r="3433" spans="1:6">
      <c r="A3433" s="32">
        <v>38706</v>
      </c>
      <c r="B3433">
        <v>27.5</v>
      </c>
      <c r="C3433">
        <v>28.75</v>
      </c>
      <c r="D3433">
        <v>27.5</v>
      </c>
      <c r="E3433">
        <v>28.75</v>
      </c>
      <c r="F3433">
        <v>10000</v>
      </c>
    </row>
    <row r="3434" spans="1:6">
      <c r="A3434" s="32">
        <v>38705</v>
      </c>
      <c r="B3434">
        <v>27.5</v>
      </c>
      <c r="C3434">
        <v>27.5</v>
      </c>
      <c r="D3434">
        <v>27</v>
      </c>
      <c r="E3434">
        <v>27.25</v>
      </c>
      <c r="F3434">
        <v>0</v>
      </c>
    </row>
    <row r="3435" spans="1:6">
      <c r="A3435" s="32">
        <v>38702</v>
      </c>
      <c r="B3435">
        <v>27.5</v>
      </c>
      <c r="C3435">
        <v>27.5</v>
      </c>
      <c r="D3435">
        <v>27.25</v>
      </c>
      <c r="E3435">
        <v>27.5</v>
      </c>
      <c r="F3435">
        <v>0</v>
      </c>
    </row>
    <row r="3436" spans="1:6">
      <c r="A3436" s="32">
        <v>38701</v>
      </c>
      <c r="B3436">
        <v>27.75</v>
      </c>
      <c r="C3436">
        <v>27.75</v>
      </c>
      <c r="D3436">
        <v>27.25</v>
      </c>
      <c r="E3436">
        <v>27.5</v>
      </c>
      <c r="F3436">
        <v>0</v>
      </c>
    </row>
    <row r="3437" spans="1:6">
      <c r="A3437" s="32">
        <v>38700</v>
      </c>
      <c r="B3437">
        <v>27.5</v>
      </c>
      <c r="C3437">
        <v>27.75</v>
      </c>
      <c r="D3437">
        <v>27.5</v>
      </c>
      <c r="E3437">
        <v>27.75</v>
      </c>
      <c r="F3437">
        <v>0</v>
      </c>
    </row>
    <row r="3438" spans="1:6">
      <c r="A3438" s="32">
        <v>38699</v>
      </c>
      <c r="B3438">
        <v>28.25</v>
      </c>
      <c r="C3438">
        <v>28.25</v>
      </c>
      <c r="D3438">
        <v>27.25</v>
      </c>
      <c r="E3438">
        <v>27.25</v>
      </c>
      <c r="F3438">
        <v>0</v>
      </c>
    </row>
    <row r="3439" spans="1:6">
      <c r="A3439" s="32">
        <v>38695</v>
      </c>
      <c r="B3439">
        <v>28</v>
      </c>
      <c r="C3439">
        <v>28</v>
      </c>
      <c r="D3439">
        <v>28</v>
      </c>
      <c r="E3439">
        <v>28</v>
      </c>
      <c r="F3439">
        <v>25000</v>
      </c>
    </row>
    <row r="3440" spans="1:6">
      <c r="A3440" s="32">
        <v>38694</v>
      </c>
      <c r="B3440">
        <v>29</v>
      </c>
      <c r="C3440">
        <v>29</v>
      </c>
      <c r="D3440">
        <v>27.5</v>
      </c>
      <c r="E3440">
        <v>28</v>
      </c>
      <c r="F3440">
        <v>0</v>
      </c>
    </row>
    <row r="3441" spans="1:6">
      <c r="A3441" s="32">
        <v>38693</v>
      </c>
      <c r="B3441">
        <v>27.5</v>
      </c>
      <c r="C3441">
        <v>29</v>
      </c>
      <c r="D3441">
        <v>27.5</v>
      </c>
      <c r="E3441">
        <v>28.75</v>
      </c>
      <c r="F3441">
        <v>1000</v>
      </c>
    </row>
    <row r="3442" spans="1:6">
      <c r="A3442" s="32">
        <v>38692</v>
      </c>
      <c r="B3442">
        <v>26.75</v>
      </c>
      <c r="C3442">
        <v>27.5</v>
      </c>
      <c r="D3442">
        <v>26.5</v>
      </c>
      <c r="E3442">
        <v>27.5</v>
      </c>
      <c r="F3442">
        <v>110000</v>
      </c>
    </row>
    <row r="3443" spans="1:6">
      <c r="A3443" s="32">
        <v>38688</v>
      </c>
      <c r="B3443">
        <v>26.75</v>
      </c>
      <c r="C3443">
        <v>26.75</v>
      </c>
      <c r="D3443">
        <v>26.5</v>
      </c>
      <c r="E3443">
        <v>26.5</v>
      </c>
      <c r="F3443">
        <v>0</v>
      </c>
    </row>
    <row r="3444" spans="1:6">
      <c r="A3444" s="32">
        <v>38687</v>
      </c>
      <c r="B3444">
        <v>27</v>
      </c>
      <c r="C3444">
        <v>27.25</v>
      </c>
      <c r="D3444">
        <v>26.75</v>
      </c>
      <c r="E3444">
        <v>26.75</v>
      </c>
      <c r="F3444">
        <v>0</v>
      </c>
    </row>
    <row r="3445" spans="1:6">
      <c r="A3445" s="32">
        <v>38686</v>
      </c>
      <c r="B3445">
        <v>27.25</v>
      </c>
      <c r="C3445">
        <v>27.25</v>
      </c>
      <c r="D3445">
        <v>27</v>
      </c>
      <c r="E3445">
        <v>27</v>
      </c>
      <c r="F3445">
        <v>0</v>
      </c>
    </row>
    <row r="3446" spans="1:6">
      <c r="A3446" s="32">
        <v>38685</v>
      </c>
      <c r="B3446">
        <v>26.75</v>
      </c>
      <c r="C3446">
        <v>27</v>
      </c>
      <c r="D3446">
        <v>26.5</v>
      </c>
      <c r="E3446">
        <v>27</v>
      </c>
      <c r="F3446">
        <v>0</v>
      </c>
    </row>
    <row r="3447" spans="1:6">
      <c r="A3447" s="32">
        <v>38684</v>
      </c>
      <c r="B3447">
        <v>26.25</v>
      </c>
      <c r="C3447">
        <v>26.75</v>
      </c>
      <c r="D3447">
        <v>26.25</v>
      </c>
      <c r="E3447">
        <v>26.75</v>
      </c>
      <c r="F3447">
        <v>0</v>
      </c>
    </row>
    <row r="3448" spans="1:6">
      <c r="A3448" s="32">
        <v>38681</v>
      </c>
      <c r="B3448">
        <v>25.5</v>
      </c>
      <c r="C3448">
        <v>26.25</v>
      </c>
      <c r="D3448">
        <v>25.5</v>
      </c>
      <c r="E3448">
        <v>26</v>
      </c>
      <c r="F3448">
        <v>0</v>
      </c>
    </row>
    <row r="3449" spans="1:6">
      <c r="A3449" s="32">
        <v>38680</v>
      </c>
      <c r="B3449">
        <v>25.25</v>
      </c>
      <c r="C3449">
        <v>25.25</v>
      </c>
      <c r="D3449">
        <v>25.25</v>
      </c>
      <c r="E3449">
        <v>25.25</v>
      </c>
      <c r="F3449">
        <v>0</v>
      </c>
    </row>
    <row r="3450" spans="1:6">
      <c r="A3450" s="32">
        <v>38679</v>
      </c>
      <c r="B3450">
        <v>25</v>
      </c>
      <c r="C3450">
        <v>25</v>
      </c>
      <c r="D3450">
        <v>24.9</v>
      </c>
      <c r="E3450">
        <v>25</v>
      </c>
      <c r="F3450">
        <v>0</v>
      </c>
    </row>
    <row r="3451" spans="1:6">
      <c r="A3451" s="32">
        <v>38678</v>
      </c>
      <c r="B3451">
        <v>25</v>
      </c>
      <c r="C3451">
        <v>25.25</v>
      </c>
      <c r="D3451">
        <v>24.9</v>
      </c>
      <c r="E3451">
        <v>25.25</v>
      </c>
      <c r="F3451">
        <v>0</v>
      </c>
    </row>
    <row r="3452" spans="1:6">
      <c r="A3452" s="32">
        <v>38677</v>
      </c>
      <c r="B3452">
        <v>26</v>
      </c>
      <c r="C3452">
        <v>26</v>
      </c>
      <c r="D3452">
        <v>24.9</v>
      </c>
      <c r="E3452">
        <v>25</v>
      </c>
      <c r="F3452">
        <v>0</v>
      </c>
    </row>
    <row r="3453" spans="1:6">
      <c r="A3453" s="32">
        <v>38674</v>
      </c>
      <c r="B3453">
        <v>25.5</v>
      </c>
      <c r="C3453">
        <v>25.75</v>
      </c>
      <c r="D3453">
        <v>25.25</v>
      </c>
      <c r="E3453">
        <v>25.5</v>
      </c>
      <c r="F3453">
        <v>0</v>
      </c>
    </row>
    <row r="3454" spans="1:6">
      <c r="A3454" s="32">
        <v>38673</v>
      </c>
      <c r="B3454">
        <v>25.75</v>
      </c>
      <c r="C3454">
        <v>26.25</v>
      </c>
      <c r="D3454">
        <v>25.5</v>
      </c>
      <c r="E3454">
        <v>25.5</v>
      </c>
      <c r="F3454">
        <v>0</v>
      </c>
    </row>
    <row r="3455" spans="1:6">
      <c r="A3455" s="32">
        <v>38672</v>
      </c>
      <c r="B3455">
        <v>26.25</v>
      </c>
      <c r="C3455">
        <v>26.25</v>
      </c>
      <c r="D3455">
        <v>25.75</v>
      </c>
      <c r="E3455">
        <v>25.75</v>
      </c>
      <c r="F3455">
        <v>0</v>
      </c>
    </row>
    <row r="3456" spans="1:6">
      <c r="A3456" s="32">
        <v>38671</v>
      </c>
      <c r="B3456">
        <v>26.5</v>
      </c>
      <c r="C3456">
        <v>26.75</v>
      </c>
      <c r="D3456">
        <v>26.25</v>
      </c>
      <c r="E3456">
        <v>26.5</v>
      </c>
      <c r="F3456">
        <v>0</v>
      </c>
    </row>
    <row r="3457" spans="1:6">
      <c r="A3457" s="32">
        <v>38670</v>
      </c>
      <c r="B3457">
        <v>26.5</v>
      </c>
      <c r="C3457">
        <v>26.5</v>
      </c>
      <c r="D3457">
        <v>26.5</v>
      </c>
      <c r="E3457">
        <v>26.5</v>
      </c>
      <c r="F3457">
        <v>0</v>
      </c>
    </row>
    <row r="3458" spans="1:6">
      <c r="A3458" s="32">
        <v>38667</v>
      </c>
      <c r="B3458">
        <v>26.75</v>
      </c>
      <c r="C3458">
        <v>26.75</v>
      </c>
      <c r="D3458">
        <v>26.25</v>
      </c>
      <c r="E3458">
        <v>26.5</v>
      </c>
      <c r="F3458">
        <v>0</v>
      </c>
    </row>
    <row r="3459" spans="1:6">
      <c r="A3459" s="32">
        <v>38666</v>
      </c>
      <c r="B3459">
        <v>27</v>
      </c>
      <c r="C3459">
        <v>27</v>
      </c>
      <c r="D3459">
        <v>27</v>
      </c>
      <c r="E3459">
        <v>27</v>
      </c>
      <c r="F3459">
        <v>0</v>
      </c>
    </row>
    <row r="3460" spans="1:6">
      <c r="A3460" s="32">
        <v>38665</v>
      </c>
      <c r="B3460">
        <v>27</v>
      </c>
      <c r="C3460">
        <v>27.25</v>
      </c>
      <c r="D3460">
        <v>27</v>
      </c>
      <c r="E3460">
        <v>27.25</v>
      </c>
      <c r="F3460">
        <v>0</v>
      </c>
    </row>
    <row r="3461" spans="1:6">
      <c r="A3461" s="32">
        <v>38664</v>
      </c>
      <c r="B3461">
        <v>27.5</v>
      </c>
      <c r="C3461">
        <v>27.5</v>
      </c>
      <c r="D3461">
        <v>27.25</v>
      </c>
      <c r="E3461">
        <v>27.25</v>
      </c>
      <c r="F3461">
        <v>0</v>
      </c>
    </row>
    <row r="3462" spans="1:6">
      <c r="A3462" s="32">
        <v>38663</v>
      </c>
      <c r="B3462">
        <v>27.75</v>
      </c>
      <c r="C3462">
        <v>27.75</v>
      </c>
      <c r="D3462">
        <v>27.5</v>
      </c>
      <c r="E3462">
        <v>27.5</v>
      </c>
      <c r="F3462">
        <v>0</v>
      </c>
    </row>
    <row r="3463" spans="1:6">
      <c r="A3463" s="32">
        <v>38660</v>
      </c>
      <c r="B3463">
        <v>27.25</v>
      </c>
      <c r="C3463">
        <v>28</v>
      </c>
      <c r="D3463">
        <v>27.25</v>
      </c>
      <c r="E3463">
        <v>27.5</v>
      </c>
      <c r="F3463">
        <v>18000</v>
      </c>
    </row>
    <row r="3464" spans="1:6">
      <c r="A3464" s="32">
        <v>38659</v>
      </c>
      <c r="B3464">
        <v>27.5</v>
      </c>
      <c r="C3464">
        <v>27.5</v>
      </c>
      <c r="D3464">
        <v>27</v>
      </c>
      <c r="E3464">
        <v>27.25</v>
      </c>
      <c r="F3464">
        <v>0</v>
      </c>
    </row>
    <row r="3465" spans="1:6">
      <c r="A3465" s="32">
        <v>38658</v>
      </c>
      <c r="B3465">
        <v>26.75</v>
      </c>
      <c r="C3465">
        <v>27.5</v>
      </c>
      <c r="D3465">
        <v>26.75</v>
      </c>
      <c r="E3465">
        <v>27</v>
      </c>
      <c r="F3465">
        <v>0</v>
      </c>
    </row>
    <row r="3466" spans="1:6">
      <c r="A3466" s="32">
        <v>38657</v>
      </c>
      <c r="B3466">
        <v>26.5</v>
      </c>
      <c r="C3466">
        <v>26.75</v>
      </c>
      <c r="D3466">
        <v>26.5</v>
      </c>
      <c r="E3466">
        <v>26.5</v>
      </c>
      <c r="F3466">
        <v>0</v>
      </c>
    </row>
    <row r="3467" spans="1:6">
      <c r="A3467" s="32">
        <v>38656</v>
      </c>
      <c r="B3467">
        <v>26.75</v>
      </c>
      <c r="C3467">
        <v>26.75</v>
      </c>
      <c r="D3467">
        <v>26.5</v>
      </c>
      <c r="E3467">
        <v>26.75</v>
      </c>
      <c r="F3467">
        <v>0</v>
      </c>
    </row>
    <row r="3468" spans="1:6">
      <c r="A3468" s="32">
        <v>38653</v>
      </c>
      <c r="B3468">
        <v>26.75</v>
      </c>
      <c r="C3468">
        <v>26.75</v>
      </c>
      <c r="D3468">
        <v>26.5</v>
      </c>
      <c r="E3468">
        <v>26.75</v>
      </c>
      <c r="F3468">
        <v>20000</v>
      </c>
    </row>
    <row r="3469" spans="1:6">
      <c r="A3469" s="32">
        <v>38652</v>
      </c>
      <c r="B3469">
        <v>26.75</v>
      </c>
      <c r="C3469">
        <v>27</v>
      </c>
      <c r="D3469">
        <v>26.5</v>
      </c>
      <c r="E3469">
        <v>26.75</v>
      </c>
      <c r="F3469">
        <v>0</v>
      </c>
    </row>
    <row r="3470" spans="1:6">
      <c r="A3470" s="32">
        <v>38651</v>
      </c>
      <c r="B3470">
        <v>26.5</v>
      </c>
      <c r="C3470">
        <v>27</v>
      </c>
      <c r="D3470">
        <v>26.5</v>
      </c>
      <c r="E3470">
        <v>27</v>
      </c>
      <c r="F3470">
        <v>70000</v>
      </c>
    </row>
    <row r="3471" spans="1:6">
      <c r="A3471" s="32">
        <v>38650</v>
      </c>
      <c r="B3471">
        <v>27</v>
      </c>
      <c r="C3471">
        <v>27</v>
      </c>
      <c r="D3471">
        <v>26</v>
      </c>
      <c r="E3471">
        <v>26.5</v>
      </c>
      <c r="F3471">
        <v>1100</v>
      </c>
    </row>
    <row r="3472" spans="1:6">
      <c r="A3472" s="32">
        <v>38646</v>
      </c>
      <c r="B3472">
        <v>27.5</v>
      </c>
      <c r="C3472">
        <v>27.75</v>
      </c>
      <c r="D3472">
        <v>27</v>
      </c>
      <c r="E3472">
        <v>27.25</v>
      </c>
      <c r="F3472">
        <v>0</v>
      </c>
    </row>
    <row r="3473" spans="1:6">
      <c r="A3473" s="32">
        <v>38645</v>
      </c>
      <c r="B3473">
        <v>27.25</v>
      </c>
      <c r="C3473">
        <v>27.5</v>
      </c>
      <c r="D3473">
        <v>27</v>
      </c>
      <c r="E3473">
        <v>27.25</v>
      </c>
      <c r="F3473">
        <v>0</v>
      </c>
    </row>
    <row r="3474" spans="1:6">
      <c r="A3474" s="32">
        <v>38644</v>
      </c>
      <c r="B3474">
        <v>27.25</v>
      </c>
      <c r="C3474">
        <v>27.5</v>
      </c>
      <c r="D3474">
        <v>27</v>
      </c>
      <c r="E3474">
        <v>27</v>
      </c>
      <c r="F3474">
        <v>0</v>
      </c>
    </row>
    <row r="3475" spans="1:6">
      <c r="A3475" s="32">
        <v>38643</v>
      </c>
      <c r="B3475">
        <v>27</v>
      </c>
      <c r="C3475">
        <v>28</v>
      </c>
      <c r="D3475">
        <v>27</v>
      </c>
      <c r="E3475">
        <v>27</v>
      </c>
      <c r="F3475">
        <v>7100</v>
      </c>
    </row>
    <row r="3476" spans="1:6">
      <c r="A3476" s="32">
        <v>38642</v>
      </c>
      <c r="B3476">
        <v>26.5</v>
      </c>
      <c r="C3476">
        <v>26.75</v>
      </c>
      <c r="D3476">
        <v>26.25</v>
      </c>
      <c r="E3476">
        <v>26.75</v>
      </c>
      <c r="F3476">
        <v>18700</v>
      </c>
    </row>
    <row r="3477" spans="1:6">
      <c r="A3477" s="32">
        <v>38639</v>
      </c>
      <c r="B3477">
        <v>25.5</v>
      </c>
      <c r="C3477">
        <v>27.25</v>
      </c>
      <c r="D3477">
        <v>25.5</v>
      </c>
      <c r="E3477">
        <v>26.25</v>
      </c>
      <c r="F3477">
        <v>0</v>
      </c>
    </row>
    <row r="3478" spans="1:6">
      <c r="A3478" s="32">
        <v>38638</v>
      </c>
      <c r="B3478">
        <v>26</v>
      </c>
      <c r="C3478">
        <v>26</v>
      </c>
      <c r="D3478">
        <v>25.5</v>
      </c>
      <c r="E3478">
        <v>25.5</v>
      </c>
      <c r="F3478">
        <v>46600</v>
      </c>
    </row>
    <row r="3479" spans="1:6">
      <c r="A3479" s="32">
        <v>38637</v>
      </c>
      <c r="B3479">
        <v>26</v>
      </c>
      <c r="C3479">
        <v>26.25</v>
      </c>
      <c r="D3479">
        <v>25.75</v>
      </c>
      <c r="E3479">
        <v>26</v>
      </c>
      <c r="F3479">
        <v>0</v>
      </c>
    </row>
    <row r="3480" spans="1:6">
      <c r="A3480" s="32">
        <v>38636</v>
      </c>
      <c r="B3480">
        <v>26.5</v>
      </c>
      <c r="C3480">
        <v>26.5</v>
      </c>
      <c r="D3480">
        <v>24.9</v>
      </c>
      <c r="E3480">
        <v>26</v>
      </c>
      <c r="F3480">
        <v>0</v>
      </c>
    </row>
    <row r="3481" spans="1:6">
      <c r="A3481" s="32">
        <v>38635</v>
      </c>
      <c r="B3481">
        <v>26.75</v>
      </c>
      <c r="C3481">
        <v>27.75</v>
      </c>
      <c r="D3481">
        <v>26.5</v>
      </c>
      <c r="E3481">
        <v>26.5</v>
      </c>
      <c r="F3481">
        <v>200</v>
      </c>
    </row>
    <row r="3482" spans="1:6">
      <c r="A3482" s="32">
        <v>38632</v>
      </c>
      <c r="B3482">
        <v>26.25</v>
      </c>
      <c r="C3482">
        <v>27</v>
      </c>
      <c r="D3482">
        <v>26.25</v>
      </c>
      <c r="E3482">
        <v>27</v>
      </c>
      <c r="F3482">
        <v>0</v>
      </c>
    </row>
    <row r="3483" spans="1:6">
      <c r="A3483" s="32">
        <v>38631</v>
      </c>
      <c r="B3483">
        <v>26.5</v>
      </c>
      <c r="C3483">
        <v>26.75</v>
      </c>
      <c r="D3483">
        <v>26.25</v>
      </c>
      <c r="E3483">
        <v>26.25</v>
      </c>
      <c r="F3483">
        <v>0</v>
      </c>
    </row>
    <row r="3484" spans="1:6">
      <c r="A3484" s="32">
        <v>38630</v>
      </c>
      <c r="B3484">
        <v>26.75</v>
      </c>
      <c r="C3484">
        <v>27</v>
      </c>
      <c r="D3484">
        <v>26.25</v>
      </c>
      <c r="E3484">
        <v>26.25</v>
      </c>
      <c r="F3484">
        <v>12000</v>
      </c>
    </row>
    <row r="3485" spans="1:6">
      <c r="A3485" s="32">
        <v>38629</v>
      </c>
      <c r="B3485">
        <v>26</v>
      </c>
      <c r="C3485">
        <v>27.25</v>
      </c>
      <c r="D3485">
        <v>26</v>
      </c>
      <c r="E3485">
        <v>26.5</v>
      </c>
      <c r="F3485">
        <v>19000</v>
      </c>
    </row>
    <row r="3486" spans="1:6">
      <c r="A3486" s="32">
        <v>38628</v>
      </c>
      <c r="B3486">
        <v>25.75</v>
      </c>
      <c r="C3486">
        <v>26.25</v>
      </c>
      <c r="D3486">
        <v>25.75</v>
      </c>
      <c r="E3486">
        <v>26</v>
      </c>
      <c r="F3486">
        <v>0</v>
      </c>
    </row>
    <row r="3487" spans="1:6">
      <c r="A3487" s="32">
        <v>38625</v>
      </c>
      <c r="B3487">
        <v>25.75</v>
      </c>
      <c r="C3487">
        <v>26.5</v>
      </c>
      <c r="D3487">
        <v>25.75</v>
      </c>
      <c r="E3487">
        <v>26</v>
      </c>
      <c r="F3487">
        <v>123800</v>
      </c>
    </row>
    <row r="3488" spans="1:6">
      <c r="A3488" s="32">
        <v>38624</v>
      </c>
      <c r="B3488">
        <v>25.75</v>
      </c>
      <c r="C3488">
        <v>25.75</v>
      </c>
      <c r="D3488">
        <v>25.5</v>
      </c>
      <c r="E3488">
        <v>25.75</v>
      </c>
      <c r="F3488">
        <v>10000</v>
      </c>
    </row>
    <row r="3489" spans="1:6">
      <c r="A3489" s="32">
        <v>38623</v>
      </c>
      <c r="B3489">
        <v>26</v>
      </c>
      <c r="C3489">
        <v>26.25</v>
      </c>
      <c r="D3489">
        <v>25.5</v>
      </c>
      <c r="E3489">
        <v>25.5</v>
      </c>
      <c r="F3489">
        <v>2000</v>
      </c>
    </row>
    <row r="3490" spans="1:6">
      <c r="A3490" s="32">
        <v>38622</v>
      </c>
      <c r="B3490">
        <v>25.75</v>
      </c>
      <c r="C3490">
        <v>26</v>
      </c>
      <c r="D3490">
        <v>25.5</v>
      </c>
      <c r="E3490">
        <v>25.5</v>
      </c>
      <c r="F3490">
        <v>0</v>
      </c>
    </row>
    <row r="3491" spans="1:6">
      <c r="A3491" s="32">
        <v>38621</v>
      </c>
      <c r="B3491">
        <v>25.75</v>
      </c>
      <c r="C3491">
        <v>26.25</v>
      </c>
      <c r="D3491">
        <v>25.25</v>
      </c>
      <c r="E3491">
        <v>25.5</v>
      </c>
      <c r="F3491">
        <v>50000</v>
      </c>
    </row>
    <row r="3492" spans="1:6">
      <c r="A3492" s="32">
        <v>38618</v>
      </c>
      <c r="B3492">
        <v>25</v>
      </c>
      <c r="C3492">
        <v>26.25</v>
      </c>
      <c r="D3492">
        <v>25</v>
      </c>
      <c r="E3492">
        <v>25.25</v>
      </c>
      <c r="F3492">
        <v>12000</v>
      </c>
    </row>
    <row r="3493" spans="1:6">
      <c r="A3493" s="32">
        <v>38617</v>
      </c>
      <c r="B3493">
        <v>24.9</v>
      </c>
      <c r="C3493">
        <v>25.25</v>
      </c>
      <c r="D3493">
        <v>24.8</v>
      </c>
      <c r="E3493">
        <v>24.9</v>
      </c>
      <c r="F3493">
        <v>22200</v>
      </c>
    </row>
    <row r="3494" spans="1:6">
      <c r="A3494" s="32">
        <v>38616</v>
      </c>
      <c r="B3494">
        <v>23.8</v>
      </c>
      <c r="C3494">
        <v>26.25</v>
      </c>
      <c r="D3494">
        <v>23.7</v>
      </c>
      <c r="E3494">
        <v>25.25</v>
      </c>
      <c r="F3494">
        <v>12500</v>
      </c>
    </row>
    <row r="3495" spans="1:6">
      <c r="A3495" s="32">
        <v>38615</v>
      </c>
      <c r="B3495">
        <v>23.6</v>
      </c>
      <c r="C3495">
        <v>23.7</v>
      </c>
      <c r="D3495">
        <v>23.3</v>
      </c>
      <c r="E3495">
        <v>23.7</v>
      </c>
      <c r="F3495">
        <v>0</v>
      </c>
    </row>
    <row r="3496" spans="1:6">
      <c r="A3496" s="32">
        <v>38614</v>
      </c>
      <c r="B3496">
        <v>23.8</v>
      </c>
      <c r="C3496">
        <v>24</v>
      </c>
      <c r="D3496">
        <v>23.6</v>
      </c>
      <c r="E3496">
        <v>23.6</v>
      </c>
      <c r="F3496">
        <v>78000</v>
      </c>
    </row>
    <row r="3497" spans="1:6">
      <c r="A3497" s="32">
        <v>38611</v>
      </c>
      <c r="B3497">
        <v>23.4</v>
      </c>
      <c r="C3497">
        <v>23.4</v>
      </c>
      <c r="D3497">
        <v>23.3</v>
      </c>
      <c r="E3497">
        <v>23.3</v>
      </c>
      <c r="F3497">
        <v>0</v>
      </c>
    </row>
    <row r="3498" spans="1:6">
      <c r="A3498" s="32">
        <v>38610</v>
      </c>
      <c r="B3498">
        <v>23</v>
      </c>
      <c r="C3498">
        <v>23.3</v>
      </c>
      <c r="D3498">
        <v>22.8</v>
      </c>
      <c r="E3498">
        <v>23.3</v>
      </c>
      <c r="F3498">
        <v>0</v>
      </c>
    </row>
    <row r="3499" spans="1:6">
      <c r="A3499" s="32">
        <v>38609</v>
      </c>
      <c r="B3499">
        <v>22.5</v>
      </c>
      <c r="C3499">
        <v>23.1</v>
      </c>
      <c r="D3499">
        <v>22.5</v>
      </c>
      <c r="E3499">
        <v>22.9</v>
      </c>
      <c r="F3499">
        <v>0</v>
      </c>
    </row>
    <row r="3500" spans="1:6">
      <c r="A3500" s="32">
        <v>38608</v>
      </c>
      <c r="B3500">
        <v>22.4</v>
      </c>
      <c r="C3500">
        <v>22.5</v>
      </c>
      <c r="D3500">
        <v>22.3</v>
      </c>
      <c r="E3500">
        <v>22.5</v>
      </c>
      <c r="F3500">
        <v>0</v>
      </c>
    </row>
    <row r="3501" spans="1:6">
      <c r="A3501" s="32">
        <v>38607</v>
      </c>
      <c r="B3501">
        <v>23</v>
      </c>
      <c r="C3501">
        <v>23</v>
      </c>
      <c r="D3501">
        <v>22.3</v>
      </c>
      <c r="E3501">
        <v>22.5</v>
      </c>
      <c r="F3501">
        <v>0</v>
      </c>
    </row>
    <row r="3502" spans="1:6">
      <c r="A3502" s="32">
        <v>38604</v>
      </c>
      <c r="B3502">
        <v>23.1</v>
      </c>
      <c r="C3502">
        <v>23.2</v>
      </c>
      <c r="D3502">
        <v>23</v>
      </c>
      <c r="E3502">
        <v>23</v>
      </c>
      <c r="F3502">
        <v>0</v>
      </c>
    </row>
    <row r="3503" spans="1:6">
      <c r="A3503" s="32">
        <v>38603</v>
      </c>
      <c r="B3503">
        <v>21.9</v>
      </c>
      <c r="C3503">
        <v>23</v>
      </c>
      <c r="D3503">
        <v>21.9</v>
      </c>
      <c r="E3503">
        <v>22.8</v>
      </c>
      <c r="F3503">
        <v>1000</v>
      </c>
    </row>
    <row r="3504" spans="1:6">
      <c r="A3504" s="32">
        <v>38602</v>
      </c>
      <c r="B3504">
        <v>21.2</v>
      </c>
      <c r="C3504">
        <v>21.8</v>
      </c>
      <c r="D3504">
        <v>21.1</v>
      </c>
      <c r="E3504">
        <v>21.8</v>
      </c>
      <c r="F3504">
        <v>20000</v>
      </c>
    </row>
    <row r="3505" spans="1:6">
      <c r="A3505" s="32">
        <v>38601</v>
      </c>
      <c r="B3505">
        <v>20.9</v>
      </c>
      <c r="C3505">
        <v>21</v>
      </c>
      <c r="D3505">
        <v>20.8</v>
      </c>
      <c r="E3505">
        <v>21</v>
      </c>
      <c r="F3505">
        <v>0</v>
      </c>
    </row>
    <row r="3506" spans="1:6">
      <c r="A3506" s="32">
        <v>38600</v>
      </c>
      <c r="B3506">
        <v>20.6</v>
      </c>
      <c r="C3506">
        <v>20.8</v>
      </c>
      <c r="D3506">
        <v>20.6</v>
      </c>
      <c r="E3506">
        <v>20.7</v>
      </c>
      <c r="F3506">
        <v>0</v>
      </c>
    </row>
    <row r="3507" spans="1:6">
      <c r="A3507" s="32">
        <v>38597</v>
      </c>
      <c r="B3507">
        <v>20.8</v>
      </c>
      <c r="C3507">
        <v>20.8</v>
      </c>
      <c r="D3507">
        <v>20.6</v>
      </c>
      <c r="E3507">
        <v>20.6</v>
      </c>
      <c r="F3507">
        <v>0</v>
      </c>
    </row>
    <row r="3508" spans="1:6">
      <c r="A3508" s="32">
        <v>38596</v>
      </c>
      <c r="B3508">
        <v>21</v>
      </c>
      <c r="C3508">
        <v>21</v>
      </c>
      <c r="D3508">
        <v>20.7</v>
      </c>
      <c r="E3508">
        <v>20.8</v>
      </c>
      <c r="F3508">
        <v>0</v>
      </c>
    </row>
    <row r="3509" spans="1:6">
      <c r="A3509" s="32">
        <v>38595</v>
      </c>
      <c r="B3509">
        <v>21</v>
      </c>
      <c r="C3509">
        <v>21</v>
      </c>
      <c r="D3509">
        <v>20.8</v>
      </c>
      <c r="E3509">
        <v>20.8</v>
      </c>
      <c r="F3509">
        <v>0</v>
      </c>
    </row>
    <row r="3510" spans="1:6">
      <c r="A3510" s="32">
        <v>38594</v>
      </c>
      <c r="B3510">
        <v>20.8</v>
      </c>
      <c r="C3510">
        <v>20.9</v>
      </c>
      <c r="D3510">
        <v>20.8</v>
      </c>
      <c r="E3510">
        <v>20.8</v>
      </c>
      <c r="F3510">
        <v>0</v>
      </c>
    </row>
    <row r="3511" spans="1:6">
      <c r="A3511" s="32">
        <v>38593</v>
      </c>
      <c r="B3511">
        <v>21.5</v>
      </c>
      <c r="C3511">
        <v>21.5</v>
      </c>
      <c r="D3511">
        <v>20.9</v>
      </c>
      <c r="E3511">
        <v>20.9</v>
      </c>
      <c r="F3511">
        <v>30000</v>
      </c>
    </row>
    <row r="3512" spans="1:6">
      <c r="A3512" s="32">
        <v>38590</v>
      </c>
      <c r="B3512">
        <v>21.7</v>
      </c>
      <c r="C3512">
        <v>21.7</v>
      </c>
      <c r="D3512">
        <v>21.2</v>
      </c>
      <c r="E3512">
        <v>21.5</v>
      </c>
      <c r="F3512">
        <v>0</v>
      </c>
    </row>
    <row r="3513" spans="1:6">
      <c r="A3513" s="32">
        <v>38589</v>
      </c>
      <c r="B3513">
        <v>21.1</v>
      </c>
      <c r="C3513">
        <v>21.5</v>
      </c>
      <c r="D3513">
        <v>21.1</v>
      </c>
      <c r="E3513">
        <v>21.5</v>
      </c>
      <c r="F3513">
        <v>38000</v>
      </c>
    </row>
    <row r="3514" spans="1:6">
      <c r="A3514" s="32">
        <v>38588</v>
      </c>
      <c r="B3514">
        <v>21.4</v>
      </c>
      <c r="C3514">
        <v>21.5</v>
      </c>
      <c r="D3514">
        <v>21.2</v>
      </c>
      <c r="E3514">
        <v>21.2</v>
      </c>
      <c r="F3514">
        <v>4500</v>
      </c>
    </row>
    <row r="3515" spans="1:6">
      <c r="A3515" s="32">
        <v>38587</v>
      </c>
      <c r="B3515">
        <v>20.9</v>
      </c>
      <c r="C3515">
        <v>21.5</v>
      </c>
      <c r="D3515">
        <v>20.9</v>
      </c>
      <c r="E3515">
        <v>21.4</v>
      </c>
      <c r="F3515">
        <v>47900</v>
      </c>
    </row>
    <row r="3516" spans="1:6">
      <c r="A3516" s="32">
        <v>38586</v>
      </c>
      <c r="B3516">
        <v>21.5</v>
      </c>
      <c r="C3516">
        <v>21.5</v>
      </c>
      <c r="D3516">
        <v>20.7</v>
      </c>
      <c r="E3516">
        <v>20.9</v>
      </c>
      <c r="F3516">
        <v>58000</v>
      </c>
    </row>
    <row r="3517" spans="1:6">
      <c r="A3517" s="32">
        <v>38583</v>
      </c>
      <c r="B3517">
        <v>22.1</v>
      </c>
      <c r="C3517">
        <v>22.1</v>
      </c>
      <c r="D3517">
        <v>21.3</v>
      </c>
      <c r="E3517">
        <v>21.3</v>
      </c>
      <c r="F3517">
        <v>104500</v>
      </c>
    </row>
    <row r="3518" spans="1:6">
      <c r="A3518" s="32">
        <v>38582</v>
      </c>
      <c r="B3518">
        <v>22.3</v>
      </c>
      <c r="C3518">
        <v>22.4</v>
      </c>
      <c r="D3518">
        <v>22.1</v>
      </c>
      <c r="E3518">
        <v>22.1</v>
      </c>
      <c r="F3518">
        <v>0</v>
      </c>
    </row>
    <row r="3519" spans="1:6">
      <c r="A3519" s="32">
        <v>38581</v>
      </c>
      <c r="B3519">
        <v>22.5</v>
      </c>
      <c r="C3519">
        <v>22.5</v>
      </c>
      <c r="D3519">
        <v>22</v>
      </c>
      <c r="E3519">
        <v>22.1</v>
      </c>
      <c r="F3519">
        <v>25600</v>
      </c>
    </row>
    <row r="3520" spans="1:6">
      <c r="A3520" s="32">
        <v>38580</v>
      </c>
      <c r="B3520">
        <v>21.9</v>
      </c>
      <c r="C3520">
        <v>22.8</v>
      </c>
      <c r="D3520">
        <v>21.9</v>
      </c>
      <c r="E3520">
        <v>22.5</v>
      </c>
      <c r="F3520">
        <v>82000</v>
      </c>
    </row>
    <row r="3521" spans="1:6">
      <c r="A3521" s="32">
        <v>38579</v>
      </c>
      <c r="B3521">
        <v>23.2</v>
      </c>
      <c r="C3521">
        <v>23.2</v>
      </c>
      <c r="D3521">
        <v>21.8</v>
      </c>
      <c r="E3521">
        <v>21.8</v>
      </c>
      <c r="F3521">
        <v>122000</v>
      </c>
    </row>
    <row r="3522" spans="1:6">
      <c r="A3522" s="32">
        <v>38575</v>
      </c>
      <c r="B3522">
        <v>22</v>
      </c>
      <c r="C3522">
        <v>23.8</v>
      </c>
      <c r="D3522">
        <v>21.9</v>
      </c>
      <c r="E3522">
        <v>23.3</v>
      </c>
      <c r="F3522">
        <v>24000</v>
      </c>
    </row>
    <row r="3523" spans="1:6">
      <c r="A3523" s="32">
        <v>38574</v>
      </c>
      <c r="B3523">
        <v>21.2</v>
      </c>
      <c r="C3523">
        <v>22</v>
      </c>
      <c r="D3523">
        <v>21.2</v>
      </c>
      <c r="E3523">
        <v>21.7</v>
      </c>
      <c r="F3523">
        <v>0</v>
      </c>
    </row>
    <row r="3524" spans="1:6">
      <c r="A3524" s="32">
        <v>38573</v>
      </c>
      <c r="B3524">
        <v>21</v>
      </c>
      <c r="C3524">
        <v>21.3</v>
      </c>
      <c r="D3524">
        <v>21</v>
      </c>
      <c r="E3524">
        <v>21.1</v>
      </c>
      <c r="F3524">
        <v>0</v>
      </c>
    </row>
    <row r="3525" spans="1:6">
      <c r="A3525" s="32">
        <v>38572</v>
      </c>
      <c r="B3525">
        <v>20.399999999999999</v>
      </c>
      <c r="C3525">
        <v>21.2</v>
      </c>
      <c r="D3525">
        <v>20.399999999999999</v>
      </c>
      <c r="E3525">
        <v>21</v>
      </c>
      <c r="F3525">
        <v>0</v>
      </c>
    </row>
    <row r="3526" spans="1:6">
      <c r="A3526" s="32">
        <v>38569</v>
      </c>
      <c r="B3526">
        <v>19.7</v>
      </c>
      <c r="C3526">
        <v>20.5</v>
      </c>
      <c r="D3526">
        <v>19.600000000000001</v>
      </c>
      <c r="E3526">
        <v>20.399999999999999</v>
      </c>
      <c r="F3526">
        <v>35000</v>
      </c>
    </row>
    <row r="3527" spans="1:6">
      <c r="A3527" s="32">
        <v>38568</v>
      </c>
      <c r="B3527">
        <v>19.399999999999999</v>
      </c>
      <c r="C3527">
        <v>19.7</v>
      </c>
      <c r="D3527">
        <v>19.399999999999999</v>
      </c>
      <c r="E3527">
        <v>19.7</v>
      </c>
      <c r="F3527">
        <v>0</v>
      </c>
    </row>
    <row r="3528" spans="1:6">
      <c r="A3528" s="32">
        <v>38567</v>
      </c>
      <c r="B3528">
        <v>19.3</v>
      </c>
      <c r="C3528">
        <v>19.600000000000001</v>
      </c>
      <c r="D3528">
        <v>19.3</v>
      </c>
      <c r="E3528">
        <v>19.5</v>
      </c>
      <c r="F3528">
        <v>0</v>
      </c>
    </row>
    <row r="3529" spans="1:6">
      <c r="A3529" s="32">
        <v>38566</v>
      </c>
      <c r="B3529">
        <v>19.600000000000001</v>
      </c>
      <c r="C3529">
        <v>19.600000000000001</v>
      </c>
      <c r="D3529">
        <v>19.399999999999999</v>
      </c>
      <c r="E3529">
        <v>19.399999999999999</v>
      </c>
      <c r="F3529">
        <v>0</v>
      </c>
    </row>
    <row r="3530" spans="1:6">
      <c r="A3530" s="32">
        <v>38565</v>
      </c>
      <c r="B3530">
        <v>19.399999999999999</v>
      </c>
      <c r="C3530">
        <v>19.7</v>
      </c>
      <c r="D3530">
        <v>19.399999999999999</v>
      </c>
      <c r="E3530">
        <v>19.600000000000001</v>
      </c>
      <c r="F3530">
        <v>8200</v>
      </c>
    </row>
    <row r="3531" spans="1:6">
      <c r="A3531" s="32">
        <v>38562</v>
      </c>
      <c r="B3531">
        <v>19.2</v>
      </c>
      <c r="C3531">
        <v>19.5</v>
      </c>
      <c r="D3531">
        <v>19.2</v>
      </c>
      <c r="E3531">
        <v>19.399999999999999</v>
      </c>
      <c r="F3531">
        <v>4800</v>
      </c>
    </row>
    <row r="3532" spans="1:6">
      <c r="A3532" s="32">
        <v>38561</v>
      </c>
      <c r="B3532">
        <v>19.2</v>
      </c>
      <c r="C3532">
        <v>19.3</v>
      </c>
      <c r="D3532">
        <v>19.2</v>
      </c>
      <c r="E3532">
        <v>19.2</v>
      </c>
      <c r="F3532">
        <v>2000</v>
      </c>
    </row>
    <row r="3533" spans="1:6">
      <c r="A3533" s="32">
        <v>38560</v>
      </c>
      <c r="B3533">
        <v>19.100000000000001</v>
      </c>
      <c r="C3533">
        <v>19.2</v>
      </c>
      <c r="D3533">
        <v>19.100000000000001</v>
      </c>
      <c r="E3533">
        <v>19.2</v>
      </c>
      <c r="F3533">
        <v>0</v>
      </c>
    </row>
    <row r="3534" spans="1:6">
      <c r="A3534" s="32">
        <v>38559</v>
      </c>
      <c r="B3534">
        <v>19.100000000000001</v>
      </c>
      <c r="C3534">
        <v>19.100000000000001</v>
      </c>
      <c r="D3534">
        <v>19</v>
      </c>
      <c r="E3534">
        <v>19.100000000000001</v>
      </c>
      <c r="F3534">
        <v>12000</v>
      </c>
    </row>
    <row r="3535" spans="1:6">
      <c r="A3535" s="32">
        <v>38558</v>
      </c>
      <c r="B3535">
        <v>19</v>
      </c>
      <c r="C3535">
        <v>19.100000000000001</v>
      </c>
      <c r="D3535">
        <v>19</v>
      </c>
      <c r="E3535">
        <v>19</v>
      </c>
      <c r="F3535">
        <v>0</v>
      </c>
    </row>
    <row r="3536" spans="1:6">
      <c r="A3536" s="32">
        <v>38554</v>
      </c>
      <c r="B3536">
        <v>18.899999999999999</v>
      </c>
      <c r="C3536">
        <v>19</v>
      </c>
      <c r="D3536">
        <v>18.899999999999999</v>
      </c>
      <c r="E3536">
        <v>19</v>
      </c>
      <c r="F3536">
        <v>1000</v>
      </c>
    </row>
    <row r="3537" spans="1:6">
      <c r="A3537" s="32">
        <v>38552</v>
      </c>
      <c r="B3537">
        <v>19</v>
      </c>
      <c r="C3537">
        <v>19</v>
      </c>
      <c r="D3537">
        <v>19</v>
      </c>
      <c r="E3537">
        <v>19</v>
      </c>
      <c r="F3537">
        <v>0</v>
      </c>
    </row>
    <row r="3538" spans="1:6">
      <c r="A3538" s="32">
        <v>38551</v>
      </c>
      <c r="B3538">
        <v>19</v>
      </c>
      <c r="C3538">
        <v>19.100000000000001</v>
      </c>
      <c r="D3538">
        <v>19</v>
      </c>
      <c r="E3538">
        <v>19</v>
      </c>
      <c r="F3538">
        <v>0</v>
      </c>
    </row>
    <row r="3539" spans="1:6">
      <c r="A3539" s="32">
        <v>38548</v>
      </c>
      <c r="B3539">
        <v>19.2</v>
      </c>
      <c r="C3539">
        <v>19.2</v>
      </c>
      <c r="D3539">
        <v>19</v>
      </c>
      <c r="E3539">
        <v>19</v>
      </c>
      <c r="F3539">
        <v>40000</v>
      </c>
    </row>
    <row r="3540" spans="1:6">
      <c r="A3540" s="32">
        <v>38547</v>
      </c>
      <c r="B3540">
        <v>19.2</v>
      </c>
      <c r="C3540">
        <v>19.2</v>
      </c>
      <c r="D3540">
        <v>18.899999999999999</v>
      </c>
      <c r="E3540">
        <v>19.100000000000001</v>
      </c>
      <c r="F3540">
        <v>0</v>
      </c>
    </row>
    <row r="3541" spans="1:6">
      <c r="A3541" s="32">
        <v>38546</v>
      </c>
      <c r="B3541">
        <v>19</v>
      </c>
      <c r="C3541">
        <v>19.100000000000001</v>
      </c>
      <c r="D3541">
        <v>18.8</v>
      </c>
      <c r="E3541">
        <v>19.100000000000001</v>
      </c>
      <c r="F3541">
        <v>0</v>
      </c>
    </row>
    <row r="3542" spans="1:6">
      <c r="A3542" s="32">
        <v>38545</v>
      </c>
      <c r="B3542">
        <v>18.7</v>
      </c>
      <c r="C3542">
        <v>19</v>
      </c>
      <c r="D3542">
        <v>18.7</v>
      </c>
      <c r="E3542">
        <v>19</v>
      </c>
      <c r="F3542">
        <v>0</v>
      </c>
    </row>
    <row r="3543" spans="1:6">
      <c r="A3543" s="32">
        <v>38544</v>
      </c>
      <c r="B3543">
        <v>18.3</v>
      </c>
      <c r="C3543">
        <v>18.7</v>
      </c>
      <c r="D3543">
        <v>18.100000000000001</v>
      </c>
      <c r="E3543">
        <v>18.600000000000001</v>
      </c>
      <c r="F3543">
        <v>0</v>
      </c>
    </row>
    <row r="3544" spans="1:6">
      <c r="A3544" s="32">
        <v>38541</v>
      </c>
      <c r="B3544">
        <v>18.100000000000001</v>
      </c>
      <c r="C3544">
        <v>18.399999999999999</v>
      </c>
      <c r="D3544">
        <v>18.100000000000001</v>
      </c>
      <c r="E3544">
        <v>18.3</v>
      </c>
      <c r="F3544">
        <v>0</v>
      </c>
    </row>
    <row r="3545" spans="1:6">
      <c r="A3545" s="32">
        <v>38540</v>
      </c>
      <c r="B3545">
        <v>18.7</v>
      </c>
      <c r="C3545">
        <v>18.7</v>
      </c>
      <c r="D3545">
        <v>17.5</v>
      </c>
      <c r="E3545">
        <v>18</v>
      </c>
      <c r="F3545">
        <v>0</v>
      </c>
    </row>
    <row r="3546" spans="1:6">
      <c r="A3546" s="32">
        <v>38539</v>
      </c>
      <c r="B3546">
        <v>18.8</v>
      </c>
      <c r="C3546">
        <v>18.8</v>
      </c>
      <c r="D3546">
        <v>18.7</v>
      </c>
      <c r="E3546">
        <v>18.7</v>
      </c>
      <c r="F3546">
        <v>0</v>
      </c>
    </row>
    <row r="3547" spans="1:6">
      <c r="A3547" s="32">
        <v>38538</v>
      </c>
      <c r="B3547">
        <v>18.8</v>
      </c>
      <c r="C3547">
        <v>18.899999999999999</v>
      </c>
      <c r="D3547">
        <v>18.8</v>
      </c>
      <c r="E3547">
        <v>18.8</v>
      </c>
      <c r="F3547">
        <v>0</v>
      </c>
    </row>
    <row r="3548" spans="1:6">
      <c r="A3548" s="32">
        <v>38537</v>
      </c>
      <c r="B3548">
        <v>19</v>
      </c>
      <c r="C3548">
        <v>19</v>
      </c>
      <c r="D3548">
        <v>18.899999999999999</v>
      </c>
      <c r="E3548">
        <v>19</v>
      </c>
      <c r="F3548">
        <v>0</v>
      </c>
    </row>
    <row r="3549" spans="1:6">
      <c r="A3549" s="32">
        <v>38533</v>
      </c>
      <c r="B3549">
        <v>19</v>
      </c>
      <c r="C3549">
        <v>19.100000000000001</v>
      </c>
      <c r="D3549">
        <v>18.899999999999999</v>
      </c>
      <c r="E3549">
        <v>19</v>
      </c>
      <c r="F3549">
        <v>0</v>
      </c>
    </row>
    <row r="3550" spans="1:6">
      <c r="A3550" s="32">
        <v>38532</v>
      </c>
      <c r="B3550">
        <v>19</v>
      </c>
      <c r="C3550">
        <v>19.100000000000001</v>
      </c>
      <c r="D3550">
        <v>19</v>
      </c>
      <c r="E3550">
        <v>19.100000000000001</v>
      </c>
      <c r="F3550">
        <v>0</v>
      </c>
    </row>
    <row r="3551" spans="1:6">
      <c r="A3551" s="32">
        <v>38531</v>
      </c>
      <c r="B3551">
        <v>18.899999999999999</v>
      </c>
      <c r="C3551">
        <v>19</v>
      </c>
      <c r="D3551">
        <v>18.899999999999999</v>
      </c>
      <c r="E3551">
        <v>19</v>
      </c>
      <c r="F3551">
        <v>0</v>
      </c>
    </row>
    <row r="3552" spans="1:6">
      <c r="A3552" s="32">
        <v>38530</v>
      </c>
      <c r="B3552">
        <v>18.899999999999999</v>
      </c>
      <c r="C3552">
        <v>19</v>
      </c>
      <c r="D3552">
        <v>18.899999999999999</v>
      </c>
      <c r="E3552">
        <v>18.899999999999999</v>
      </c>
      <c r="F3552">
        <v>0</v>
      </c>
    </row>
    <row r="3553" spans="1:6">
      <c r="A3553" s="32">
        <v>38527</v>
      </c>
      <c r="B3553">
        <v>19</v>
      </c>
      <c r="C3553">
        <v>19.100000000000001</v>
      </c>
      <c r="D3553">
        <v>18.899999999999999</v>
      </c>
      <c r="E3553">
        <v>18.899999999999999</v>
      </c>
      <c r="F3553">
        <v>0</v>
      </c>
    </row>
    <row r="3554" spans="1:6">
      <c r="A3554" s="32">
        <v>38526</v>
      </c>
      <c r="B3554">
        <v>19</v>
      </c>
      <c r="C3554">
        <v>19.100000000000001</v>
      </c>
      <c r="D3554">
        <v>19</v>
      </c>
      <c r="E3554">
        <v>19.100000000000001</v>
      </c>
      <c r="F3554">
        <v>0</v>
      </c>
    </row>
    <row r="3555" spans="1:6">
      <c r="A3555" s="32">
        <v>38525</v>
      </c>
      <c r="B3555">
        <v>19</v>
      </c>
      <c r="C3555">
        <v>19</v>
      </c>
      <c r="D3555">
        <v>18.899999999999999</v>
      </c>
      <c r="E3555">
        <v>19</v>
      </c>
      <c r="F3555">
        <v>0</v>
      </c>
    </row>
    <row r="3556" spans="1:6">
      <c r="A3556" s="32">
        <v>38524</v>
      </c>
      <c r="B3556">
        <v>18.899999999999999</v>
      </c>
      <c r="C3556">
        <v>19.2</v>
      </c>
      <c r="D3556">
        <v>18.899999999999999</v>
      </c>
      <c r="E3556">
        <v>18.899999999999999</v>
      </c>
      <c r="F3556">
        <v>12000</v>
      </c>
    </row>
    <row r="3557" spans="1:6">
      <c r="A3557" s="32">
        <v>38523</v>
      </c>
      <c r="B3557">
        <v>18.899999999999999</v>
      </c>
      <c r="C3557">
        <v>18.899999999999999</v>
      </c>
      <c r="D3557">
        <v>18.899999999999999</v>
      </c>
      <c r="E3557">
        <v>18.899999999999999</v>
      </c>
      <c r="F3557">
        <v>0</v>
      </c>
    </row>
    <row r="3558" spans="1:6">
      <c r="A3558" s="32">
        <v>38520</v>
      </c>
      <c r="B3558">
        <v>19.2</v>
      </c>
      <c r="C3558">
        <v>19.2</v>
      </c>
      <c r="D3558">
        <v>18.899999999999999</v>
      </c>
      <c r="E3558">
        <v>18.899999999999999</v>
      </c>
      <c r="F3558">
        <v>0</v>
      </c>
    </row>
    <row r="3559" spans="1:6">
      <c r="A3559" s="32">
        <v>38519</v>
      </c>
      <c r="B3559">
        <v>19.100000000000001</v>
      </c>
      <c r="C3559">
        <v>19.100000000000001</v>
      </c>
      <c r="D3559">
        <v>18.8</v>
      </c>
      <c r="E3559">
        <v>18.899999999999999</v>
      </c>
      <c r="F3559">
        <v>0</v>
      </c>
    </row>
    <row r="3560" spans="1:6">
      <c r="A3560" s="32">
        <v>38518</v>
      </c>
      <c r="B3560">
        <v>18.8</v>
      </c>
      <c r="C3560">
        <v>19.2</v>
      </c>
      <c r="D3560">
        <v>18.8</v>
      </c>
      <c r="E3560">
        <v>19.100000000000001</v>
      </c>
      <c r="F3560">
        <v>80000</v>
      </c>
    </row>
    <row r="3561" spans="1:6">
      <c r="A3561" s="32">
        <v>38517</v>
      </c>
      <c r="B3561">
        <v>18.7</v>
      </c>
      <c r="C3561">
        <v>18.899999999999999</v>
      </c>
      <c r="D3561">
        <v>18.7</v>
      </c>
      <c r="E3561">
        <v>18.899999999999999</v>
      </c>
      <c r="F3561">
        <v>0</v>
      </c>
    </row>
    <row r="3562" spans="1:6">
      <c r="A3562" s="32">
        <v>38516</v>
      </c>
      <c r="B3562">
        <v>18.899999999999999</v>
      </c>
      <c r="C3562">
        <v>18.899999999999999</v>
      </c>
      <c r="D3562">
        <v>18.7</v>
      </c>
      <c r="E3562">
        <v>18.7</v>
      </c>
      <c r="F3562">
        <v>0</v>
      </c>
    </row>
    <row r="3563" spans="1:6">
      <c r="A3563" s="32">
        <v>38513</v>
      </c>
      <c r="B3563">
        <v>18.899999999999999</v>
      </c>
      <c r="C3563">
        <v>18.899999999999999</v>
      </c>
      <c r="D3563">
        <v>18.8</v>
      </c>
      <c r="E3563">
        <v>18.899999999999999</v>
      </c>
      <c r="F3563">
        <v>0</v>
      </c>
    </row>
    <row r="3564" spans="1:6">
      <c r="A3564" s="32">
        <v>38512</v>
      </c>
      <c r="B3564">
        <v>19</v>
      </c>
      <c r="C3564">
        <v>19</v>
      </c>
      <c r="D3564">
        <v>18.8</v>
      </c>
      <c r="E3564">
        <v>19</v>
      </c>
      <c r="F3564">
        <v>0</v>
      </c>
    </row>
    <row r="3565" spans="1:6">
      <c r="A3565" s="32">
        <v>38511</v>
      </c>
      <c r="B3565">
        <v>19</v>
      </c>
      <c r="C3565">
        <v>19</v>
      </c>
      <c r="D3565">
        <v>18.899999999999999</v>
      </c>
      <c r="E3565">
        <v>18.899999999999999</v>
      </c>
      <c r="F3565">
        <v>0</v>
      </c>
    </row>
    <row r="3566" spans="1:6">
      <c r="A3566" s="32">
        <v>38510</v>
      </c>
      <c r="B3566">
        <v>18.899999999999999</v>
      </c>
      <c r="C3566">
        <v>19.100000000000001</v>
      </c>
      <c r="D3566">
        <v>18.8</v>
      </c>
      <c r="E3566">
        <v>18.899999999999999</v>
      </c>
      <c r="F3566">
        <v>0</v>
      </c>
    </row>
    <row r="3567" spans="1:6">
      <c r="A3567" s="32">
        <v>38509</v>
      </c>
      <c r="B3567">
        <v>19.399999999999999</v>
      </c>
      <c r="C3567">
        <v>19.399999999999999</v>
      </c>
      <c r="D3567">
        <v>18.8</v>
      </c>
      <c r="E3567">
        <v>18.8</v>
      </c>
      <c r="F3567">
        <v>6000</v>
      </c>
    </row>
    <row r="3568" spans="1:6">
      <c r="A3568" s="32">
        <v>38506</v>
      </c>
      <c r="B3568">
        <v>19.399999999999999</v>
      </c>
      <c r="C3568">
        <v>19.5</v>
      </c>
      <c r="D3568">
        <v>19.2</v>
      </c>
      <c r="E3568">
        <v>19.399999999999999</v>
      </c>
      <c r="F3568">
        <v>26000</v>
      </c>
    </row>
    <row r="3569" spans="1:6">
      <c r="A3569" s="32">
        <v>38505</v>
      </c>
      <c r="B3569">
        <v>19.399999999999999</v>
      </c>
      <c r="C3569">
        <v>19.5</v>
      </c>
      <c r="D3569">
        <v>19.399999999999999</v>
      </c>
      <c r="E3569">
        <v>19.399999999999999</v>
      </c>
      <c r="F3569">
        <v>0</v>
      </c>
    </row>
    <row r="3570" spans="1:6">
      <c r="A3570" s="32">
        <v>38504</v>
      </c>
      <c r="B3570">
        <v>19.600000000000001</v>
      </c>
      <c r="C3570">
        <v>19.600000000000001</v>
      </c>
      <c r="D3570">
        <v>19.2</v>
      </c>
      <c r="E3570">
        <v>19.399999999999999</v>
      </c>
      <c r="F3570">
        <v>2200</v>
      </c>
    </row>
    <row r="3571" spans="1:6">
      <c r="A3571" s="32">
        <v>38503</v>
      </c>
      <c r="B3571">
        <v>19.100000000000001</v>
      </c>
      <c r="C3571">
        <v>19.899999999999999</v>
      </c>
      <c r="D3571">
        <v>19</v>
      </c>
      <c r="E3571">
        <v>19.5</v>
      </c>
      <c r="F3571">
        <v>121000</v>
      </c>
    </row>
    <row r="3572" spans="1:6">
      <c r="A3572" s="32">
        <v>38502</v>
      </c>
      <c r="B3572">
        <v>18.600000000000001</v>
      </c>
      <c r="C3572">
        <v>19.2</v>
      </c>
      <c r="D3572">
        <v>18.600000000000001</v>
      </c>
      <c r="E3572">
        <v>19</v>
      </c>
      <c r="F3572">
        <v>242000</v>
      </c>
    </row>
    <row r="3573" spans="1:6">
      <c r="A3573" s="32">
        <v>38499</v>
      </c>
      <c r="B3573">
        <v>18.600000000000001</v>
      </c>
      <c r="C3573">
        <v>18.600000000000001</v>
      </c>
      <c r="D3573">
        <v>18.5</v>
      </c>
      <c r="E3573">
        <v>18.600000000000001</v>
      </c>
      <c r="F3573">
        <v>0</v>
      </c>
    </row>
    <row r="3574" spans="1:6">
      <c r="A3574" s="32">
        <v>38498</v>
      </c>
      <c r="B3574">
        <v>18.5</v>
      </c>
      <c r="C3574">
        <v>18.600000000000001</v>
      </c>
      <c r="D3574">
        <v>18.399999999999999</v>
      </c>
      <c r="E3574">
        <v>18.600000000000001</v>
      </c>
      <c r="F3574">
        <v>0</v>
      </c>
    </row>
    <row r="3575" spans="1:6">
      <c r="A3575" s="32">
        <v>38497</v>
      </c>
      <c r="B3575">
        <v>18.899999999999999</v>
      </c>
      <c r="C3575">
        <v>19</v>
      </c>
      <c r="D3575">
        <v>18.5</v>
      </c>
      <c r="E3575">
        <v>18.600000000000001</v>
      </c>
      <c r="F3575">
        <v>0</v>
      </c>
    </row>
    <row r="3576" spans="1:6">
      <c r="A3576" s="32">
        <v>38496</v>
      </c>
      <c r="B3576">
        <v>18.2</v>
      </c>
      <c r="C3576">
        <v>18.7</v>
      </c>
      <c r="D3576">
        <v>18.2</v>
      </c>
      <c r="E3576">
        <v>18.7</v>
      </c>
      <c r="F3576">
        <v>0</v>
      </c>
    </row>
    <row r="3577" spans="1:6">
      <c r="A3577" s="32">
        <v>38492</v>
      </c>
      <c r="B3577">
        <v>18</v>
      </c>
      <c r="C3577">
        <v>18.2</v>
      </c>
      <c r="D3577">
        <v>18</v>
      </c>
      <c r="E3577">
        <v>18.100000000000001</v>
      </c>
      <c r="F3577">
        <v>0</v>
      </c>
    </row>
    <row r="3578" spans="1:6">
      <c r="A3578" s="32">
        <v>38491</v>
      </c>
      <c r="B3578">
        <v>18.2</v>
      </c>
      <c r="C3578">
        <v>18.2</v>
      </c>
      <c r="D3578">
        <v>18</v>
      </c>
      <c r="E3578">
        <v>18.100000000000001</v>
      </c>
      <c r="F3578">
        <v>0</v>
      </c>
    </row>
    <row r="3579" spans="1:6">
      <c r="A3579" s="32">
        <v>38490</v>
      </c>
      <c r="B3579">
        <v>18.2</v>
      </c>
      <c r="C3579">
        <v>18.2</v>
      </c>
      <c r="D3579">
        <v>18.100000000000001</v>
      </c>
      <c r="E3579">
        <v>18.2</v>
      </c>
      <c r="F3579">
        <v>0</v>
      </c>
    </row>
    <row r="3580" spans="1:6">
      <c r="A3580" s="32">
        <v>38489</v>
      </c>
      <c r="B3580">
        <v>18.3</v>
      </c>
      <c r="C3580">
        <v>18.399999999999999</v>
      </c>
      <c r="D3580">
        <v>18.100000000000001</v>
      </c>
      <c r="E3580">
        <v>18.100000000000001</v>
      </c>
      <c r="F3580">
        <v>0</v>
      </c>
    </row>
    <row r="3581" spans="1:6">
      <c r="A3581" s="32">
        <v>38488</v>
      </c>
      <c r="B3581">
        <v>18.600000000000001</v>
      </c>
      <c r="C3581">
        <v>18.600000000000001</v>
      </c>
      <c r="D3581">
        <v>18.3</v>
      </c>
      <c r="E3581">
        <v>18.3</v>
      </c>
      <c r="F3581">
        <v>0</v>
      </c>
    </row>
    <row r="3582" spans="1:6">
      <c r="A3582" s="32">
        <v>38485</v>
      </c>
      <c r="B3582">
        <v>18.399999999999999</v>
      </c>
      <c r="C3582">
        <v>18.8</v>
      </c>
      <c r="D3582">
        <v>18.399999999999999</v>
      </c>
      <c r="E3582">
        <v>18.600000000000001</v>
      </c>
      <c r="F3582">
        <v>0</v>
      </c>
    </row>
    <row r="3583" spans="1:6">
      <c r="A3583" s="32">
        <v>38484</v>
      </c>
      <c r="B3583">
        <v>18.600000000000001</v>
      </c>
      <c r="C3583">
        <v>18.600000000000001</v>
      </c>
      <c r="D3583">
        <v>18.399999999999999</v>
      </c>
      <c r="E3583">
        <v>18.399999999999999</v>
      </c>
      <c r="F3583">
        <v>0</v>
      </c>
    </row>
    <row r="3584" spans="1:6">
      <c r="A3584" s="32">
        <v>38483</v>
      </c>
      <c r="B3584">
        <v>18.5</v>
      </c>
      <c r="C3584">
        <v>18.5</v>
      </c>
      <c r="D3584">
        <v>18.399999999999999</v>
      </c>
      <c r="E3584">
        <v>18.5</v>
      </c>
      <c r="F3584">
        <v>0</v>
      </c>
    </row>
    <row r="3585" spans="1:6">
      <c r="A3585" s="32">
        <v>38482</v>
      </c>
      <c r="B3585">
        <v>18.2</v>
      </c>
      <c r="C3585">
        <v>18.7</v>
      </c>
      <c r="D3585">
        <v>18.2</v>
      </c>
      <c r="E3585">
        <v>18.5</v>
      </c>
      <c r="F3585">
        <v>0</v>
      </c>
    </row>
    <row r="3586" spans="1:6">
      <c r="A3586" s="32">
        <v>38481</v>
      </c>
      <c r="B3586">
        <v>18.3</v>
      </c>
      <c r="C3586">
        <v>18.3</v>
      </c>
      <c r="D3586">
        <v>18.100000000000001</v>
      </c>
      <c r="E3586">
        <v>18.100000000000001</v>
      </c>
      <c r="F3586">
        <v>0</v>
      </c>
    </row>
    <row r="3587" spans="1:6">
      <c r="A3587" s="32">
        <v>38478</v>
      </c>
      <c r="B3587">
        <v>18.3</v>
      </c>
      <c r="C3587">
        <v>18.399999999999999</v>
      </c>
      <c r="D3587">
        <v>18.100000000000001</v>
      </c>
      <c r="E3587">
        <v>18.3</v>
      </c>
      <c r="F3587">
        <v>0</v>
      </c>
    </row>
    <row r="3588" spans="1:6">
      <c r="A3588" s="32">
        <v>38476</v>
      </c>
      <c r="B3588">
        <v>17.8</v>
      </c>
      <c r="C3588">
        <v>18.5</v>
      </c>
      <c r="D3588">
        <v>17.8</v>
      </c>
      <c r="E3588">
        <v>18.3</v>
      </c>
      <c r="F3588">
        <v>0</v>
      </c>
    </row>
    <row r="3589" spans="1:6">
      <c r="A3589" s="32">
        <v>38475</v>
      </c>
      <c r="B3589">
        <v>17.3</v>
      </c>
      <c r="C3589">
        <v>17.899999999999999</v>
      </c>
      <c r="D3589">
        <v>17.3</v>
      </c>
      <c r="E3589">
        <v>17.8</v>
      </c>
      <c r="F3589">
        <v>22000</v>
      </c>
    </row>
    <row r="3590" spans="1:6">
      <c r="A3590" s="32">
        <v>38471</v>
      </c>
      <c r="B3590">
        <v>17.3</v>
      </c>
      <c r="C3590">
        <v>17.3</v>
      </c>
      <c r="D3590">
        <v>17.2</v>
      </c>
      <c r="E3590">
        <v>17.3</v>
      </c>
      <c r="F3590">
        <v>9200</v>
      </c>
    </row>
    <row r="3591" spans="1:6">
      <c r="A3591" s="32">
        <v>38470</v>
      </c>
      <c r="B3591">
        <v>17.2</v>
      </c>
      <c r="C3591">
        <v>17.3</v>
      </c>
      <c r="D3591">
        <v>17.2</v>
      </c>
      <c r="E3591">
        <v>17.3</v>
      </c>
      <c r="F3591">
        <v>0</v>
      </c>
    </row>
    <row r="3592" spans="1:6">
      <c r="A3592" s="32">
        <v>38469</v>
      </c>
      <c r="B3592">
        <v>17.3</v>
      </c>
      <c r="C3592">
        <v>17.3</v>
      </c>
      <c r="D3592">
        <v>17.2</v>
      </c>
      <c r="E3592">
        <v>17.2</v>
      </c>
      <c r="F3592">
        <v>0</v>
      </c>
    </row>
    <row r="3593" spans="1:6">
      <c r="A3593" s="32">
        <v>38468</v>
      </c>
      <c r="B3593">
        <v>17.2</v>
      </c>
      <c r="C3593">
        <v>17.399999999999999</v>
      </c>
      <c r="D3593">
        <v>17.2</v>
      </c>
      <c r="E3593">
        <v>17.2</v>
      </c>
      <c r="F3593">
        <v>100000</v>
      </c>
    </row>
    <row r="3594" spans="1:6">
      <c r="A3594" s="32">
        <v>38467</v>
      </c>
      <c r="B3594">
        <v>17.100000000000001</v>
      </c>
      <c r="C3594">
        <v>17.2</v>
      </c>
      <c r="D3594">
        <v>17</v>
      </c>
      <c r="E3594">
        <v>17.100000000000001</v>
      </c>
      <c r="F3594">
        <v>0</v>
      </c>
    </row>
    <row r="3595" spans="1:6">
      <c r="A3595" s="32">
        <v>38464</v>
      </c>
      <c r="B3595">
        <v>17.100000000000001</v>
      </c>
      <c r="C3595">
        <v>17.2</v>
      </c>
      <c r="D3595">
        <v>17.100000000000001</v>
      </c>
      <c r="E3595">
        <v>17.2</v>
      </c>
      <c r="F3595">
        <v>0</v>
      </c>
    </row>
    <row r="3596" spans="1:6">
      <c r="A3596" s="32">
        <v>38463</v>
      </c>
      <c r="B3596">
        <v>17.100000000000001</v>
      </c>
      <c r="C3596">
        <v>17.100000000000001</v>
      </c>
      <c r="D3596">
        <v>17.100000000000001</v>
      </c>
      <c r="E3596">
        <v>17.100000000000001</v>
      </c>
      <c r="F3596">
        <v>0</v>
      </c>
    </row>
    <row r="3597" spans="1:6">
      <c r="A3597" s="32">
        <v>38462</v>
      </c>
      <c r="B3597">
        <v>17.100000000000001</v>
      </c>
      <c r="C3597">
        <v>17.100000000000001</v>
      </c>
      <c r="D3597">
        <v>17.100000000000001</v>
      </c>
      <c r="E3597">
        <v>17.100000000000001</v>
      </c>
      <c r="F3597">
        <v>0</v>
      </c>
    </row>
    <row r="3598" spans="1:6">
      <c r="A3598" s="32">
        <v>38461</v>
      </c>
      <c r="B3598">
        <v>17</v>
      </c>
      <c r="C3598">
        <v>17.100000000000001</v>
      </c>
      <c r="D3598">
        <v>17</v>
      </c>
      <c r="E3598">
        <v>17</v>
      </c>
      <c r="F3598">
        <v>0</v>
      </c>
    </row>
    <row r="3599" spans="1:6">
      <c r="A3599" s="32">
        <v>38460</v>
      </c>
      <c r="B3599">
        <v>17</v>
      </c>
      <c r="C3599">
        <v>17.100000000000001</v>
      </c>
      <c r="D3599">
        <v>17</v>
      </c>
      <c r="E3599">
        <v>17</v>
      </c>
      <c r="F3599">
        <v>0</v>
      </c>
    </row>
    <row r="3600" spans="1:6">
      <c r="A3600" s="32">
        <v>38454</v>
      </c>
      <c r="B3600">
        <v>17.100000000000001</v>
      </c>
      <c r="C3600">
        <v>17.2</v>
      </c>
      <c r="D3600">
        <v>17.100000000000001</v>
      </c>
      <c r="E3600">
        <v>17.100000000000001</v>
      </c>
      <c r="F3600">
        <v>0</v>
      </c>
    </row>
    <row r="3601" spans="1:6">
      <c r="A3601" s="32">
        <v>38453</v>
      </c>
      <c r="B3601">
        <v>17.100000000000001</v>
      </c>
      <c r="C3601">
        <v>17.100000000000001</v>
      </c>
      <c r="D3601">
        <v>17</v>
      </c>
      <c r="E3601">
        <v>17</v>
      </c>
      <c r="F3601">
        <v>0</v>
      </c>
    </row>
    <row r="3602" spans="1:6">
      <c r="A3602" s="32">
        <v>38450</v>
      </c>
      <c r="B3602">
        <v>17</v>
      </c>
      <c r="C3602">
        <v>17.100000000000001</v>
      </c>
      <c r="D3602">
        <v>17</v>
      </c>
      <c r="E3602">
        <v>17</v>
      </c>
      <c r="F3602">
        <v>0</v>
      </c>
    </row>
    <row r="3603" spans="1:6">
      <c r="A3603" s="32">
        <v>38449</v>
      </c>
      <c r="B3603">
        <v>17</v>
      </c>
      <c r="C3603">
        <v>17.100000000000001</v>
      </c>
      <c r="D3603">
        <v>17</v>
      </c>
      <c r="E3603">
        <v>17.100000000000001</v>
      </c>
      <c r="F3603">
        <v>0</v>
      </c>
    </row>
    <row r="3604" spans="1:6">
      <c r="A3604" s="32">
        <v>38447</v>
      </c>
      <c r="B3604">
        <v>17.100000000000001</v>
      </c>
      <c r="C3604">
        <v>17.2</v>
      </c>
      <c r="D3604">
        <v>17.100000000000001</v>
      </c>
      <c r="E3604">
        <v>17.100000000000001</v>
      </c>
      <c r="F3604">
        <v>0</v>
      </c>
    </row>
    <row r="3605" spans="1:6">
      <c r="A3605" s="32">
        <v>38446</v>
      </c>
      <c r="B3605">
        <v>16.899999999999999</v>
      </c>
      <c r="C3605">
        <v>17</v>
      </c>
      <c r="D3605">
        <v>16.8</v>
      </c>
      <c r="E3605">
        <v>17</v>
      </c>
      <c r="F3605">
        <v>0</v>
      </c>
    </row>
    <row r="3606" spans="1:6">
      <c r="A3606" s="32">
        <v>38443</v>
      </c>
      <c r="B3606">
        <v>16.8</v>
      </c>
      <c r="C3606">
        <v>16.899999999999999</v>
      </c>
      <c r="D3606">
        <v>16.8</v>
      </c>
      <c r="E3606">
        <v>16.8</v>
      </c>
      <c r="F3606">
        <v>0</v>
      </c>
    </row>
    <row r="3607" spans="1:6">
      <c r="A3607" s="32">
        <v>38442</v>
      </c>
      <c r="B3607">
        <v>16.8</v>
      </c>
      <c r="C3607">
        <v>16.8</v>
      </c>
      <c r="D3607">
        <v>16.7</v>
      </c>
      <c r="E3607">
        <v>16.7</v>
      </c>
      <c r="F3607">
        <v>0</v>
      </c>
    </row>
    <row r="3608" spans="1:6">
      <c r="A3608" s="32">
        <v>38441</v>
      </c>
      <c r="B3608">
        <v>17.100000000000001</v>
      </c>
      <c r="C3608">
        <v>17.2</v>
      </c>
      <c r="D3608">
        <v>17</v>
      </c>
      <c r="E3608">
        <v>17.100000000000001</v>
      </c>
      <c r="F3608">
        <v>0</v>
      </c>
    </row>
    <row r="3609" spans="1:6">
      <c r="A3609" s="32">
        <v>38440</v>
      </c>
      <c r="B3609">
        <v>16.899999999999999</v>
      </c>
      <c r="C3609">
        <v>17</v>
      </c>
      <c r="D3609">
        <v>16.899999999999999</v>
      </c>
      <c r="E3609">
        <v>16.899999999999999</v>
      </c>
      <c r="F3609">
        <v>0</v>
      </c>
    </row>
    <row r="3610" spans="1:6">
      <c r="A3610" s="32">
        <v>38439</v>
      </c>
      <c r="B3610">
        <v>17</v>
      </c>
      <c r="C3610">
        <v>17</v>
      </c>
      <c r="D3610">
        <v>16.8</v>
      </c>
      <c r="E3610">
        <v>16.8</v>
      </c>
      <c r="F3610">
        <v>0</v>
      </c>
    </row>
    <row r="3611" spans="1:6">
      <c r="A3611" s="32">
        <v>38436</v>
      </c>
      <c r="B3611">
        <v>17.2</v>
      </c>
      <c r="C3611">
        <v>17.2</v>
      </c>
      <c r="D3611">
        <v>17</v>
      </c>
      <c r="E3611">
        <v>17</v>
      </c>
      <c r="F3611">
        <v>0</v>
      </c>
    </row>
    <row r="3612" spans="1:6">
      <c r="A3612" s="32">
        <v>38435</v>
      </c>
      <c r="B3612">
        <v>17</v>
      </c>
      <c r="C3612">
        <v>17.3</v>
      </c>
      <c r="D3612">
        <v>17</v>
      </c>
      <c r="E3612">
        <v>17.2</v>
      </c>
      <c r="F3612">
        <v>0</v>
      </c>
    </row>
    <row r="3613" spans="1:6">
      <c r="A3613" s="32">
        <v>38434</v>
      </c>
      <c r="B3613">
        <v>17</v>
      </c>
      <c r="C3613">
        <v>17</v>
      </c>
      <c r="D3613">
        <v>17</v>
      </c>
      <c r="E3613">
        <v>17</v>
      </c>
      <c r="F3613">
        <v>0</v>
      </c>
    </row>
    <row r="3614" spans="1:6">
      <c r="A3614" s="32">
        <v>38433</v>
      </c>
      <c r="B3614">
        <v>17</v>
      </c>
      <c r="C3614">
        <v>17</v>
      </c>
      <c r="D3614">
        <v>17</v>
      </c>
      <c r="E3614">
        <v>17</v>
      </c>
      <c r="F3614">
        <v>0</v>
      </c>
    </row>
    <row r="3615" spans="1:6">
      <c r="A3615" s="32">
        <v>38432</v>
      </c>
      <c r="B3615">
        <v>17.100000000000001</v>
      </c>
      <c r="C3615">
        <v>17.2</v>
      </c>
      <c r="D3615">
        <v>17</v>
      </c>
      <c r="E3615">
        <v>17</v>
      </c>
      <c r="F3615">
        <v>0</v>
      </c>
    </row>
    <row r="3616" spans="1:6">
      <c r="A3616" s="32">
        <v>38429</v>
      </c>
      <c r="B3616">
        <v>17</v>
      </c>
      <c r="C3616">
        <v>17.2</v>
      </c>
      <c r="D3616">
        <v>17</v>
      </c>
      <c r="E3616">
        <v>17.100000000000001</v>
      </c>
      <c r="F3616">
        <v>0</v>
      </c>
    </row>
    <row r="3617" spans="1:6">
      <c r="A3617" s="32">
        <v>38428</v>
      </c>
      <c r="B3617">
        <v>16.899999999999999</v>
      </c>
      <c r="C3617">
        <v>17.100000000000001</v>
      </c>
      <c r="D3617">
        <v>16.899999999999999</v>
      </c>
      <c r="E3617">
        <v>17</v>
      </c>
      <c r="F3617">
        <v>250000</v>
      </c>
    </row>
    <row r="3618" spans="1:6">
      <c r="A3618" s="32">
        <v>38427</v>
      </c>
      <c r="B3618">
        <v>17</v>
      </c>
      <c r="C3618">
        <v>17</v>
      </c>
      <c r="D3618">
        <v>17</v>
      </c>
      <c r="E3618">
        <v>17</v>
      </c>
      <c r="F3618">
        <v>0</v>
      </c>
    </row>
    <row r="3619" spans="1:6">
      <c r="A3619" s="32">
        <v>38426</v>
      </c>
      <c r="B3619">
        <v>16.899999999999999</v>
      </c>
      <c r="C3619">
        <v>17.100000000000001</v>
      </c>
      <c r="D3619">
        <v>16.899999999999999</v>
      </c>
      <c r="E3619">
        <v>17</v>
      </c>
      <c r="F3619">
        <v>0</v>
      </c>
    </row>
    <row r="3620" spans="1:6">
      <c r="A3620" s="32">
        <v>38425</v>
      </c>
      <c r="B3620">
        <v>16.8</v>
      </c>
      <c r="C3620">
        <v>16.8</v>
      </c>
      <c r="D3620">
        <v>16.8</v>
      </c>
      <c r="E3620">
        <v>16.8</v>
      </c>
      <c r="F3620">
        <v>0</v>
      </c>
    </row>
    <row r="3621" spans="1:6">
      <c r="A3621" s="32">
        <v>38422</v>
      </c>
      <c r="B3621">
        <v>16.8</v>
      </c>
      <c r="C3621">
        <v>16.899999999999999</v>
      </c>
      <c r="D3621">
        <v>16.8</v>
      </c>
      <c r="E3621">
        <v>16.8</v>
      </c>
      <c r="F3621">
        <v>0</v>
      </c>
    </row>
    <row r="3622" spans="1:6">
      <c r="A3622" s="32">
        <v>38421</v>
      </c>
      <c r="B3622">
        <v>16.899999999999999</v>
      </c>
      <c r="C3622">
        <v>16.899999999999999</v>
      </c>
      <c r="D3622">
        <v>16.8</v>
      </c>
      <c r="E3622">
        <v>16.899999999999999</v>
      </c>
      <c r="F3622">
        <v>0</v>
      </c>
    </row>
    <row r="3623" spans="1:6">
      <c r="A3623" s="32">
        <v>38420</v>
      </c>
      <c r="B3623">
        <v>16.899999999999999</v>
      </c>
      <c r="C3623">
        <v>17.100000000000001</v>
      </c>
      <c r="D3623">
        <v>16.899999999999999</v>
      </c>
      <c r="E3623">
        <v>16.899999999999999</v>
      </c>
      <c r="F3623">
        <v>0</v>
      </c>
    </row>
    <row r="3624" spans="1:6">
      <c r="A3624" s="32">
        <v>38419</v>
      </c>
      <c r="B3624">
        <v>17</v>
      </c>
      <c r="C3624">
        <v>17</v>
      </c>
      <c r="D3624">
        <v>16.899999999999999</v>
      </c>
      <c r="E3624">
        <v>16.899999999999999</v>
      </c>
      <c r="F3624">
        <v>0</v>
      </c>
    </row>
    <row r="3625" spans="1:6">
      <c r="A3625" s="32">
        <v>38418</v>
      </c>
      <c r="B3625">
        <v>17</v>
      </c>
      <c r="C3625">
        <v>17.100000000000001</v>
      </c>
      <c r="D3625">
        <v>17</v>
      </c>
      <c r="E3625">
        <v>17</v>
      </c>
      <c r="F3625">
        <v>0</v>
      </c>
    </row>
    <row r="3626" spans="1:6">
      <c r="A3626" s="32">
        <v>38415</v>
      </c>
      <c r="B3626">
        <v>17</v>
      </c>
      <c r="C3626">
        <v>17</v>
      </c>
      <c r="D3626">
        <v>16.899999999999999</v>
      </c>
      <c r="E3626">
        <v>17</v>
      </c>
      <c r="F3626">
        <v>0</v>
      </c>
    </row>
    <row r="3627" spans="1:6">
      <c r="A3627" s="32">
        <v>38414</v>
      </c>
      <c r="B3627">
        <v>17</v>
      </c>
      <c r="C3627">
        <v>17</v>
      </c>
      <c r="D3627">
        <v>16.899999999999999</v>
      </c>
      <c r="E3627">
        <v>17</v>
      </c>
      <c r="F3627">
        <v>0</v>
      </c>
    </row>
    <row r="3628" spans="1:6">
      <c r="A3628" s="32">
        <v>38413</v>
      </c>
      <c r="B3628">
        <v>17</v>
      </c>
      <c r="C3628">
        <v>17</v>
      </c>
      <c r="D3628">
        <v>16.899999999999999</v>
      </c>
      <c r="E3628">
        <v>17</v>
      </c>
      <c r="F3628">
        <v>0</v>
      </c>
    </row>
    <row r="3629" spans="1:6">
      <c r="A3629" s="32">
        <v>38412</v>
      </c>
      <c r="B3629">
        <v>17</v>
      </c>
      <c r="C3629">
        <v>17.3</v>
      </c>
      <c r="D3629">
        <v>17</v>
      </c>
      <c r="E3629">
        <v>17</v>
      </c>
      <c r="F3629">
        <v>0</v>
      </c>
    </row>
    <row r="3630" spans="1:6">
      <c r="A3630" s="32">
        <v>38411</v>
      </c>
      <c r="B3630">
        <v>17.100000000000001</v>
      </c>
      <c r="C3630">
        <v>17.100000000000001</v>
      </c>
      <c r="D3630">
        <v>17</v>
      </c>
      <c r="E3630">
        <v>17</v>
      </c>
      <c r="F3630">
        <v>0</v>
      </c>
    </row>
    <row r="3631" spans="1:6">
      <c r="A3631" s="32">
        <v>38408</v>
      </c>
      <c r="B3631">
        <v>17.100000000000001</v>
      </c>
      <c r="C3631">
        <v>17.100000000000001</v>
      </c>
      <c r="D3631">
        <v>17</v>
      </c>
      <c r="E3631">
        <v>17.100000000000001</v>
      </c>
      <c r="F3631">
        <v>0</v>
      </c>
    </row>
    <row r="3632" spans="1:6">
      <c r="A3632" s="32">
        <v>38407</v>
      </c>
      <c r="B3632">
        <v>16.899999999999999</v>
      </c>
      <c r="C3632">
        <v>17.100000000000001</v>
      </c>
      <c r="D3632">
        <v>16.899999999999999</v>
      </c>
      <c r="E3632">
        <v>17</v>
      </c>
      <c r="F3632">
        <v>0</v>
      </c>
    </row>
    <row r="3633" spans="1:6">
      <c r="A3633" s="32">
        <v>38405</v>
      </c>
      <c r="B3633">
        <v>17</v>
      </c>
      <c r="C3633">
        <v>17</v>
      </c>
      <c r="D3633">
        <v>16.899999999999999</v>
      </c>
      <c r="E3633">
        <v>17</v>
      </c>
      <c r="F3633">
        <v>0</v>
      </c>
    </row>
    <row r="3634" spans="1:6">
      <c r="A3634" s="32">
        <v>38404</v>
      </c>
      <c r="B3634">
        <v>17</v>
      </c>
      <c r="C3634">
        <v>17.3</v>
      </c>
      <c r="D3634">
        <v>16.899999999999999</v>
      </c>
      <c r="E3634">
        <v>17</v>
      </c>
      <c r="F3634">
        <v>0</v>
      </c>
    </row>
    <row r="3635" spans="1:6">
      <c r="A3635" s="32">
        <v>38401</v>
      </c>
      <c r="B3635">
        <v>17</v>
      </c>
      <c r="C3635">
        <v>17</v>
      </c>
      <c r="D3635">
        <v>16.899999999999999</v>
      </c>
      <c r="E3635">
        <v>17</v>
      </c>
      <c r="F3635">
        <v>0</v>
      </c>
    </row>
    <row r="3636" spans="1:6">
      <c r="A3636" s="32">
        <v>38400</v>
      </c>
      <c r="B3636">
        <v>17.2</v>
      </c>
      <c r="C3636">
        <v>17.2</v>
      </c>
      <c r="D3636">
        <v>16.899999999999999</v>
      </c>
      <c r="E3636">
        <v>16.899999999999999</v>
      </c>
      <c r="F3636">
        <v>0</v>
      </c>
    </row>
    <row r="3637" spans="1:6">
      <c r="A3637" s="32">
        <v>38399</v>
      </c>
      <c r="B3637">
        <v>17.3</v>
      </c>
      <c r="C3637">
        <v>17.3</v>
      </c>
      <c r="D3637">
        <v>17.100000000000001</v>
      </c>
      <c r="E3637">
        <v>17.2</v>
      </c>
      <c r="F3637">
        <v>261600</v>
      </c>
    </row>
    <row r="3638" spans="1:6">
      <c r="A3638" s="32">
        <v>38398</v>
      </c>
      <c r="B3638">
        <v>17.2</v>
      </c>
      <c r="C3638">
        <v>17.3</v>
      </c>
      <c r="D3638">
        <v>17</v>
      </c>
      <c r="E3638">
        <v>17.3</v>
      </c>
      <c r="F3638">
        <v>1000</v>
      </c>
    </row>
    <row r="3639" spans="1:6">
      <c r="A3639" s="32">
        <v>38397</v>
      </c>
      <c r="B3639">
        <v>17.2</v>
      </c>
      <c r="C3639">
        <v>17.2</v>
      </c>
      <c r="D3639">
        <v>16.899999999999999</v>
      </c>
      <c r="E3639">
        <v>17</v>
      </c>
      <c r="F3639">
        <v>0</v>
      </c>
    </row>
    <row r="3640" spans="1:6">
      <c r="A3640" s="32">
        <v>38394</v>
      </c>
      <c r="B3640">
        <v>17.399999999999999</v>
      </c>
      <c r="C3640">
        <v>17.399999999999999</v>
      </c>
      <c r="D3640">
        <v>17</v>
      </c>
      <c r="E3640">
        <v>17</v>
      </c>
      <c r="F3640">
        <v>0</v>
      </c>
    </row>
    <row r="3641" spans="1:6">
      <c r="A3641" s="32">
        <v>38393</v>
      </c>
      <c r="B3641">
        <v>17.399999999999999</v>
      </c>
      <c r="C3641">
        <v>17.600000000000001</v>
      </c>
      <c r="D3641">
        <v>17.100000000000001</v>
      </c>
      <c r="E3641">
        <v>17.399999999999999</v>
      </c>
      <c r="F3641">
        <v>0</v>
      </c>
    </row>
    <row r="3642" spans="1:6">
      <c r="A3642" s="32">
        <v>38392</v>
      </c>
      <c r="B3642">
        <v>16.899999999999999</v>
      </c>
      <c r="C3642">
        <v>17.5</v>
      </c>
      <c r="D3642">
        <v>16.899999999999999</v>
      </c>
      <c r="E3642">
        <v>17.100000000000001</v>
      </c>
      <c r="F3642">
        <v>0</v>
      </c>
    </row>
    <row r="3643" spans="1:6">
      <c r="A3643" s="32">
        <v>38391</v>
      </c>
      <c r="B3643">
        <v>16.899999999999999</v>
      </c>
      <c r="C3643">
        <v>16.899999999999999</v>
      </c>
      <c r="D3643">
        <v>16.8</v>
      </c>
      <c r="E3643">
        <v>16.899999999999999</v>
      </c>
      <c r="F3643">
        <v>0</v>
      </c>
    </row>
    <row r="3644" spans="1:6">
      <c r="A3644" s="32">
        <v>38390</v>
      </c>
      <c r="B3644">
        <v>16.8</v>
      </c>
      <c r="C3644">
        <v>17</v>
      </c>
      <c r="D3644">
        <v>16.8</v>
      </c>
      <c r="E3644">
        <v>16.8</v>
      </c>
      <c r="F3644">
        <v>0</v>
      </c>
    </row>
    <row r="3645" spans="1:6">
      <c r="A3645" s="32">
        <v>38387</v>
      </c>
      <c r="B3645">
        <v>16.8</v>
      </c>
      <c r="C3645">
        <v>16.899999999999999</v>
      </c>
      <c r="D3645">
        <v>16.8</v>
      </c>
      <c r="E3645">
        <v>16.8</v>
      </c>
      <c r="F3645">
        <v>0</v>
      </c>
    </row>
    <row r="3646" spans="1:6">
      <c r="A3646" s="32">
        <v>38386</v>
      </c>
      <c r="B3646">
        <v>16.899999999999999</v>
      </c>
      <c r="C3646">
        <v>17</v>
      </c>
      <c r="D3646">
        <v>16.8</v>
      </c>
      <c r="E3646">
        <v>16.8</v>
      </c>
      <c r="F3646">
        <v>0</v>
      </c>
    </row>
    <row r="3647" spans="1:6">
      <c r="A3647" s="32">
        <v>38385</v>
      </c>
      <c r="B3647">
        <v>16.7</v>
      </c>
      <c r="C3647">
        <v>17.100000000000001</v>
      </c>
      <c r="D3647">
        <v>16.7</v>
      </c>
      <c r="E3647">
        <v>16.8</v>
      </c>
      <c r="F3647">
        <v>0</v>
      </c>
    </row>
    <row r="3648" spans="1:6">
      <c r="A3648" s="32">
        <v>38384</v>
      </c>
      <c r="B3648">
        <v>16.8</v>
      </c>
      <c r="C3648">
        <v>17</v>
      </c>
      <c r="D3648">
        <v>16.7</v>
      </c>
      <c r="E3648">
        <v>16.7</v>
      </c>
      <c r="F3648">
        <v>0</v>
      </c>
    </row>
    <row r="3649" spans="1:6">
      <c r="A3649" s="32">
        <v>38383</v>
      </c>
      <c r="B3649">
        <v>16.7</v>
      </c>
      <c r="C3649">
        <v>17.2</v>
      </c>
      <c r="D3649">
        <v>16.600000000000001</v>
      </c>
      <c r="E3649">
        <v>16.8</v>
      </c>
      <c r="F3649">
        <v>0</v>
      </c>
    </row>
    <row r="3650" spans="1:6">
      <c r="A3650" s="32">
        <v>38380</v>
      </c>
      <c r="B3650">
        <v>16.3</v>
      </c>
      <c r="C3650">
        <v>16.899999999999999</v>
      </c>
      <c r="D3650">
        <v>16.3</v>
      </c>
      <c r="E3650">
        <v>16.8</v>
      </c>
      <c r="F3650">
        <v>0</v>
      </c>
    </row>
    <row r="3651" spans="1:6">
      <c r="A3651" s="32">
        <v>38379</v>
      </c>
      <c r="B3651">
        <v>16.2</v>
      </c>
      <c r="C3651">
        <v>16.3</v>
      </c>
      <c r="D3651">
        <v>16.100000000000001</v>
      </c>
      <c r="E3651">
        <v>16.3</v>
      </c>
      <c r="F3651">
        <v>0</v>
      </c>
    </row>
    <row r="3652" spans="1:6">
      <c r="A3652" s="32">
        <v>38378</v>
      </c>
      <c r="B3652">
        <v>16.2</v>
      </c>
      <c r="C3652">
        <v>16.2</v>
      </c>
      <c r="D3652">
        <v>16.100000000000001</v>
      </c>
      <c r="E3652">
        <v>16.2</v>
      </c>
      <c r="F3652">
        <v>0</v>
      </c>
    </row>
    <row r="3653" spans="1:6">
      <c r="A3653" s="32">
        <v>38377</v>
      </c>
      <c r="B3653">
        <v>15.5</v>
      </c>
      <c r="C3653">
        <v>16.399999999999999</v>
      </c>
      <c r="D3653">
        <v>15.5</v>
      </c>
      <c r="E3653">
        <v>16.399999999999999</v>
      </c>
      <c r="F3653">
        <v>0</v>
      </c>
    </row>
    <row r="3654" spans="1:6">
      <c r="A3654" s="32">
        <v>38376</v>
      </c>
      <c r="B3654">
        <v>15.4</v>
      </c>
      <c r="C3654">
        <v>15.5</v>
      </c>
      <c r="D3654">
        <v>15.3</v>
      </c>
      <c r="E3654">
        <v>15.5</v>
      </c>
      <c r="F3654">
        <v>0</v>
      </c>
    </row>
    <row r="3655" spans="1:6">
      <c r="A3655" s="32">
        <v>38373</v>
      </c>
      <c r="B3655">
        <v>15.5</v>
      </c>
      <c r="C3655">
        <v>15.6</v>
      </c>
      <c r="D3655">
        <v>15.3</v>
      </c>
      <c r="E3655">
        <v>15.4</v>
      </c>
      <c r="F3655">
        <v>0</v>
      </c>
    </row>
    <row r="3656" spans="1:6">
      <c r="A3656" s="32">
        <v>38372</v>
      </c>
      <c r="B3656">
        <v>15.4</v>
      </c>
      <c r="C3656">
        <v>15.5</v>
      </c>
      <c r="D3656">
        <v>15.3</v>
      </c>
      <c r="E3656">
        <v>15.4</v>
      </c>
      <c r="F3656">
        <v>0</v>
      </c>
    </row>
    <row r="3657" spans="1:6">
      <c r="A3657" s="32">
        <v>38371</v>
      </c>
      <c r="B3657">
        <v>15.7</v>
      </c>
      <c r="C3657">
        <v>15.7</v>
      </c>
      <c r="D3657">
        <v>15.5</v>
      </c>
      <c r="E3657">
        <v>15.5</v>
      </c>
      <c r="F3657">
        <v>0</v>
      </c>
    </row>
    <row r="3658" spans="1:6">
      <c r="A3658" s="32">
        <v>38370</v>
      </c>
      <c r="B3658">
        <v>15.9</v>
      </c>
      <c r="C3658">
        <v>16</v>
      </c>
      <c r="D3658">
        <v>15.7</v>
      </c>
      <c r="E3658">
        <v>15.7</v>
      </c>
      <c r="F3658">
        <v>0</v>
      </c>
    </row>
    <row r="3659" spans="1:6">
      <c r="A3659" s="32">
        <v>38369</v>
      </c>
      <c r="B3659">
        <v>15.3</v>
      </c>
      <c r="C3659">
        <v>16</v>
      </c>
      <c r="D3659">
        <v>15.3</v>
      </c>
      <c r="E3659">
        <v>15.9</v>
      </c>
      <c r="F3659">
        <v>0</v>
      </c>
    </row>
    <row r="3660" spans="1:6">
      <c r="A3660" s="32">
        <v>38366</v>
      </c>
      <c r="B3660">
        <v>15.3</v>
      </c>
      <c r="C3660">
        <v>15.3</v>
      </c>
      <c r="D3660">
        <v>15.2</v>
      </c>
      <c r="E3660">
        <v>15.3</v>
      </c>
      <c r="F3660">
        <v>0</v>
      </c>
    </row>
    <row r="3661" spans="1:6">
      <c r="A3661" s="32">
        <v>38365</v>
      </c>
      <c r="B3661">
        <v>15.5</v>
      </c>
      <c r="C3661">
        <v>15.5</v>
      </c>
      <c r="D3661">
        <v>15.3</v>
      </c>
      <c r="E3661">
        <v>15.3</v>
      </c>
      <c r="F3661">
        <v>0</v>
      </c>
    </row>
    <row r="3662" spans="1:6">
      <c r="A3662" s="32">
        <v>38364</v>
      </c>
      <c r="B3662">
        <v>15.5</v>
      </c>
      <c r="C3662">
        <v>15.6</v>
      </c>
      <c r="D3662">
        <v>15.4</v>
      </c>
      <c r="E3662">
        <v>15.5</v>
      </c>
      <c r="F3662">
        <v>0</v>
      </c>
    </row>
    <row r="3663" spans="1:6">
      <c r="A3663" s="32">
        <v>38363</v>
      </c>
      <c r="B3663">
        <v>15.5</v>
      </c>
      <c r="C3663">
        <v>15.6</v>
      </c>
      <c r="D3663">
        <v>15.4</v>
      </c>
      <c r="E3663">
        <v>15.5</v>
      </c>
      <c r="F3663">
        <v>0</v>
      </c>
    </row>
    <row r="3664" spans="1:6">
      <c r="A3664" s="32">
        <v>38362</v>
      </c>
      <c r="B3664">
        <v>15.5</v>
      </c>
      <c r="C3664">
        <v>15.5</v>
      </c>
      <c r="D3664">
        <v>15.4</v>
      </c>
      <c r="E3664">
        <v>15.4</v>
      </c>
      <c r="F3664">
        <v>0</v>
      </c>
    </row>
    <row r="3665" spans="1:6">
      <c r="A3665" s="32">
        <v>38359</v>
      </c>
      <c r="B3665">
        <v>15.6</v>
      </c>
      <c r="C3665">
        <v>15.6</v>
      </c>
      <c r="D3665">
        <v>15.5</v>
      </c>
      <c r="E3665">
        <v>15.5</v>
      </c>
      <c r="F3665">
        <v>0</v>
      </c>
    </row>
    <row r="3666" spans="1:6">
      <c r="A3666" s="32">
        <v>38358</v>
      </c>
      <c r="B3666">
        <v>15.6</v>
      </c>
      <c r="C3666">
        <v>15.7</v>
      </c>
      <c r="D3666">
        <v>15.5</v>
      </c>
      <c r="E3666">
        <v>15.6</v>
      </c>
      <c r="F3666">
        <v>0</v>
      </c>
    </row>
    <row r="3667" spans="1:6">
      <c r="A3667" s="32">
        <v>38357</v>
      </c>
      <c r="B3667">
        <v>15.3</v>
      </c>
      <c r="C3667">
        <v>15.7</v>
      </c>
      <c r="D3667">
        <v>15.3</v>
      </c>
      <c r="E3667">
        <v>15.6</v>
      </c>
      <c r="F3667">
        <v>0</v>
      </c>
    </row>
    <row r="3668" spans="1:6">
      <c r="A3668" s="32">
        <v>38356</v>
      </c>
      <c r="B3668">
        <v>15.3</v>
      </c>
      <c r="C3668">
        <v>15.3</v>
      </c>
      <c r="D3668">
        <v>15.2</v>
      </c>
      <c r="E3668">
        <v>15.3</v>
      </c>
      <c r="F3668">
        <v>0</v>
      </c>
    </row>
    <row r="3669" spans="1:6">
      <c r="A3669" s="32">
        <v>38351</v>
      </c>
      <c r="B3669">
        <v>15.4</v>
      </c>
      <c r="C3669">
        <v>15.6</v>
      </c>
      <c r="D3669">
        <v>15.3</v>
      </c>
      <c r="E3669">
        <v>15.3</v>
      </c>
      <c r="F3669">
        <v>0</v>
      </c>
    </row>
    <row r="3670" spans="1:6">
      <c r="A3670" s="32">
        <v>38350</v>
      </c>
      <c r="B3670">
        <v>15.5</v>
      </c>
      <c r="C3670">
        <v>15.5</v>
      </c>
      <c r="D3670">
        <v>15.2</v>
      </c>
      <c r="E3670">
        <v>15.4</v>
      </c>
      <c r="F3670">
        <v>0</v>
      </c>
    </row>
    <row r="3671" spans="1:6">
      <c r="A3671" s="32">
        <v>38349</v>
      </c>
      <c r="B3671">
        <v>15.5</v>
      </c>
      <c r="C3671">
        <v>15.6</v>
      </c>
      <c r="D3671">
        <v>15.5</v>
      </c>
      <c r="E3671">
        <v>15.5</v>
      </c>
      <c r="F3671">
        <v>0</v>
      </c>
    </row>
    <row r="3672" spans="1:6">
      <c r="A3672" s="32">
        <v>38348</v>
      </c>
      <c r="B3672">
        <v>15.2</v>
      </c>
      <c r="C3672">
        <v>15.7</v>
      </c>
      <c r="D3672">
        <v>15.2</v>
      </c>
      <c r="E3672">
        <v>15.6</v>
      </c>
      <c r="F3672">
        <v>0</v>
      </c>
    </row>
    <row r="3673" spans="1:6">
      <c r="A3673" s="32">
        <v>38345</v>
      </c>
      <c r="B3673">
        <v>15.6</v>
      </c>
      <c r="C3673">
        <v>15.7</v>
      </c>
      <c r="D3673">
        <v>15.4</v>
      </c>
      <c r="E3673">
        <v>15.6</v>
      </c>
      <c r="F3673">
        <v>0</v>
      </c>
    </row>
    <row r="3674" spans="1:6">
      <c r="A3674" s="32">
        <v>38344</v>
      </c>
      <c r="B3674">
        <v>15.4</v>
      </c>
      <c r="C3674">
        <v>15.5</v>
      </c>
      <c r="D3674">
        <v>15.4</v>
      </c>
      <c r="E3674">
        <v>15.4</v>
      </c>
      <c r="F3674">
        <v>0</v>
      </c>
    </row>
    <row r="3675" spans="1:6">
      <c r="A3675" s="32">
        <v>38343</v>
      </c>
      <c r="B3675">
        <v>15.5</v>
      </c>
      <c r="C3675">
        <v>15.6</v>
      </c>
      <c r="D3675">
        <v>15.3</v>
      </c>
      <c r="E3675">
        <v>15.4</v>
      </c>
      <c r="F3675">
        <v>0</v>
      </c>
    </row>
    <row r="3676" spans="1:6">
      <c r="A3676" s="32">
        <v>38342</v>
      </c>
      <c r="B3676">
        <v>15.6</v>
      </c>
      <c r="C3676">
        <v>15.6</v>
      </c>
      <c r="D3676">
        <v>14.9</v>
      </c>
      <c r="E3676">
        <v>15.3</v>
      </c>
      <c r="F3676">
        <v>450000</v>
      </c>
    </row>
    <row r="3677" spans="1:6">
      <c r="A3677" s="32">
        <v>38341</v>
      </c>
      <c r="B3677">
        <v>15.8</v>
      </c>
      <c r="C3677">
        <v>15.8</v>
      </c>
      <c r="D3677">
        <v>15.6</v>
      </c>
      <c r="E3677">
        <v>15.6</v>
      </c>
      <c r="F3677">
        <v>0</v>
      </c>
    </row>
    <row r="3678" spans="1:6">
      <c r="A3678" s="32">
        <v>38338</v>
      </c>
      <c r="B3678">
        <v>15.7</v>
      </c>
      <c r="C3678">
        <v>15.8</v>
      </c>
      <c r="D3678">
        <v>15.7</v>
      </c>
      <c r="E3678">
        <v>15.7</v>
      </c>
      <c r="F3678">
        <v>0</v>
      </c>
    </row>
    <row r="3679" spans="1:6">
      <c r="A3679" s="32">
        <v>38337</v>
      </c>
      <c r="B3679">
        <v>15.9</v>
      </c>
      <c r="C3679">
        <v>15.9</v>
      </c>
      <c r="D3679">
        <v>15.5</v>
      </c>
      <c r="E3679">
        <v>15.8</v>
      </c>
      <c r="F3679">
        <v>0</v>
      </c>
    </row>
    <row r="3680" spans="1:6">
      <c r="A3680" s="32">
        <v>38336</v>
      </c>
      <c r="B3680">
        <v>15.9</v>
      </c>
      <c r="C3680">
        <v>15.9</v>
      </c>
      <c r="D3680">
        <v>15.8</v>
      </c>
      <c r="E3680">
        <v>15.8</v>
      </c>
      <c r="F3680">
        <v>0</v>
      </c>
    </row>
    <row r="3681" spans="1:6">
      <c r="A3681" s="32">
        <v>38335</v>
      </c>
      <c r="B3681">
        <v>15.9</v>
      </c>
      <c r="C3681">
        <v>15.9</v>
      </c>
      <c r="D3681">
        <v>15.8</v>
      </c>
      <c r="E3681">
        <v>15.8</v>
      </c>
      <c r="F3681">
        <v>0</v>
      </c>
    </row>
    <row r="3682" spans="1:6">
      <c r="A3682" s="32">
        <v>38334</v>
      </c>
      <c r="B3682">
        <v>15.9</v>
      </c>
      <c r="C3682">
        <v>15.9</v>
      </c>
      <c r="D3682">
        <v>15.8</v>
      </c>
      <c r="E3682">
        <v>15.8</v>
      </c>
      <c r="F3682">
        <v>0</v>
      </c>
    </row>
    <row r="3683" spans="1:6">
      <c r="A3683" s="32">
        <v>38330</v>
      </c>
      <c r="B3683">
        <v>15.8</v>
      </c>
      <c r="C3683">
        <v>16</v>
      </c>
      <c r="D3683">
        <v>15.8</v>
      </c>
      <c r="E3683">
        <v>16</v>
      </c>
      <c r="F3683">
        <v>0</v>
      </c>
    </row>
    <row r="3684" spans="1:6">
      <c r="A3684" s="32">
        <v>38329</v>
      </c>
      <c r="B3684">
        <v>16</v>
      </c>
      <c r="C3684">
        <v>16</v>
      </c>
      <c r="D3684">
        <v>15.8</v>
      </c>
      <c r="E3684">
        <v>15.8</v>
      </c>
      <c r="F3684">
        <v>0</v>
      </c>
    </row>
    <row r="3685" spans="1:6">
      <c r="A3685" s="32">
        <v>38328</v>
      </c>
      <c r="B3685">
        <v>16</v>
      </c>
      <c r="C3685">
        <v>16.2</v>
      </c>
      <c r="D3685">
        <v>15.9</v>
      </c>
      <c r="E3685">
        <v>16</v>
      </c>
      <c r="F3685">
        <v>0</v>
      </c>
    </row>
    <row r="3686" spans="1:6">
      <c r="A3686" s="32">
        <v>38324</v>
      </c>
      <c r="B3686">
        <v>16.100000000000001</v>
      </c>
      <c r="C3686">
        <v>16.2</v>
      </c>
      <c r="D3686">
        <v>16.100000000000001</v>
      </c>
      <c r="E3686">
        <v>16.100000000000001</v>
      </c>
      <c r="F3686">
        <v>0</v>
      </c>
    </row>
    <row r="3687" spans="1:6">
      <c r="A3687" s="32">
        <v>38323</v>
      </c>
      <c r="B3687">
        <v>16.2</v>
      </c>
      <c r="C3687">
        <v>16.3</v>
      </c>
      <c r="D3687">
        <v>16.100000000000001</v>
      </c>
      <c r="E3687">
        <v>16.100000000000001</v>
      </c>
      <c r="F3687">
        <v>0</v>
      </c>
    </row>
    <row r="3688" spans="1:6">
      <c r="A3688" s="32">
        <v>38322</v>
      </c>
      <c r="B3688">
        <v>16.5</v>
      </c>
      <c r="C3688">
        <v>16.5</v>
      </c>
      <c r="D3688">
        <v>16.2</v>
      </c>
      <c r="E3688">
        <v>16.2</v>
      </c>
      <c r="F3688">
        <v>0</v>
      </c>
    </row>
    <row r="3689" spans="1:6">
      <c r="A3689" s="32">
        <v>38321</v>
      </c>
      <c r="B3689">
        <v>16.399999999999999</v>
      </c>
      <c r="C3689">
        <v>16.5</v>
      </c>
      <c r="D3689">
        <v>16.399999999999999</v>
      </c>
      <c r="E3689">
        <v>16.399999999999999</v>
      </c>
      <c r="F3689">
        <v>0</v>
      </c>
    </row>
    <row r="3690" spans="1:6">
      <c r="A3690" s="32">
        <v>38320</v>
      </c>
      <c r="B3690">
        <v>16.399999999999999</v>
      </c>
      <c r="C3690">
        <v>16.7</v>
      </c>
      <c r="D3690">
        <v>16.399999999999999</v>
      </c>
      <c r="E3690">
        <v>16.399999999999999</v>
      </c>
      <c r="F3690">
        <v>0</v>
      </c>
    </row>
    <row r="3691" spans="1:6">
      <c r="A3691" s="32">
        <v>38317</v>
      </c>
      <c r="B3691">
        <v>16.600000000000001</v>
      </c>
      <c r="C3691">
        <v>16.8</v>
      </c>
      <c r="D3691">
        <v>16.3</v>
      </c>
      <c r="E3691">
        <v>16.5</v>
      </c>
      <c r="F3691">
        <v>0</v>
      </c>
    </row>
    <row r="3692" spans="1:6">
      <c r="A3692" s="32">
        <v>38316</v>
      </c>
      <c r="B3692">
        <v>16.5</v>
      </c>
      <c r="C3692">
        <v>16.600000000000001</v>
      </c>
      <c r="D3692">
        <v>16.399999999999999</v>
      </c>
      <c r="E3692">
        <v>16.600000000000001</v>
      </c>
      <c r="F3692">
        <v>0</v>
      </c>
    </row>
    <row r="3693" spans="1:6">
      <c r="A3693" s="32">
        <v>38315</v>
      </c>
      <c r="B3693">
        <v>16.3</v>
      </c>
      <c r="C3693">
        <v>16.600000000000001</v>
      </c>
      <c r="D3693">
        <v>16.3</v>
      </c>
      <c r="E3693">
        <v>16.399999999999999</v>
      </c>
      <c r="F3693">
        <v>0</v>
      </c>
    </row>
    <row r="3694" spans="1:6">
      <c r="A3694" s="32">
        <v>38314</v>
      </c>
      <c r="B3694">
        <v>16.3</v>
      </c>
      <c r="C3694">
        <v>16.5</v>
      </c>
      <c r="D3694">
        <v>16.2</v>
      </c>
      <c r="E3694">
        <v>16.3</v>
      </c>
      <c r="F3694">
        <v>0</v>
      </c>
    </row>
    <row r="3695" spans="1:6">
      <c r="A3695" s="32">
        <v>38313</v>
      </c>
      <c r="B3695">
        <v>16.3</v>
      </c>
      <c r="C3695">
        <v>16.3</v>
      </c>
      <c r="D3695">
        <v>16.2</v>
      </c>
      <c r="E3695">
        <v>16.2</v>
      </c>
      <c r="F3695">
        <v>0</v>
      </c>
    </row>
    <row r="3696" spans="1:6">
      <c r="A3696" s="32">
        <v>38310</v>
      </c>
      <c r="B3696">
        <v>16.399999999999999</v>
      </c>
      <c r="C3696">
        <v>16.399999999999999</v>
      </c>
      <c r="D3696">
        <v>16.3</v>
      </c>
      <c r="E3696">
        <v>16.3</v>
      </c>
      <c r="F3696">
        <v>0</v>
      </c>
    </row>
    <row r="3697" spans="1:6">
      <c r="A3697" s="32">
        <v>38309</v>
      </c>
      <c r="B3697">
        <v>16.5</v>
      </c>
      <c r="C3697">
        <v>16.5</v>
      </c>
      <c r="D3697">
        <v>16.3</v>
      </c>
      <c r="E3697">
        <v>16.3</v>
      </c>
      <c r="F3697">
        <v>0</v>
      </c>
    </row>
    <row r="3698" spans="1:6">
      <c r="A3698" s="32">
        <v>38308</v>
      </c>
      <c r="B3698">
        <v>16.399999999999999</v>
      </c>
      <c r="C3698">
        <v>16.5</v>
      </c>
      <c r="D3698">
        <v>16.3</v>
      </c>
      <c r="E3698">
        <v>16.3</v>
      </c>
      <c r="F3698">
        <v>0</v>
      </c>
    </row>
    <row r="3699" spans="1:6">
      <c r="A3699" s="32">
        <v>38307</v>
      </c>
      <c r="B3699">
        <v>16.399999999999999</v>
      </c>
      <c r="C3699">
        <v>16.5</v>
      </c>
      <c r="D3699">
        <v>16.399999999999999</v>
      </c>
      <c r="E3699">
        <v>16.399999999999999</v>
      </c>
      <c r="F3699">
        <v>0</v>
      </c>
    </row>
    <row r="3700" spans="1:6">
      <c r="A3700" s="32">
        <v>38306</v>
      </c>
      <c r="B3700">
        <v>16.7</v>
      </c>
      <c r="C3700">
        <v>16.7</v>
      </c>
      <c r="D3700">
        <v>16.3</v>
      </c>
      <c r="E3700">
        <v>16.3</v>
      </c>
      <c r="F3700">
        <v>0</v>
      </c>
    </row>
    <row r="3701" spans="1:6">
      <c r="A3701" s="32">
        <v>38303</v>
      </c>
      <c r="B3701">
        <v>16.5</v>
      </c>
      <c r="C3701">
        <v>16.600000000000001</v>
      </c>
      <c r="D3701">
        <v>16.5</v>
      </c>
      <c r="E3701">
        <v>16.600000000000001</v>
      </c>
      <c r="F3701">
        <v>0</v>
      </c>
    </row>
    <row r="3702" spans="1:6">
      <c r="A3702" s="32">
        <v>38302</v>
      </c>
      <c r="B3702">
        <v>16.600000000000001</v>
      </c>
      <c r="C3702">
        <v>16.600000000000001</v>
      </c>
      <c r="D3702">
        <v>16.3</v>
      </c>
      <c r="E3702">
        <v>16.5</v>
      </c>
      <c r="F3702">
        <v>0</v>
      </c>
    </row>
    <row r="3703" spans="1:6">
      <c r="A3703" s="32">
        <v>38301</v>
      </c>
      <c r="B3703">
        <v>16.899999999999999</v>
      </c>
      <c r="C3703">
        <v>16.899999999999999</v>
      </c>
      <c r="D3703">
        <v>16.5</v>
      </c>
      <c r="E3703">
        <v>16.5</v>
      </c>
      <c r="F3703">
        <v>0</v>
      </c>
    </row>
    <row r="3704" spans="1:6">
      <c r="A3704" s="32">
        <v>38300</v>
      </c>
      <c r="B3704">
        <v>16.899999999999999</v>
      </c>
      <c r="C3704">
        <v>17.100000000000001</v>
      </c>
      <c r="D3704">
        <v>16.8</v>
      </c>
      <c r="E3704">
        <v>16.8</v>
      </c>
      <c r="F3704">
        <v>0</v>
      </c>
    </row>
    <row r="3705" spans="1:6">
      <c r="A3705" s="32">
        <v>38299</v>
      </c>
      <c r="B3705">
        <v>16.600000000000001</v>
      </c>
      <c r="C3705">
        <v>16.899999999999999</v>
      </c>
      <c r="D3705">
        <v>16.5</v>
      </c>
      <c r="E3705">
        <v>16.8</v>
      </c>
      <c r="F3705">
        <v>0</v>
      </c>
    </row>
    <row r="3706" spans="1:6">
      <c r="A3706" s="32">
        <v>38296</v>
      </c>
      <c r="B3706">
        <v>17</v>
      </c>
      <c r="C3706">
        <v>17.100000000000001</v>
      </c>
      <c r="D3706">
        <v>16.399999999999999</v>
      </c>
      <c r="E3706">
        <v>16.399999999999999</v>
      </c>
      <c r="F3706">
        <v>0</v>
      </c>
    </row>
    <row r="3707" spans="1:6">
      <c r="A3707" s="32">
        <v>38295</v>
      </c>
      <c r="B3707">
        <v>16.7</v>
      </c>
      <c r="C3707">
        <v>16.899999999999999</v>
      </c>
      <c r="D3707">
        <v>16.3</v>
      </c>
      <c r="E3707">
        <v>16.8</v>
      </c>
      <c r="F3707">
        <v>0</v>
      </c>
    </row>
    <row r="3708" spans="1:6">
      <c r="A3708" s="32">
        <v>38294</v>
      </c>
      <c r="B3708">
        <v>16.2</v>
      </c>
      <c r="C3708">
        <v>16.600000000000001</v>
      </c>
      <c r="D3708">
        <v>16.2</v>
      </c>
      <c r="E3708">
        <v>16.5</v>
      </c>
      <c r="F3708">
        <v>0</v>
      </c>
    </row>
    <row r="3709" spans="1:6">
      <c r="A3709" s="32">
        <v>38293</v>
      </c>
      <c r="B3709">
        <v>16.2</v>
      </c>
      <c r="C3709">
        <v>16.3</v>
      </c>
      <c r="D3709">
        <v>16</v>
      </c>
      <c r="E3709">
        <v>16.2</v>
      </c>
      <c r="F3709">
        <v>0</v>
      </c>
    </row>
    <row r="3710" spans="1:6">
      <c r="A3710" s="32">
        <v>38292</v>
      </c>
      <c r="B3710">
        <v>16.3</v>
      </c>
      <c r="C3710">
        <v>16.399999999999999</v>
      </c>
      <c r="D3710">
        <v>16</v>
      </c>
      <c r="E3710">
        <v>16</v>
      </c>
      <c r="F3710">
        <v>0</v>
      </c>
    </row>
    <row r="3711" spans="1:6">
      <c r="A3711" s="32">
        <v>38289</v>
      </c>
      <c r="B3711">
        <v>16.3</v>
      </c>
      <c r="C3711">
        <v>16.3</v>
      </c>
      <c r="D3711">
        <v>16</v>
      </c>
      <c r="E3711">
        <v>16.3</v>
      </c>
      <c r="F3711">
        <v>0</v>
      </c>
    </row>
    <row r="3712" spans="1:6">
      <c r="A3712" s="32">
        <v>38288</v>
      </c>
      <c r="B3712">
        <v>16</v>
      </c>
      <c r="C3712">
        <v>16.600000000000001</v>
      </c>
      <c r="D3712">
        <v>16</v>
      </c>
      <c r="E3712">
        <v>16.100000000000001</v>
      </c>
      <c r="F3712">
        <v>0</v>
      </c>
    </row>
    <row r="3713" spans="1:6">
      <c r="A3713" s="32">
        <v>38287</v>
      </c>
      <c r="B3713">
        <v>16.5</v>
      </c>
      <c r="C3713">
        <v>16.5</v>
      </c>
      <c r="D3713">
        <v>15.9</v>
      </c>
      <c r="E3713">
        <v>15.9</v>
      </c>
      <c r="F3713">
        <v>0</v>
      </c>
    </row>
    <row r="3714" spans="1:6">
      <c r="A3714" s="32">
        <v>38286</v>
      </c>
      <c r="B3714">
        <v>16.8</v>
      </c>
      <c r="C3714">
        <v>16.8</v>
      </c>
      <c r="D3714">
        <v>16.399999999999999</v>
      </c>
      <c r="E3714">
        <v>16.5</v>
      </c>
      <c r="F3714">
        <v>150000</v>
      </c>
    </row>
    <row r="3715" spans="1:6">
      <c r="A3715" s="32">
        <v>38282</v>
      </c>
      <c r="B3715">
        <v>16.7</v>
      </c>
      <c r="C3715">
        <v>16.8</v>
      </c>
      <c r="D3715">
        <v>16.600000000000001</v>
      </c>
      <c r="E3715">
        <v>16.8</v>
      </c>
      <c r="F3715">
        <v>0</v>
      </c>
    </row>
    <row r="3716" spans="1:6">
      <c r="A3716" s="32">
        <v>38281</v>
      </c>
      <c r="B3716">
        <v>16.899999999999999</v>
      </c>
      <c r="C3716">
        <v>17.100000000000001</v>
      </c>
      <c r="D3716">
        <v>16.5</v>
      </c>
      <c r="E3716">
        <v>16.600000000000001</v>
      </c>
      <c r="F3716">
        <v>0</v>
      </c>
    </row>
    <row r="3717" spans="1:6">
      <c r="A3717" s="32">
        <v>38280</v>
      </c>
      <c r="B3717">
        <v>17.100000000000001</v>
      </c>
      <c r="C3717">
        <v>17.2</v>
      </c>
      <c r="D3717">
        <v>16.7</v>
      </c>
      <c r="E3717">
        <v>16.7</v>
      </c>
      <c r="F3717">
        <v>0</v>
      </c>
    </row>
    <row r="3718" spans="1:6">
      <c r="A3718" s="32">
        <v>38279</v>
      </c>
      <c r="B3718">
        <v>16.399999999999999</v>
      </c>
      <c r="C3718">
        <v>17.2</v>
      </c>
      <c r="D3718">
        <v>16.399999999999999</v>
      </c>
      <c r="E3718">
        <v>17.2</v>
      </c>
      <c r="F3718">
        <v>0</v>
      </c>
    </row>
    <row r="3719" spans="1:6">
      <c r="A3719" s="32">
        <v>38278</v>
      </c>
      <c r="B3719">
        <v>16.5</v>
      </c>
      <c r="C3719">
        <v>16.5</v>
      </c>
      <c r="D3719">
        <v>16.2</v>
      </c>
      <c r="E3719">
        <v>16.399999999999999</v>
      </c>
      <c r="F3719">
        <v>0</v>
      </c>
    </row>
    <row r="3720" spans="1:6">
      <c r="A3720" s="32">
        <v>38275</v>
      </c>
      <c r="B3720">
        <v>16.600000000000001</v>
      </c>
      <c r="C3720">
        <v>16.7</v>
      </c>
      <c r="D3720">
        <v>16.399999999999999</v>
      </c>
      <c r="E3720">
        <v>16.5</v>
      </c>
      <c r="F3720">
        <v>0</v>
      </c>
    </row>
    <row r="3721" spans="1:6">
      <c r="A3721" s="32">
        <v>38274</v>
      </c>
      <c r="B3721">
        <v>16.600000000000001</v>
      </c>
      <c r="C3721">
        <v>16.7</v>
      </c>
      <c r="D3721">
        <v>16.5</v>
      </c>
      <c r="E3721">
        <v>16.600000000000001</v>
      </c>
      <c r="F3721">
        <v>0</v>
      </c>
    </row>
    <row r="3722" spans="1:6">
      <c r="A3722" s="32">
        <v>38273</v>
      </c>
      <c r="B3722">
        <v>16.899999999999999</v>
      </c>
      <c r="C3722">
        <v>16.899999999999999</v>
      </c>
      <c r="D3722">
        <v>16.399999999999999</v>
      </c>
      <c r="E3722">
        <v>16.8</v>
      </c>
      <c r="F3722">
        <v>0</v>
      </c>
    </row>
    <row r="3723" spans="1:6">
      <c r="A3723" s="32">
        <v>38272</v>
      </c>
      <c r="B3723">
        <v>17.100000000000001</v>
      </c>
      <c r="C3723">
        <v>17.399999999999999</v>
      </c>
      <c r="D3723">
        <v>16.7</v>
      </c>
      <c r="E3723">
        <v>16.7</v>
      </c>
      <c r="F3723">
        <v>0</v>
      </c>
    </row>
    <row r="3724" spans="1:6">
      <c r="A3724" s="32">
        <v>38271</v>
      </c>
      <c r="B3724">
        <v>17.2</v>
      </c>
      <c r="C3724">
        <v>17.5</v>
      </c>
      <c r="D3724">
        <v>17</v>
      </c>
      <c r="E3724">
        <v>17</v>
      </c>
      <c r="F3724">
        <v>0</v>
      </c>
    </row>
    <row r="3725" spans="1:6">
      <c r="A3725" s="32">
        <v>38268</v>
      </c>
      <c r="B3725">
        <v>17</v>
      </c>
      <c r="C3725">
        <v>17.600000000000001</v>
      </c>
      <c r="D3725">
        <v>16.899999999999999</v>
      </c>
      <c r="E3725">
        <v>17.100000000000001</v>
      </c>
      <c r="F3725">
        <v>0</v>
      </c>
    </row>
    <row r="3726" spans="1:6">
      <c r="A3726" s="32">
        <v>38267</v>
      </c>
      <c r="B3726">
        <v>16.899999999999999</v>
      </c>
      <c r="C3726">
        <v>17.3</v>
      </c>
      <c r="D3726">
        <v>16.899999999999999</v>
      </c>
      <c r="E3726">
        <v>17</v>
      </c>
      <c r="F3726">
        <v>0</v>
      </c>
    </row>
    <row r="3727" spans="1:6">
      <c r="A3727" s="32">
        <v>38266</v>
      </c>
      <c r="B3727">
        <v>17.399999999999999</v>
      </c>
      <c r="C3727">
        <v>17.8</v>
      </c>
      <c r="D3727">
        <v>16.899999999999999</v>
      </c>
      <c r="E3727">
        <v>16.899999999999999</v>
      </c>
      <c r="F3727">
        <v>0</v>
      </c>
    </row>
    <row r="3728" spans="1:6">
      <c r="A3728" s="32">
        <v>38265</v>
      </c>
      <c r="B3728">
        <v>17.399999999999999</v>
      </c>
      <c r="C3728">
        <v>17.399999999999999</v>
      </c>
      <c r="D3728">
        <v>16.899999999999999</v>
      </c>
      <c r="E3728">
        <v>17.100000000000001</v>
      </c>
      <c r="F3728">
        <v>0</v>
      </c>
    </row>
    <row r="3729" spans="1:6">
      <c r="A3729" s="32">
        <v>38264</v>
      </c>
      <c r="B3729">
        <v>16</v>
      </c>
      <c r="C3729">
        <v>17.5</v>
      </c>
      <c r="D3729">
        <v>16</v>
      </c>
      <c r="E3729">
        <v>17.5</v>
      </c>
      <c r="F3729">
        <v>10000</v>
      </c>
    </row>
    <row r="3730" spans="1:6">
      <c r="A3730" s="32">
        <v>38261</v>
      </c>
      <c r="B3730">
        <v>15.4</v>
      </c>
      <c r="C3730">
        <v>16.2</v>
      </c>
      <c r="D3730">
        <v>15.4</v>
      </c>
      <c r="E3730">
        <v>16.100000000000001</v>
      </c>
      <c r="F3730">
        <v>0</v>
      </c>
    </row>
    <row r="3731" spans="1:6">
      <c r="A3731" s="32">
        <v>38260</v>
      </c>
      <c r="B3731">
        <v>15.4</v>
      </c>
      <c r="C3731">
        <v>15.5</v>
      </c>
      <c r="D3731">
        <v>15.3</v>
      </c>
      <c r="E3731">
        <v>15.3</v>
      </c>
      <c r="F3731">
        <v>0</v>
      </c>
    </row>
    <row r="3732" spans="1:6">
      <c r="A3732" s="32">
        <v>38259</v>
      </c>
      <c r="B3732">
        <v>15.9</v>
      </c>
      <c r="C3732">
        <v>15.9</v>
      </c>
      <c r="D3732">
        <v>15.3</v>
      </c>
      <c r="E3732">
        <v>15.3</v>
      </c>
      <c r="F3732">
        <v>0</v>
      </c>
    </row>
    <row r="3733" spans="1:6">
      <c r="A3733" s="32">
        <v>38258</v>
      </c>
      <c r="B3733">
        <v>15.3</v>
      </c>
      <c r="C3733">
        <v>15.9</v>
      </c>
      <c r="D3733">
        <v>15.3</v>
      </c>
      <c r="E3733">
        <v>15.8</v>
      </c>
      <c r="F3733">
        <v>0</v>
      </c>
    </row>
    <row r="3734" spans="1:6">
      <c r="A3734" s="32">
        <v>38257</v>
      </c>
      <c r="B3734">
        <v>15.5</v>
      </c>
      <c r="C3734">
        <v>15.5</v>
      </c>
      <c r="D3734">
        <v>15.1</v>
      </c>
      <c r="E3734">
        <v>15.3</v>
      </c>
      <c r="F3734">
        <v>0</v>
      </c>
    </row>
    <row r="3735" spans="1:6">
      <c r="A3735" s="32">
        <v>38254</v>
      </c>
      <c r="B3735">
        <v>15.6</v>
      </c>
      <c r="C3735">
        <v>15.7</v>
      </c>
      <c r="D3735">
        <v>15.5</v>
      </c>
      <c r="E3735">
        <v>15.5</v>
      </c>
      <c r="F3735">
        <v>0</v>
      </c>
    </row>
    <row r="3736" spans="1:6">
      <c r="A3736" s="32">
        <v>38253</v>
      </c>
      <c r="B3736">
        <v>15</v>
      </c>
      <c r="C3736">
        <v>15.8</v>
      </c>
      <c r="D3736">
        <v>15</v>
      </c>
      <c r="E3736">
        <v>15.6</v>
      </c>
      <c r="F3736">
        <v>0</v>
      </c>
    </row>
    <row r="3737" spans="1:6">
      <c r="A3737" s="32">
        <v>38252</v>
      </c>
      <c r="B3737">
        <v>15.3</v>
      </c>
      <c r="C3737">
        <v>15.4</v>
      </c>
      <c r="D3737">
        <v>15</v>
      </c>
      <c r="E3737">
        <v>15</v>
      </c>
      <c r="F3737">
        <v>0</v>
      </c>
    </row>
    <row r="3738" spans="1:6">
      <c r="A3738" s="32">
        <v>38251</v>
      </c>
      <c r="B3738">
        <v>15.4</v>
      </c>
      <c r="C3738">
        <v>15.4</v>
      </c>
      <c r="D3738">
        <v>15</v>
      </c>
      <c r="E3738">
        <v>15.1</v>
      </c>
      <c r="F3738">
        <v>0</v>
      </c>
    </row>
    <row r="3739" spans="1:6">
      <c r="A3739" s="32">
        <v>38250</v>
      </c>
      <c r="B3739">
        <v>16</v>
      </c>
      <c r="C3739">
        <v>16</v>
      </c>
      <c r="D3739">
        <v>15.5</v>
      </c>
      <c r="E3739">
        <v>15.5</v>
      </c>
      <c r="F3739">
        <v>0</v>
      </c>
    </row>
    <row r="3740" spans="1:6">
      <c r="A3740" s="32">
        <v>38247</v>
      </c>
      <c r="B3740">
        <v>16.100000000000001</v>
      </c>
      <c r="C3740">
        <v>16.2</v>
      </c>
      <c r="D3740">
        <v>15.6</v>
      </c>
      <c r="E3740">
        <v>16</v>
      </c>
      <c r="F3740">
        <v>0</v>
      </c>
    </row>
    <row r="3741" spans="1:6">
      <c r="A3741" s="32">
        <v>38246</v>
      </c>
      <c r="B3741">
        <v>16</v>
      </c>
      <c r="C3741">
        <v>16.100000000000001</v>
      </c>
      <c r="D3741">
        <v>15.5</v>
      </c>
      <c r="E3741">
        <v>16</v>
      </c>
      <c r="F3741">
        <v>0</v>
      </c>
    </row>
    <row r="3742" spans="1:6">
      <c r="A3742" s="32">
        <v>38245</v>
      </c>
      <c r="B3742">
        <v>14.7</v>
      </c>
      <c r="C3742">
        <v>16.5</v>
      </c>
      <c r="D3742">
        <v>14.7</v>
      </c>
      <c r="E3742">
        <v>16.100000000000001</v>
      </c>
      <c r="F3742">
        <v>0</v>
      </c>
    </row>
    <row r="3743" spans="1:6">
      <c r="A3743" s="32">
        <v>38244</v>
      </c>
      <c r="B3743">
        <v>14</v>
      </c>
      <c r="C3743">
        <v>14.7</v>
      </c>
      <c r="D3743">
        <v>14</v>
      </c>
      <c r="E3743">
        <v>14.5</v>
      </c>
      <c r="F3743">
        <v>0</v>
      </c>
    </row>
    <row r="3744" spans="1:6">
      <c r="A3744" s="32">
        <v>38243</v>
      </c>
      <c r="B3744">
        <v>13.3</v>
      </c>
      <c r="C3744">
        <v>14</v>
      </c>
      <c r="D3744">
        <v>13.3</v>
      </c>
      <c r="E3744">
        <v>13.9</v>
      </c>
      <c r="F3744">
        <v>0</v>
      </c>
    </row>
    <row r="3745" spans="1:6">
      <c r="A3745" s="32">
        <v>38240</v>
      </c>
      <c r="B3745">
        <v>13</v>
      </c>
      <c r="C3745">
        <v>13.4</v>
      </c>
      <c r="D3745">
        <v>13</v>
      </c>
      <c r="E3745">
        <v>13.3</v>
      </c>
      <c r="F3745">
        <v>0</v>
      </c>
    </row>
    <row r="3746" spans="1:6">
      <c r="A3746" s="32">
        <v>38239</v>
      </c>
      <c r="B3746">
        <v>12.9</v>
      </c>
      <c r="C3746">
        <v>13</v>
      </c>
      <c r="D3746">
        <v>12.9</v>
      </c>
      <c r="E3746">
        <v>13</v>
      </c>
      <c r="F3746">
        <v>0</v>
      </c>
    </row>
    <row r="3747" spans="1:6">
      <c r="A3747" s="32">
        <v>38238</v>
      </c>
      <c r="B3747">
        <v>13</v>
      </c>
      <c r="C3747">
        <v>13</v>
      </c>
      <c r="D3747">
        <v>12.9</v>
      </c>
      <c r="E3747">
        <v>13</v>
      </c>
      <c r="F3747">
        <v>0</v>
      </c>
    </row>
    <row r="3748" spans="1:6">
      <c r="A3748" s="32">
        <v>38237</v>
      </c>
      <c r="B3748">
        <v>13.1</v>
      </c>
      <c r="C3748">
        <v>13.1</v>
      </c>
      <c r="D3748">
        <v>12.9</v>
      </c>
      <c r="E3748">
        <v>13</v>
      </c>
      <c r="F3748">
        <v>0</v>
      </c>
    </row>
    <row r="3749" spans="1:6">
      <c r="A3749" s="32">
        <v>38236</v>
      </c>
      <c r="B3749">
        <v>13.1</v>
      </c>
      <c r="C3749">
        <v>13.2</v>
      </c>
      <c r="D3749">
        <v>13</v>
      </c>
      <c r="E3749">
        <v>13</v>
      </c>
      <c r="F3749">
        <v>0</v>
      </c>
    </row>
    <row r="3750" spans="1:6">
      <c r="A3750" s="32">
        <v>38233</v>
      </c>
      <c r="B3750">
        <v>13</v>
      </c>
      <c r="C3750">
        <v>13.2</v>
      </c>
      <c r="D3750">
        <v>12.9</v>
      </c>
      <c r="E3750">
        <v>13.2</v>
      </c>
      <c r="F3750">
        <v>0</v>
      </c>
    </row>
    <row r="3751" spans="1:6">
      <c r="A3751" s="32">
        <v>38232</v>
      </c>
      <c r="B3751">
        <v>13</v>
      </c>
      <c r="C3751">
        <v>13.1</v>
      </c>
      <c r="D3751">
        <v>12.9</v>
      </c>
      <c r="E3751">
        <v>12.9</v>
      </c>
      <c r="F3751">
        <v>0</v>
      </c>
    </row>
    <row r="3752" spans="1:6">
      <c r="A3752" s="32">
        <v>38231</v>
      </c>
      <c r="B3752">
        <v>13</v>
      </c>
      <c r="C3752">
        <v>13.1</v>
      </c>
      <c r="D3752">
        <v>13</v>
      </c>
      <c r="E3752">
        <v>13</v>
      </c>
      <c r="F3752">
        <v>0</v>
      </c>
    </row>
    <row r="3753" spans="1:6">
      <c r="A3753" s="32">
        <v>38230</v>
      </c>
      <c r="B3753">
        <v>13</v>
      </c>
      <c r="C3753">
        <v>13.1</v>
      </c>
      <c r="D3753">
        <v>12.9</v>
      </c>
      <c r="E3753">
        <v>12.9</v>
      </c>
      <c r="F3753">
        <v>0</v>
      </c>
    </row>
    <row r="3754" spans="1:6">
      <c r="A3754" s="32">
        <v>38229</v>
      </c>
      <c r="B3754">
        <v>13.2</v>
      </c>
      <c r="C3754">
        <v>13.4</v>
      </c>
      <c r="D3754">
        <v>13.1</v>
      </c>
      <c r="E3754">
        <v>13.3</v>
      </c>
      <c r="F3754">
        <v>0</v>
      </c>
    </row>
    <row r="3755" spans="1:6">
      <c r="A3755" s="32">
        <v>38226</v>
      </c>
      <c r="B3755">
        <v>13.3</v>
      </c>
      <c r="C3755">
        <v>13.3</v>
      </c>
      <c r="D3755">
        <v>13.1</v>
      </c>
      <c r="E3755">
        <v>13.2</v>
      </c>
      <c r="F3755">
        <v>0</v>
      </c>
    </row>
    <row r="3756" spans="1:6">
      <c r="A3756" s="32">
        <v>38225</v>
      </c>
      <c r="B3756">
        <v>13.1</v>
      </c>
      <c r="C3756">
        <v>13.4</v>
      </c>
      <c r="D3756">
        <v>13.1</v>
      </c>
      <c r="E3756">
        <v>13.3</v>
      </c>
      <c r="F3756">
        <v>0</v>
      </c>
    </row>
    <row r="3757" spans="1:6">
      <c r="A3757" s="32">
        <v>38224</v>
      </c>
      <c r="B3757">
        <v>13.2</v>
      </c>
      <c r="C3757">
        <v>13.3</v>
      </c>
      <c r="D3757">
        <v>13</v>
      </c>
      <c r="E3757">
        <v>13.1</v>
      </c>
      <c r="F3757">
        <v>0</v>
      </c>
    </row>
    <row r="3758" spans="1:6">
      <c r="A3758" s="32">
        <v>38223</v>
      </c>
      <c r="B3758">
        <v>13.4</v>
      </c>
      <c r="C3758">
        <v>13.4</v>
      </c>
      <c r="D3758">
        <v>13.2</v>
      </c>
      <c r="E3758">
        <v>13.2</v>
      </c>
      <c r="F3758">
        <v>0</v>
      </c>
    </row>
    <row r="3759" spans="1:6">
      <c r="A3759" s="32">
        <v>38222</v>
      </c>
      <c r="B3759">
        <v>13.2</v>
      </c>
      <c r="C3759">
        <v>13.5</v>
      </c>
      <c r="D3759">
        <v>13.2</v>
      </c>
      <c r="E3759">
        <v>13.4</v>
      </c>
      <c r="F3759">
        <v>0</v>
      </c>
    </row>
    <row r="3760" spans="1:6">
      <c r="A3760" s="32">
        <v>38219</v>
      </c>
      <c r="B3760">
        <v>13</v>
      </c>
      <c r="C3760">
        <v>13.3</v>
      </c>
      <c r="D3760">
        <v>12.8</v>
      </c>
      <c r="E3760">
        <v>13.2</v>
      </c>
      <c r="F3760">
        <v>0</v>
      </c>
    </row>
    <row r="3761" spans="1:6">
      <c r="A3761" s="32">
        <v>38218</v>
      </c>
      <c r="B3761">
        <v>12.8</v>
      </c>
      <c r="C3761">
        <v>12.9</v>
      </c>
      <c r="D3761">
        <v>12.7</v>
      </c>
      <c r="E3761">
        <v>12.8</v>
      </c>
      <c r="F3761">
        <v>0</v>
      </c>
    </row>
    <row r="3762" spans="1:6">
      <c r="A3762" s="32">
        <v>38217</v>
      </c>
      <c r="B3762">
        <v>12.4</v>
      </c>
      <c r="C3762">
        <v>12.9</v>
      </c>
      <c r="D3762">
        <v>12.4</v>
      </c>
      <c r="E3762">
        <v>12.6</v>
      </c>
      <c r="F3762">
        <v>0</v>
      </c>
    </row>
    <row r="3763" spans="1:6">
      <c r="A3763" s="32">
        <v>38216</v>
      </c>
      <c r="B3763">
        <v>12.6</v>
      </c>
      <c r="C3763">
        <v>12.7</v>
      </c>
      <c r="D3763">
        <v>12.4</v>
      </c>
      <c r="E3763">
        <v>12.5</v>
      </c>
      <c r="F3763">
        <v>0</v>
      </c>
    </row>
    <row r="3764" spans="1:6">
      <c r="A3764" s="32">
        <v>38215</v>
      </c>
      <c r="B3764">
        <v>12.3</v>
      </c>
      <c r="C3764">
        <v>12.6</v>
      </c>
      <c r="D3764">
        <v>12.1</v>
      </c>
      <c r="E3764">
        <v>12.5</v>
      </c>
      <c r="F3764">
        <v>0</v>
      </c>
    </row>
    <row r="3765" spans="1:6">
      <c r="A3765" s="32">
        <v>38212</v>
      </c>
      <c r="B3765">
        <v>12.5</v>
      </c>
      <c r="C3765">
        <v>12.5</v>
      </c>
      <c r="D3765">
        <v>12.2</v>
      </c>
      <c r="E3765">
        <v>12.3</v>
      </c>
      <c r="F3765">
        <v>0</v>
      </c>
    </row>
    <row r="3766" spans="1:6">
      <c r="A3766" s="32">
        <v>38210</v>
      </c>
      <c r="B3766">
        <v>12.9</v>
      </c>
      <c r="C3766">
        <v>12.9</v>
      </c>
      <c r="D3766">
        <v>12.4</v>
      </c>
      <c r="E3766">
        <v>12.5</v>
      </c>
      <c r="F3766">
        <v>0</v>
      </c>
    </row>
    <row r="3767" spans="1:6">
      <c r="A3767" s="32">
        <v>38209</v>
      </c>
      <c r="B3767">
        <v>12.7</v>
      </c>
      <c r="C3767">
        <v>12.8</v>
      </c>
      <c r="D3767">
        <v>12.6</v>
      </c>
      <c r="E3767">
        <v>12.7</v>
      </c>
      <c r="F3767">
        <v>0</v>
      </c>
    </row>
    <row r="3768" spans="1:6">
      <c r="A3768" s="32">
        <v>38208</v>
      </c>
      <c r="B3768">
        <v>12.7</v>
      </c>
      <c r="C3768">
        <v>12.9</v>
      </c>
      <c r="D3768">
        <v>12.6</v>
      </c>
      <c r="E3768">
        <v>12.6</v>
      </c>
      <c r="F3768">
        <v>0</v>
      </c>
    </row>
    <row r="3769" spans="1:6">
      <c r="A3769" s="32">
        <v>38205</v>
      </c>
      <c r="B3769">
        <v>12.9</v>
      </c>
      <c r="C3769">
        <v>13</v>
      </c>
      <c r="D3769">
        <v>12.8</v>
      </c>
      <c r="E3769">
        <v>12.8</v>
      </c>
      <c r="F3769">
        <v>0</v>
      </c>
    </row>
    <row r="3770" spans="1:6">
      <c r="A3770" s="32">
        <v>38204</v>
      </c>
      <c r="B3770">
        <v>13.1</v>
      </c>
      <c r="C3770">
        <v>13.2</v>
      </c>
      <c r="D3770">
        <v>12.9</v>
      </c>
      <c r="E3770">
        <v>13</v>
      </c>
      <c r="F3770">
        <v>0</v>
      </c>
    </row>
    <row r="3771" spans="1:6">
      <c r="A3771" s="32">
        <v>38203</v>
      </c>
      <c r="B3771">
        <v>12.8</v>
      </c>
      <c r="C3771">
        <v>13.2</v>
      </c>
      <c r="D3771">
        <v>12.8</v>
      </c>
      <c r="E3771">
        <v>13</v>
      </c>
      <c r="F3771">
        <v>0</v>
      </c>
    </row>
    <row r="3772" spans="1:6">
      <c r="A3772" s="32">
        <v>38202</v>
      </c>
      <c r="B3772">
        <v>13.2</v>
      </c>
      <c r="C3772">
        <v>13.2</v>
      </c>
      <c r="D3772">
        <v>12.8</v>
      </c>
      <c r="E3772">
        <v>12.8</v>
      </c>
      <c r="F3772">
        <v>0</v>
      </c>
    </row>
    <row r="3773" spans="1:6">
      <c r="A3773" s="32">
        <v>38198</v>
      </c>
      <c r="B3773">
        <v>13.1</v>
      </c>
      <c r="C3773">
        <v>13.1</v>
      </c>
      <c r="D3773">
        <v>13</v>
      </c>
      <c r="E3773">
        <v>13.1</v>
      </c>
      <c r="F3773">
        <v>0</v>
      </c>
    </row>
    <row r="3774" spans="1:6">
      <c r="A3774" s="32">
        <v>38197</v>
      </c>
      <c r="B3774">
        <v>13</v>
      </c>
      <c r="C3774">
        <v>13.1</v>
      </c>
      <c r="D3774">
        <v>12.7</v>
      </c>
      <c r="E3774">
        <v>13.1</v>
      </c>
      <c r="F3774">
        <v>0</v>
      </c>
    </row>
    <row r="3775" spans="1:6">
      <c r="A3775" s="32">
        <v>38196</v>
      </c>
      <c r="B3775">
        <v>13.1</v>
      </c>
      <c r="C3775">
        <v>13.1</v>
      </c>
      <c r="D3775">
        <v>12.8</v>
      </c>
      <c r="E3775">
        <v>13</v>
      </c>
      <c r="F3775">
        <v>0</v>
      </c>
    </row>
    <row r="3776" spans="1:6">
      <c r="A3776" s="32">
        <v>38195</v>
      </c>
      <c r="B3776">
        <v>12.7</v>
      </c>
      <c r="C3776">
        <v>12.9</v>
      </c>
      <c r="D3776">
        <v>12.7</v>
      </c>
      <c r="E3776">
        <v>12.9</v>
      </c>
      <c r="F3776">
        <v>0</v>
      </c>
    </row>
    <row r="3777" spans="1:6">
      <c r="A3777" s="32">
        <v>38194</v>
      </c>
      <c r="B3777">
        <v>13.6</v>
      </c>
      <c r="C3777">
        <v>13.6</v>
      </c>
      <c r="D3777">
        <v>12.7</v>
      </c>
      <c r="E3777">
        <v>12.7</v>
      </c>
      <c r="F3777">
        <v>0</v>
      </c>
    </row>
    <row r="3778" spans="1:6">
      <c r="A3778" s="32">
        <v>38191</v>
      </c>
      <c r="B3778">
        <v>13.5</v>
      </c>
      <c r="C3778">
        <v>13.6</v>
      </c>
      <c r="D3778">
        <v>13.4</v>
      </c>
      <c r="E3778">
        <v>13.4</v>
      </c>
      <c r="F3778">
        <v>0</v>
      </c>
    </row>
    <row r="3779" spans="1:6">
      <c r="A3779" s="32">
        <v>38190</v>
      </c>
      <c r="B3779">
        <v>13.2</v>
      </c>
      <c r="C3779">
        <v>13.5</v>
      </c>
      <c r="D3779">
        <v>13.2</v>
      </c>
      <c r="E3779">
        <v>13.5</v>
      </c>
      <c r="F3779">
        <v>0</v>
      </c>
    </row>
    <row r="3780" spans="1:6">
      <c r="A3780" s="32">
        <v>38189</v>
      </c>
      <c r="B3780">
        <v>13.1</v>
      </c>
      <c r="C3780">
        <v>13.3</v>
      </c>
      <c r="D3780">
        <v>13</v>
      </c>
      <c r="E3780">
        <v>13.1</v>
      </c>
      <c r="F3780">
        <v>0</v>
      </c>
    </row>
    <row r="3781" spans="1:6">
      <c r="A3781" s="32">
        <v>38188</v>
      </c>
      <c r="B3781">
        <v>13</v>
      </c>
      <c r="C3781">
        <v>13.1</v>
      </c>
      <c r="D3781">
        <v>12.9</v>
      </c>
      <c r="E3781">
        <v>13</v>
      </c>
      <c r="F3781">
        <v>0</v>
      </c>
    </row>
    <row r="3782" spans="1:6">
      <c r="A3782" s="32">
        <v>38187</v>
      </c>
      <c r="B3782">
        <v>12.9</v>
      </c>
      <c r="C3782">
        <v>13.2</v>
      </c>
      <c r="D3782">
        <v>12.9</v>
      </c>
      <c r="E3782">
        <v>13.1</v>
      </c>
      <c r="F3782">
        <v>0</v>
      </c>
    </row>
    <row r="3783" spans="1:6">
      <c r="A3783" s="32">
        <v>38184</v>
      </c>
      <c r="B3783">
        <v>13.1</v>
      </c>
      <c r="C3783">
        <v>13.1</v>
      </c>
      <c r="D3783">
        <v>12.9</v>
      </c>
      <c r="E3783">
        <v>12.9</v>
      </c>
      <c r="F3783">
        <v>0</v>
      </c>
    </row>
    <row r="3784" spans="1:6">
      <c r="A3784" s="32">
        <v>38183</v>
      </c>
      <c r="B3784">
        <v>13</v>
      </c>
      <c r="C3784">
        <v>13.2</v>
      </c>
      <c r="D3784">
        <v>13</v>
      </c>
      <c r="E3784">
        <v>13</v>
      </c>
      <c r="F3784">
        <v>0</v>
      </c>
    </row>
    <row r="3785" spans="1:6">
      <c r="A3785" s="32">
        <v>38182</v>
      </c>
      <c r="B3785">
        <v>13.3</v>
      </c>
      <c r="C3785">
        <v>13.3</v>
      </c>
      <c r="D3785">
        <v>12.9</v>
      </c>
      <c r="E3785">
        <v>13</v>
      </c>
      <c r="F3785">
        <v>0</v>
      </c>
    </row>
    <row r="3786" spans="1:6">
      <c r="A3786" s="32">
        <v>38181</v>
      </c>
      <c r="B3786">
        <v>13.3</v>
      </c>
      <c r="C3786">
        <v>13.4</v>
      </c>
      <c r="D3786">
        <v>13.1</v>
      </c>
      <c r="E3786">
        <v>13.2</v>
      </c>
      <c r="F3786">
        <v>0</v>
      </c>
    </row>
    <row r="3787" spans="1:6">
      <c r="A3787" s="32">
        <v>38180</v>
      </c>
      <c r="B3787">
        <v>13.4</v>
      </c>
      <c r="C3787">
        <v>13.5</v>
      </c>
      <c r="D3787">
        <v>13.2</v>
      </c>
      <c r="E3787">
        <v>13.3</v>
      </c>
      <c r="F3787">
        <v>0</v>
      </c>
    </row>
    <row r="3788" spans="1:6">
      <c r="A3788" s="32">
        <v>38177</v>
      </c>
      <c r="B3788">
        <v>13.2</v>
      </c>
      <c r="C3788">
        <v>13.3</v>
      </c>
      <c r="D3788">
        <v>13.1</v>
      </c>
      <c r="E3788">
        <v>13.3</v>
      </c>
      <c r="F3788">
        <v>0</v>
      </c>
    </row>
    <row r="3789" spans="1:6">
      <c r="A3789" s="32">
        <v>38176</v>
      </c>
      <c r="B3789">
        <v>13.7</v>
      </c>
      <c r="C3789">
        <v>13.7</v>
      </c>
      <c r="D3789">
        <v>13.2</v>
      </c>
      <c r="E3789">
        <v>13.2</v>
      </c>
      <c r="F3789">
        <v>0</v>
      </c>
    </row>
    <row r="3790" spans="1:6">
      <c r="A3790" s="32">
        <v>38175</v>
      </c>
      <c r="B3790">
        <v>13.4</v>
      </c>
      <c r="C3790">
        <v>13.7</v>
      </c>
      <c r="D3790">
        <v>13.4</v>
      </c>
      <c r="E3790">
        <v>13.7</v>
      </c>
      <c r="F3790">
        <v>0</v>
      </c>
    </row>
    <row r="3791" spans="1:6">
      <c r="A3791" s="32">
        <v>38174</v>
      </c>
      <c r="B3791">
        <v>13.3</v>
      </c>
      <c r="C3791">
        <v>13.6</v>
      </c>
      <c r="D3791">
        <v>13.2</v>
      </c>
      <c r="E3791">
        <v>13.4</v>
      </c>
      <c r="F3791">
        <v>0</v>
      </c>
    </row>
    <row r="3792" spans="1:6">
      <c r="A3792" s="32">
        <v>38173</v>
      </c>
      <c r="B3792">
        <v>13.1</v>
      </c>
      <c r="C3792">
        <v>13.3</v>
      </c>
      <c r="D3792">
        <v>13</v>
      </c>
      <c r="E3792">
        <v>13.3</v>
      </c>
      <c r="F3792">
        <v>0</v>
      </c>
    </row>
    <row r="3793" spans="1:6">
      <c r="A3793" s="32">
        <v>38170</v>
      </c>
      <c r="B3793">
        <v>13.1</v>
      </c>
      <c r="C3793">
        <v>13.2</v>
      </c>
      <c r="D3793">
        <v>13</v>
      </c>
      <c r="E3793">
        <v>13.1</v>
      </c>
      <c r="F3793">
        <v>0</v>
      </c>
    </row>
    <row r="3794" spans="1:6">
      <c r="A3794" s="32">
        <v>38168</v>
      </c>
      <c r="B3794">
        <v>13.3</v>
      </c>
      <c r="C3794">
        <v>13.6</v>
      </c>
      <c r="D3794">
        <v>13.2</v>
      </c>
      <c r="E3794">
        <v>13.2</v>
      </c>
      <c r="F3794">
        <v>0</v>
      </c>
    </row>
    <row r="3795" spans="1:6">
      <c r="A3795" s="32">
        <v>38167</v>
      </c>
      <c r="B3795">
        <v>13.3</v>
      </c>
      <c r="C3795">
        <v>13.5</v>
      </c>
      <c r="D3795">
        <v>12.9</v>
      </c>
      <c r="E3795">
        <v>13.2</v>
      </c>
      <c r="F3795">
        <v>0</v>
      </c>
    </row>
    <row r="3796" spans="1:6">
      <c r="A3796" s="32">
        <v>38166</v>
      </c>
      <c r="B3796">
        <v>13.1</v>
      </c>
      <c r="C3796">
        <v>13.3</v>
      </c>
      <c r="D3796">
        <v>12.8</v>
      </c>
      <c r="E3796">
        <v>13.2</v>
      </c>
      <c r="F3796">
        <v>0</v>
      </c>
    </row>
    <row r="3797" spans="1:6">
      <c r="A3797" s="32">
        <v>38163</v>
      </c>
      <c r="B3797">
        <v>12.8</v>
      </c>
      <c r="C3797">
        <v>13.4</v>
      </c>
      <c r="D3797">
        <v>12.8</v>
      </c>
      <c r="E3797">
        <v>13</v>
      </c>
      <c r="F3797">
        <v>0</v>
      </c>
    </row>
    <row r="3798" spans="1:6">
      <c r="A3798" s="32">
        <v>38162</v>
      </c>
      <c r="B3798">
        <v>13</v>
      </c>
      <c r="C3798">
        <v>13</v>
      </c>
      <c r="D3798">
        <v>12.6</v>
      </c>
      <c r="E3798">
        <v>12.8</v>
      </c>
      <c r="F3798">
        <v>0</v>
      </c>
    </row>
    <row r="3799" spans="1:6">
      <c r="A3799" s="32">
        <v>38161</v>
      </c>
      <c r="B3799">
        <v>12.5</v>
      </c>
      <c r="C3799">
        <v>12.9</v>
      </c>
      <c r="D3799">
        <v>12.3</v>
      </c>
      <c r="E3799">
        <v>12.9</v>
      </c>
      <c r="F3799">
        <v>0</v>
      </c>
    </row>
    <row r="3800" spans="1:6">
      <c r="A3800" s="32">
        <v>38160</v>
      </c>
      <c r="B3800">
        <v>12.9</v>
      </c>
      <c r="C3800">
        <v>13</v>
      </c>
      <c r="D3800">
        <v>12.2</v>
      </c>
      <c r="E3800">
        <v>12.3</v>
      </c>
      <c r="F3800">
        <v>0</v>
      </c>
    </row>
    <row r="3801" spans="1:6">
      <c r="A3801" s="32">
        <v>38159</v>
      </c>
      <c r="B3801">
        <v>12.4</v>
      </c>
      <c r="C3801">
        <v>13.2</v>
      </c>
      <c r="D3801">
        <v>12.1</v>
      </c>
      <c r="E3801">
        <v>13</v>
      </c>
      <c r="F3801">
        <v>0</v>
      </c>
    </row>
    <row r="3802" spans="1:6">
      <c r="A3802" s="32">
        <v>38156</v>
      </c>
      <c r="B3802">
        <v>11.7</v>
      </c>
      <c r="C3802">
        <v>12.2</v>
      </c>
      <c r="D3802">
        <v>11.7</v>
      </c>
      <c r="E3802">
        <v>12.2</v>
      </c>
      <c r="F3802">
        <v>0</v>
      </c>
    </row>
    <row r="3803" spans="1:6">
      <c r="A3803" s="32">
        <v>38155</v>
      </c>
      <c r="B3803">
        <v>11.6</v>
      </c>
      <c r="C3803">
        <v>11.9</v>
      </c>
      <c r="D3803">
        <v>11.6</v>
      </c>
      <c r="E3803">
        <v>11.6</v>
      </c>
      <c r="F3803">
        <v>0</v>
      </c>
    </row>
    <row r="3804" spans="1:6">
      <c r="A3804" s="32">
        <v>38154</v>
      </c>
      <c r="B3804">
        <v>11.7</v>
      </c>
      <c r="C3804">
        <v>11.7</v>
      </c>
      <c r="D3804">
        <v>11.6</v>
      </c>
      <c r="E3804">
        <v>11.6</v>
      </c>
      <c r="F3804">
        <v>0</v>
      </c>
    </row>
    <row r="3805" spans="1:6">
      <c r="A3805" s="32">
        <v>38153</v>
      </c>
      <c r="B3805">
        <v>11.7</v>
      </c>
      <c r="C3805">
        <v>11.7</v>
      </c>
      <c r="D3805">
        <v>11.6</v>
      </c>
      <c r="E3805">
        <v>11.6</v>
      </c>
      <c r="F3805">
        <v>0</v>
      </c>
    </row>
    <row r="3806" spans="1:6">
      <c r="A3806" s="32">
        <v>38152</v>
      </c>
      <c r="B3806">
        <v>11.6</v>
      </c>
      <c r="C3806">
        <v>11.8</v>
      </c>
      <c r="D3806">
        <v>11.6</v>
      </c>
      <c r="E3806">
        <v>11.6</v>
      </c>
      <c r="F3806">
        <v>0</v>
      </c>
    </row>
    <row r="3807" spans="1:6">
      <c r="A3807" s="32">
        <v>38149</v>
      </c>
      <c r="B3807">
        <v>11.6</v>
      </c>
      <c r="C3807">
        <v>11.8</v>
      </c>
      <c r="D3807">
        <v>11.6</v>
      </c>
      <c r="E3807">
        <v>11.6</v>
      </c>
      <c r="F3807">
        <v>0</v>
      </c>
    </row>
    <row r="3808" spans="1:6">
      <c r="A3808" s="32">
        <v>38148</v>
      </c>
      <c r="B3808">
        <v>11.7</v>
      </c>
      <c r="C3808">
        <v>11.8</v>
      </c>
      <c r="D3808">
        <v>11.6</v>
      </c>
      <c r="E3808">
        <v>11.7</v>
      </c>
      <c r="F3808">
        <v>0</v>
      </c>
    </row>
    <row r="3809" spans="1:6">
      <c r="A3809" s="32">
        <v>38147</v>
      </c>
      <c r="B3809">
        <v>11.7</v>
      </c>
      <c r="C3809">
        <v>11.7</v>
      </c>
      <c r="D3809">
        <v>11.5</v>
      </c>
      <c r="E3809">
        <v>11.5</v>
      </c>
      <c r="F3809">
        <v>0</v>
      </c>
    </row>
    <row r="3810" spans="1:6">
      <c r="A3810" s="32">
        <v>38146</v>
      </c>
      <c r="B3810">
        <v>11.6</v>
      </c>
      <c r="C3810">
        <v>11.9</v>
      </c>
      <c r="D3810">
        <v>11.5</v>
      </c>
      <c r="E3810">
        <v>11.5</v>
      </c>
      <c r="F3810">
        <v>0</v>
      </c>
    </row>
    <row r="3811" spans="1:6">
      <c r="A3811" s="32">
        <v>38145</v>
      </c>
      <c r="B3811">
        <v>11.5</v>
      </c>
      <c r="C3811">
        <v>11.8</v>
      </c>
      <c r="D3811">
        <v>11.5</v>
      </c>
      <c r="E3811">
        <v>11.6</v>
      </c>
      <c r="F3811">
        <v>0</v>
      </c>
    </row>
    <row r="3812" spans="1:6">
      <c r="A3812" s="32">
        <v>38142</v>
      </c>
      <c r="B3812">
        <v>11.4</v>
      </c>
      <c r="C3812">
        <v>11.5</v>
      </c>
      <c r="D3812">
        <v>11.4</v>
      </c>
      <c r="E3812">
        <v>11.5</v>
      </c>
      <c r="F3812">
        <v>0</v>
      </c>
    </row>
    <row r="3813" spans="1:6">
      <c r="A3813" s="32">
        <v>38141</v>
      </c>
      <c r="B3813">
        <v>11.6</v>
      </c>
      <c r="C3813">
        <v>11.6</v>
      </c>
      <c r="D3813">
        <v>11.4</v>
      </c>
      <c r="E3813">
        <v>11.4</v>
      </c>
      <c r="F3813">
        <v>0</v>
      </c>
    </row>
    <row r="3814" spans="1:6">
      <c r="A3814" s="32">
        <v>38139</v>
      </c>
      <c r="B3814">
        <v>11.5</v>
      </c>
      <c r="C3814">
        <v>11.5</v>
      </c>
      <c r="D3814">
        <v>11.3</v>
      </c>
      <c r="E3814">
        <v>11.5</v>
      </c>
      <c r="F3814">
        <v>0</v>
      </c>
    </row>
    <row r="3815" spans="1:6">
      <c r="A3815" s="32">
        <v>38138</v>
      </c>
      <c r="B3815">
        <v>11.3</v>
      </c>
      <c r="C3815">
        <v>11.8</v>
      </c>
      <c r="D3815">
        <v>11.3</v>
      </c>
      <c r="E3815">
        <v>11.5</v>
      </c>
      <c r="F3815">
        <v>0</v>
      </c>
    </row>
    <row r="3816" spans="1:6">
      <c r="A3816" s="32">
        <v>38135</v>
      </c>
      <c r="B3816">
        <v>11.4</v>
      </c>
      <c r="C3816">
        <v>11.7</v>
      </c>
      <c r="D3816">
        <v>11.4</v>
      </c>
      <c r="E3816">
        <v>11.5</v>
      </c>
      <c r="F3816">
        <v>0</v>
      </c>
    </row>
    <row r="3817" spans="1:6">
      <c r="A3817" s="32">
        <v>38134</v>
      </c>
      <c r="B3817">
        <v>11.2</v>
      </c>
      <c r="C3817">
        <v>11.4</v>
      </c>
      <c r="D3817">
        <v>11.2</v>
      </c>
      <c r="E3817">
        <v>11.3</v>
      </c>
      <c r="F3817">
        <v>0</v>
      </c>
    </row>
    <row r="3818" spans="1:6">
      <c r="A3818" s="32">
        <v>38133</v>
      </c>
      <c r="B3818">
        <v>11.2</v>
      </c>
      <c r="C3818">
        <v>11.2</v>
      </c>
      <c r="D3818">
        <v>11.1</v>
      </c>
      <c r="E3818">
        <v>11.2</v>
      </c>
      <c r="F3818">
        <v>0</v>
      </c>
    </row>
    <row r="3819" spans="1:6">
      <c r="A3819" s="32">
        <v>38132</v>
      </c>
      <c r="B3819">
        <v>11</v>
      </c>
      <c r="C3819">
        <v>11</v>
      </c>
      <c r="D3819">
        <v>10.8</v>
      </c>
      <c r="E3819">
        <v>11</v>
      </c>
      <c r="F3819">
        <v>0</v>
      </c>
    </row>
    <row r="3820" spans="1:6">
      <c r="A3820" s="32">
        <v>38131</v>
      </c>
      <c r="B3820">
        <v>11.3</v>
      </c>
      <c r="C3820">
        <v>11.6</v>
      </c>
      <c r="D3820">
        <v>11.1</v>
      </c>
      <c r="E3820">
        <v>11.1</v>
      </c>
      <c r="F3820">
        <v>0</v>
      </c>
    </row>
    <row r="3821" spans="1:6">
      <c r="A3821" s="32">
        <v>38128</v>
      </c>
      <c r="B3821">
        <v>11.2</v>
      </c>
      <c r="C3821">
        <v>11.3</v>
      </c>
      <c r="D3821">
        <v>11.1</v>
      </c>
      <c r="E3821">
        <v>11.3</v>
      </c>
      <c r="F3821">
        <v>0</v>
      </c>
    </row>
    <row r="3822" spans="1:6">
      <c r="A3822" s="32">
        <v>38127</v>
      </c>
      <c r="B3822">
        <v>11</v>
      </c>
      <c r="C3822">
        <v>11.1</v>
      </c>
      <c r="D3822">
        <v>11</v>
      </c>
      <c r="E3822">
        <v>11</v>
      </c>
      <c r="F3822">
        <v>0</v>
      </c>
    </row>
    <row r="3823" spans="1:6">
      <c r="A3823" s="32">
        <v>38126</v>
      </c>
      <c r="B3823">
        <v>10.8</v>
      </c>
      <c r="C3823">
        <v>11.1</v>
      </c>
      <c r="D3823">
        <v>10.8</v>
      </c>
      <c r="E3823">
        <v>11</v>
      </c>
      <c r="F3823">
        <v>0</v>
      </c>
    </row>
    <row r="3824" spans="1:6">
      <c r="A3824" s="32">
        <v>38125</v>
      </c>
      <c r="B3824">
        <v>10.8</v>
      </c>
      <c r="C3824">
        <v>10.9</v>
      </c>
      <c r="D3824">
        <v>10.6</v>
      </c>
      <c r="E3824">
        <v>10.6</v>
      </c>
      <c r="F3824">
        <v>0</v>
      </c>
    </row>
    <row r="3825" spans="1:6">
      <c r="A3825" s="32">
        <v>38124</v>
      </c>
      <c r="B3825">
        <v>11.4</v>
      </c>
      <c r="C3825">
        <v>11.4</v>
      </c>
      <c r="D3825">
        <v>10.8</v>
      </c>
      <c r="E3825">
        <v>10.8</v>
      </c>
      <c r="F3825">
        <v>0</v>
      </c>
    </row>
    <row r="3826" spans="1:6">
      <c r="A3826" s="32">
        <v>38121</v>
      </c>
      <c r="B3826">
        <v>11.6</v>
      </c>
      <c r="C3826">
        <v>11.6</v>
      </c>
      <c r="D3826">
        <v>11.4</v>
      </c>
      <c r="E3826">
        <v>11.5</v>
      </c>
      <c r="F3826">
        <v>0</v>
      </c>
    </row>
    <row r="3827" spans="1:6">
      <c r="A3827" s="32">
        <v>38120</v>
      </c>
      <c r="B3827">
        <v>11.4</v>
      </c>
      <c r="C3827">
        <v>11.4</v>
      </c>
      <c r="D3827">
        <v>11.4</v>
      </c>
      <c r="E3827">
        <v>11.4</v>
      </c>
      <c r="F3827">
        <v>0</v>
      </c>
    </row>
    <row r="3828" spans="1:6">
      <c r="A3828" s="32">
        <v>38119</v>
      </c>
      <c r="B3828">
        <v>11.5</v>
      </c>
      <c r="C3828">
        <v>11.8</v>
      </c>
      <c r="D3828">
        <v>11.4</v>
      </c>
      <c r="E3828">
        <v>11.4</v>
      </c>
      <c r="F3828">
        <v>0</v>
      </c>
    </row>
    <row r="3829" spans="1:6">
      <c r="A3829" s="32">
        <v>38118</v>
      </c>
      <c r="B3829">
        <v>11.2</v>
      </c>
      <c r="C3829">
        <v>11.7</v>
      </c>
      <c r="D3829">
        <v>11.2</v>
      </c>
      <c r="E3829">
        <v>11.5</v>
      </c>
      <c r="F3829">
        <v>0</v>
      </c>
    </row>
    <row r="3830" spans="1:6">
      <c r="A3830" s="32">
        <v>38117</v>
      </c>
      <c r="B3830">
        <v>11.6</v>
      </c>
      <c r="C3830">
        <v>11.6</v>
      </c>
      <c r="D3830">
        <v>11.2</v>
      </c>
      <c r="E3830">
        <v>11.2</v>
      </c>
      <c r="F3830">
        <v>0</v>
      </c>
    </row>
    <row r="3831" spans="1:6">
      <c r="A3831" s="32">
        <v>38114</v>
      </c>
      <c r="B3831">
        <v>11.6</v>
      </c>
      <c r="C3831">
        <v>11.7</v>
      </c>
      <c r="D3831">
        <v>11.4</v>
      </c>
      <c r="E3831">
        <v>11.7</v>
      </c>
      <c r="F3831">
        <v>0</v>
      </c>
    </row>
    <row r="3832" spans="1:6">
      <c r="A3832" s="32">
        <v>38113</v>
      </c>
      <c r="B3832">
        <v>11.7</v>
      </c>
      <c r="C3832">
        <v>11.7</v>
      </c>
      <c r="D3832">
        <v>11.5</v>
      </c>
      <c r="E3832">
        <v>11.6</v>
      </c>
      <c r="F3832">
        <v>0</v>
      </c>
    </row>
    <row r="3833" spans="1:6">
      <c r="A3833" s="32">
        <v>38111</v>
      </c>
      <c r="B3833">
        <v>11.6</v>
      </c>
      <c r="C3833">
        <v>11.6</v>
      </c>
      <c r="D3833">
        <v>11.6</v>
      </c>
      <c r="E3833">
        <v>11.6</v>
      </c>
      <c r="F3833">
        <v>0</v>
      </c>
    </row>
    <row r="3834" spans="1:6">
      <c r="A3834" s="32">
        <v>38107</v>
      </c>
      <c r="B3834">
        <v>11.6</v>
      </c>
      <c r="C3834">
        <v>11.9</v>
      </c>
      <c r="D3834">
        <v>11.6</v>
      </c>
      <c r="E3834">
        <v>11.6</v>
      </c>
      <c r="F3834">
        <v>0</v>
      </c>
    </row>
    <row r="3835" spans="1:6">
      <c r="A3835" s="32">
        <v>38106</v>
      </c>
      <c r="B3835">
        <v>12</v>
      </c>
      <c r="C3835">
        <v>12</v>
      </c>
      <c r="D3835">
        <v>11.6</v>
      </c>
      <c r="E3835">
        <v>11.6</v>
      </c>
      <c r="F3835">
        <v>0</v>
      </c>
    </row>
    <row r="3836" spans="1:6">
      <c r="A3836" s="32">
        <v>38105</v>
      </c>
      <c r="B3836">
        <v>11.9</v>
      </c>
      <c r="C3836">
        <v>12.1</v>
      </c>
      <c r="D3836">
        <v>11.8</v>
      </c>
      <c r="E3836">
        <v>11.9</v>
      </c>
      <c r="F3836">
        <v>0</v>
      </c>
    </row>
    <row r="3837" spans="1:6">
      <c r="A3837" s="32">
        <v>38104</v>
      </c>
      <c r="B3837">
        <v>11.7</v>
      </c>
      <c r="C3837">
        <v>12</v>
      </c>
      <c r="D3837">
        <v>11.7</v>
      </c>
      <c r="E3837">
        <v>12</v>
      </c>
      <c r="F3837">
        <v>0</v>
      </c>
    </row>
    <row r="3838" spans="1:6">
      <c r="A3838" s="32">
        <v>38103</v>
      </c>
      <c r="B3838">
        <v>11.9</v>
      </c>
      <c r="C3838">
        <v>11.9</v>
      </c>
      <c r="D3838">
        <v>11.7</v>
      </c>
      <c r="E3838">
        <v>11.8</v>
      </c>
      <c r="F3838">
        <v>0</v>
      </c>
    </row>
    <row r="3839" spans="1:6">
      <c r="A3839" s="32">
        <v>38100</v>
      </c>
      <c r="B3839">
        <v>11.9</v>
      </c>
      <c r="C3839">
        <v>12.1</v>
      </c>
      <c r="D3839">
        <v>11.8</v>
      </c>
      <c r="E3839">
        <v>12</v>
      </c>
      <c r="F3839">
        <v>0</v>
      </c>
    </row>
    <row r="3840" spans="1:6">
      <c r="A3840" s="32">
        <v>38099</v>
      </c>
      <c r="B3840">
        <v>12.1</v>
      </c>
      <c r="C3840">
        <v>12.1</v>
      </c>
      <c r="D3840">
        <v>11.8</v>
      </c>
      <c r="E3840">
        <v>11.8</v>
      </c>
      <c r="F3840">
        <v>0</v>
      </c>
    </row>
    <row r="3841" spans="1:6">
      <c r="A3841" s="32">
        <v>38098</v>
      </c>
      <c r="B3841">
        <v>12.2</v>
      </c>
      <c r="C3841">
        <v>12.2</v>
      </c>
      <c r="D3841">
        <v>12</v>
      </c>
      <c r="E3841">
        <v>12</v>
      </c>
      <c r="F3841">
        <v>0</v>
      </c>
    </row>
    <row r="3842" spans="1:6">
      <c r="A3842" s="32">
        <v>38097</v>
      </c>
      <c r="B3842">
        <v>12</v>
      </c>
      <c r="C3842">
        <v>12.1</v>
      </c>
      <c r="D3842">
        <v>11.9</v>
      </c>
      <c r="E3842">
        <v>12</v>
      </c>
      <c r="F3842">
        <v>0</v>
      </c>
    </row>
    <row r="3843" spans="1:6">
      <c r="A3843" s="32">
        <v>38096</v>
      </c>
      <c r="B3843">
        <v>12.2</v>
      </c>
      <c r="C3843">
        <v>12.2</v>
      </c>
      <c r="D3843">
        <v>11.9</v>
      </c>
      <c r="E3843">
        <v>11.9</v>
      </c>
      <c r="F3843">
        <v>0</v>
      </c>
    </row>
    <row r="3844" spans="1:6">
      <c r="A3844" s="32">
        <v>38093</v>
      </c>
      <c r="B3844">
        <v>12.2</v>
      </c>
      <c r="C3844">
        <v>12.3</v>
      </c>
      <c r="D3844">
        <v>12.1</v>
      </c>
      <c r="E3844">
        <v>12.1</v>
      </c>
      <c r="F3844">
        <v>0</v>
      </c>
    </row>
    <row r="3845" spans="1:6">
      <c r="A3845" s="32">
        <v>38089</v>
      </c>
      <c r="B3845">
        <v>12.1</v>
      </c>
      <c r="C3845">
        <v>12.2</v>
      </c>
      <c r="D3845">
        <v>12</v>
      </c>
      <c r="E3845">
        <v>12.1</v>
      </c>
      <c r="F3845">
        <v>0</v>
      </c>
    </row>
    <row r="3846" spans="1:6">
      <c r="A3846" s="32">
        <v>38086</v>
      </c>
      <c r="B3846">
        <v>12.3</v>
      </c>
      <c r="C3846">
        <v>12.4</v>
      </c>
      <c r="D3846">
        <v>12.1</v>
      </c>
      <c r="E3846">
        <v>12.1</v>
      </c>
      <c r="F3846">
        <v>0</v>
      </c>
    </row>
    <row r="3847" spans="1:6">
      <c r="A3847" s="32">
        <v>38085</v>
      </c>
      <c r="B3847">
        <v>12.3</v>
      </c>
      <c r="C3847">
        <v>12.6</v>
      </c>
      <c r="D3847">
        <v>12.2</v>
      </c>
      <c r="E3847">
        <v>12.3</v>
      </c>
      <c r="F3847">
        <v>0</v>
      </c>
    </row>
    <row r="3848" spans="1:6">
      <c r="A3848" s="32">
        <v>38084</v>
      </c>
      <c r="B3848">
        <v>12.4</v>
      </c>
      <c r="C3848">
        <v>12.4</v>
      </c>
      <c r="D3848">
        <v>12.1</v>
      </c>
      <c r="E3848">
        <v>12.2</v>
      </c>
      <c r="F3848">
        <v>0</v>
      </c>
    </row>
    <row r="3849" spans="1:6">
      <c r="A3849" s="32">
        <v>38082</v>
      </c>
      <c r="B3849">
        <v>12.3</v>
      </c>
      <c r="C3849">
        <v>12.5</v>
      </c>
      <c r="D3849">
        <v>12.1</v>
      </c>
      <c r="E3849">
        <v>12.2</v>
      </c>
      <c r="F3849">
        <v>0</v>
      </c>
    </row>
    <row r="3850" spans="1:6">
      <c r="A3850" s="32">
        <v>38079</v>
      </c>
      <c r="B3850">
        <v>12.2</v>
      </c>
      <c r="C3850">
        <v>12.5</v>
      </c>
      <c r="D3850">
        <v>12.2</v>
      </c>
      <c r="E3850">
        <v>12.2</v>
      </c>
      <c r="F3850">
        <v>0</v>
      </c>
    </row>
    <row r="3851" spans="1:6">
      <c r="A3851" s="32">
        <v>38078</v>
      </c>
      <c r="B3851">
        <v>12</v>
      </c>
      <c r="C3851">
        <v>12.1</v>
      </c>
      <c r="D3851">
        <v>12</v>
      </c>
      <c r="E3851">
        <v>12</v>
      </c>
      <c r="F3851">
        <v>0</v>
      </c>
    </row>
    <row r="3852" spans="1:6">
      <c r="A3852" s="32">
        <v>38077</v>
      </c>
      <c r="B3852">
        <v>11.7</v>
      </c>
      <c r="C3852">
        <v>12.3</v>
      </c>
      <c r="D3852">
        <v>11.7</v>
      </c>
      <c r="E3852">
        <v>12.1</v>
      </c>
      <c r="F3852">
        <v>0</v>
      </c>
    </row>
    <row r="3853" spans="1:6">
      <c r="A3853" s="32">
        <v>38076</v>
      </c>
      <c r="B3853">
        <v>11.8</v>
      </c>
      <c r="C3853">
        <v>11.8</v>
      </c>
      <c r="D3853">
        <v>11.6</v>
      </c>
      <c r="E3853">
        <v>11.6</v>
      </c>
      <c r="F3853">
        <v>0</v>
      </c>
    </row>
    <row r="3854" spans="1:6">
      <c r="A3854" s="32">
        <v>38075</v>
      </c>
      <c r="B3854">
        <v>11.8</v>
      </c>
      <c r="C3854">
        <v>11.9</v>
      </c>
      <c r="D3854">
        <v>11.6</v>
      </c>
      <c r="E3854">
        <v>11.7</v>
      </c>
      <c r="F3854">
        <v>0</v>
      </c>
    </row>
    <row r="3855" spans="1:6">
      <c r="A3855" s="32">
        <v>38072</v>
      </c>
      <c r="B3855">
        <v>11.7</v>
      </c>
      <c r="C3855">
        <v>11.9</v>
      </c>
      <c r="D3855">
        <v>11.7</v>
      </c>
      <c r="E3855">
        <v>11.8</v>
      </c>
      <c r="F3855">
        <v>0</v>
      </c>
    </row>
    <row r="3856" spans="1:6">
      <c r="A3856" s="32">
        <v>38071</v>
      </c>
      <c r="B3856">
        <v>12</v>
      </c>
      <c r="C3856">
        <v>12</v>
      </c>
      <c r="D3856">
        <v>11.7</v>
      </c>
      <c r="E3856">
        <v>11.7</v>
      </c>
      <c r="F3856">
        <v>0</v>
      </c>
    </row>
    <row r="3857" spans="1:6">
      <c r="A3857" s="32">
        <v>38070</v>
      </c>
      <c r="B3857">
        <v>12</v>
      </c>
      <c r="C3857">
        <v>12.1</v>
      </c>
      <c r="D3857">
        <v>11.9</v>
      </c>
      <c r="E3857">
        <v>11.9</v>
      </c>
      <c r="F3857">
        <v>0</v>
      </c>
    </row>
    <row r="3858" spans="1:6">
      <c r="A3858" s="32">
        <v>38069</v>
      </c>
      <c r="B3858">
        <v>12</v>
      </c>
      <c r="C3858">
        <v>12.2</v>
      </c>
      <c r="D3858">
        <v>11.9</v>
      </c>
      <c r="E3858">
        <v>12</v>
      </c>
      <c r="F3858">
        <v>0</v>
      </c>
    </row>
    <row r="3859" spans="1:6">
      <c r="A3859" s="32">
        <v>38068</v>
      </c>
      <c r="B3859">
        <v>11.8</v>
      </c>
      <c r="C3859">
        <v>12</v>
      </c>
      <c r="D3859">
        <v>11.8</v>
      </c>
      <c r="E3859">
        <v>12</v>
      </c>
      <c r="F3859">
        <v>0</v>
      </c>
    </row>
    <row r="3860" spans="1:6">
      <c r="A3860" s="32">
        <v>38065</v>
      </c>
      <c r="B3860">
        <v>12.1</v>
      </c>
      <c r="C3860">
        <v>12.1</v>
      </c>
      <c r="D3860">
        <v>11.9</v>
      </c>
      <c r="E3860">
        <v>11.9</v>
      </c>
      <c r="F3860">
        <v>0</v>
      </c>
    </row>
    <row r="3861" spans="1:6">
      <c r="A3861" s="32">
        <v>38064</v>
      </c>
      <c r="B3861">
        <v>11.8</v>
      </c>
      <c r="C3861">
        <v>12.2</v>
      </c>
      <c r="D3861">
        <v>11.8</v>
      </c>
      <c r="E3861">
        <v>12</v>
      </c>
      <c r="F3861">
        <v>0</v>
      </c>
    </row>
    <row r="3862" spans="1:6">
      <c r="A3862" s="32">
        <v>38063</v>
      </c>
      <c r="B3862">
        <v>11.8</v>
      </c>
      <c r="C3862">
        <v>11.9</v>
      </c>
      <c r="D3862">
        <v>11.7</v>
      </c>
      <c r="E3862">
        <v>11.7</v>
      </c>
      <c r="F3862">
        <v>0</v>
      </c>
    </row>
    <row r="3863" spans="1:6">
      <c r="A3863" s="32">
        <v>38062</v>
      </c>
      <c r="B3863">
        <v>11.6</v>
      </c>
      <c r="C3863">
        <v>11.8</v>
      </c>
      <c r="D3863">
        <v>11.3</v>
      </c>
      <c r="E3863">
        <v>11.8</v>
      </c>
      <c r="F3863">
        <v>0</v>
      </c>
    </row>
    <row r="3864" spans="1:6">
      <c r="A3864" s="32">
        <v>38061</v>
      </c>
      <c r="B3864">
        <v>12</v>
      </c>
      <c r="C3864">
        <v>12.2</v>
      </c>
      <c r="D3864">
        <v>11.6</v>
      </c>
      <c r="E3864">
        <v>11.6</v>
      </c>
      <c r="F3864">
        <v>0</v>
      </c>
    </row>
    <row r="3865" spans="1:6">
      <c r="A3865" s="32">
        <v>38058</v>
      </c>
      <c r="B3865">
        <v>11.9</v>
      </c>
      <c r="C3865">
        <v>12.1</v>
      </c>
      <c r="D3865">
        <v>11.9</v>
      </c>
      <c r="E3865">
        <v>11.9</v>
      </c>
      <c r="F3865">
        <v>0</v>
      </c>
    </row>
    <row r="3866" spans="1:6">
      <c r="A3866" s="32">
        <v>38057</v>
      </c>
      <c r="B3866">
        <v>12</v>
      </c>
      <c r="C3866">
        <v>12</v>
      </c>
      <c r="D3866">
        <v>11.9</v>
      </c>
      <c r="E3866">
        <v>12</v>
      </c>
      <c r="F3866">
        <v>0</v>
      </c>
    </row>
    <row r="3867" spans="1:6">
      <c r="A3867" s="32">
        <v>38056</v>
      </c>
      <c r="B3867">
        <v>12.2</v>
      </c>
      <c r="C3867">
        <v>12.3</v>
      </c>
      <c r="D3867">
        <v>11.9</v>
      </c>
      <c r="E3867">
        <v>11.9</v>
      </c>
      <c r="F3867">
        <v>0</v>
      </c>
    </row>
    <row r="3868" spans="1:6">
      <c r="A3868" s="32">
        <v>38055</v>
      </c>
      <c r="B3868">
        <v>12.2</v>
      </c>
      <c r="C3868">
        <v>12.3</v>
      </c>
      <c r="D3868">
        <v>12.1</v>
      </c>
      <c r="E3868">
        <v>12.2</v>
      </c>
      <c r="F3868">
        <v>0</v>
      </c>
    </row>
    <row r="3869" spans="1:6">
      <c r="A3869" s="32">
        <v>38054</v>
      </c>
      <c r="B3869">
        <v>12.2</v>
      </c>
      <c r="C3869">
        <v>12.2</v>
      </c>
      <c r="D3869">
        <v>12.1</v>
      </c>
      <c r="E3869">
        <v>12.1</v>
      </c>
      <c r="F3869">
        <v>0</v>
      </c>
    </row>
    <row r="3870" spans="1:6">
      <c r="A3870" s="32">
        <v>38050</v>
      </c>
      <c r="B3870">
        <v>12</v>
      </c>
      <c r="C3870">
        <v>12.5</v>
      </c>
      <c r="D3870">
        <v>12</v>
      </c>
      <c r="E3870">
        <v>12.1</v>
      </c>
      <c r="F3870">
        <v>0</v>
      </c>
    </row>
    <row r="3871" spans="1:6">
      <c r="A3871" s="32">
        <v>38049</v>
      </c>
      <c r="B3871">
        <v>11.9</v>
      </c>
      <c r="C3871">
        <v>12.2</v>
      </c>
      <c r="D3871">
        <v>11.9</v>
      </c>
      <c r="E3871">
        <v>12</v>
      </c>
      <c r="F3871">
        <v>0</v>
      </c>
    </row>
    <row r="3872" spans="1:6">
      <c r="A3872" s="32">
        <v>38048</v>
      </c>
      <c r="B3872">
        <v>11.8</v>
      </c>
      <c r="C3872">
        <v>12.1</v>
      </c>
      <c r="D3872">
        <v>11.6</v>
      </c>
      <c r="E3872">
        <v>11.8</v>
      </c>
      <c r="F3872">
        <v>0</v>
      </c>
    </row>
    <row r="3873" spans="1:6">
      <c r="A3873" s="32">
        <v>38047</v>
      </c>
      <c r="B3873">
        <v>12.7</v>
      </c>
      <c r="C3873">
        <v>12.7</v>
      </c>
      <c r="D3873">
        <v>11.7</v>
      </c>
      <c r="E3873">
        <v>11.7</v>
      </c>
      <c r="F3873">
        <v>0</v>
      </c>
    </row>
    <row r="3874" spans="1:6">
      <c r="A3874" s="32">
        <v>38044</v>
      </c>
      <c r="B3874">
        <v>12.2</v>
      </c>
      <c r="C3874">
        <v>12.6</v>
      </c>
      <c r="D3874">
        <v>12.1</v>
      </c>
      <c r="E3874">
        <v>12.4</v>
      </c>
      <c r="F3874">
        <v>0</v>
      </c>
    </row>
    <row r="3875" spans="1:6">
      <c r="A3875" s="32">
        <v>38043</v>
      </c>
      <c r="B3875">
        <v>12.7</v>
      </c>
      <c r="C3875">
        <v>12.9</v>
      </c>
      <c r="D3875">
        <v>12.1</v>
      </c>
      <c r="E3875">
        <v>12.2</v>
      </c>
      <c r="F3875">
        <v>0</v>
      </c>
    </row>
    <row r="3876" spans="1:6">
      <c r="A3876" s="32">
        <v>38042</v>
      </c>
      <c r="B3876">
        <v>12.9</v>
      </c>
      <c r="C3876">
        <v>13.2</v>
      </c>
      <c r="D3876">
        <v>12.6</v>
      </c>
      <c r="E3876">
        <v>12.6</v>
      </c>
      <c r="F3876">
        <v>0</v>
      </c>
    </row>
    <row r="3877" spans="1:6">
      <c r="A3877" s="32">
        <v>38041</v>
      </c>
      <c r="B3877">
        <v>13.6</v>
      </c>
      <c r="C3877">
        <v>13.8</v>
      </c>
      <c r="D3877">
        <v>13.1</v>
      </c>
      <c r="E3877">
        <v>13.2</v>
      </c>
      <c r="F3877">
        <v>0</v>
      </c>
    </row>
    <row r="3878" spans="1:6">
      <c r="A3878" s="32">
        <v>38040</v>
      </c>
      <c r="B3878">
        <v>13</v>
      </c>
      <c r="C3878">
        <v>13.7</v>
      </c>
      <c r="D3878">
        <v>12.9</v>
      </c>
      <c r="E3878">
        <v>13.6</v>
      </c>
      <c r="F3878">
        <v>0</v>
      </c>
    </row>
    <row r="3879" spans="1:6">
      <c r="A3879" s="32">
        <v>38037</v>
      </c>
      <c r="B3879">
        <v>13.2</v>
      </c>
      <c r="C3879">
        <v>13.2</v>
      </c>
      <c r="D3879">
        <v>12.5</v>
      </c>
      <c r="E3879">
        <v>12.9</v>
      </c>
      <c r="F3879">
        <v>0</v>
      </c>
    </row>
    <row r="3880" spans="1:6">
      <c r="A3880" s="32">
        <v>38036</v>
      </c>
      <c r="B3880">
        <v>13.2</v>
      </c>
      <c r="C3880">
        <v>13.8</v>
      </c>
      <c r="D3880">
        <v>13.1</v>
      </c>
      <c r="E3880">
        <v>13.2</v>
      </c>
      <c r="F3880">
        <v>0</v>
      </c>
    </row>
    <row r="3881" spans="1:6">
      <c r="A3881" s="32">
        <v>38035</v>
      </c>
      <c r="B3881">
        <v>12.3</v>
      </c>
      <c r="C3881">
        <v>13.2</v>
      </c>
      <c r="D3881">
        <v>12.2</v>
      </c>
      <c r="E3881">
        <v>13.2</v>
      </c>
      <c r="F3881">
        <v>0</v>
      </c>
    </row>
    <row r="3882" spans="1:6">
      <c r="A3882" s="32">
        <v>38034</v>
      </c>
      <c r="B3882">
        <v>12.3</v>
      </c>
      <c r="C3882">
        <v>12.3</v>
      </c>
      <c r="D3882">
        <v>12.1</v>
      </c>
      <c r="E3882">
        <v>12.2</v>
      </c>
      <c r="F3882">
        <v>0</v>
      </c>
    </row>
    <row r="3883" spans="1:6">
      <c r="A3883" s="32">
        <v>38033</v>
      </c>
      <c r="B3883">
        <v>12.4</v>
      </c>
      <c r="C3883">
        <v>12.4</v>
      </c>
      <c r="D3883">
        <v>12.1</v>
      </c>
      <c r="E3883">
        <v>12.4</v>
      </c>
      <c r="F3883">
        <v>0</v>
      </c>
    </row>
    <row r="3884" spans="1:6">
      <c r="A3884" s="32">
        <v>38030</v>
      </c>
      <c r="B3884">
        <v>12.5</v>
      </c>
      <c r="C3884">
        <v>12.6</v>
      </c>
      <c r="D3884">
        <v>12.3</v>
      </c>
      <c r="E3884">
        <v>12.3</v>
      </c>
      <c r="F3884">
        <v>0</v>
      </c>
    </row>
    <row r="3885" spans="1:6">
      <c r="A3885" s="32">
        <v>38029</v>
      </c>
      <c r="B3885">
        <v>12.5</v>
      </c>
      <c r="C3885">
        <v>12.8</v>
      </c>
      <c r="D3885">
        <v>12.4</v>
      </c>
      <c r="E3885">
        <v>12.5</v>
      </c>
      <c r="F3885">
        <v>0</v>
      </c>
    </row>
    <row r="3886" spans="1:6">
      <c r="A3886" s="32">
        <v>38028</v>
      </c>
      <c r="B3886">
        <v>11.8</v>
      </c>
      <c r="C3886">
        <v>12.6</v>
      </c>
      <c r="D3886">
        <v>11.7</v>
      </c>
      <c r="E3886">
        <v>12.3</v>
      </c>
      <c r="F3886">
        <v>0</v>
      </c>
    </row>
    <row r="3887" spans="1:6">
      <c r="A3887" s="32">
        <v>38027</v>
      </c>
      <c r="B3887">
        <v>12</v>
      </c>
      <c r="C3887">
        <v>12.1</v>
      </c>
      <c r="D3887">
        <v>11.7</v>
      </c>
      <c r="E3887">
        <v>11.7</v>
      </c>
      <c r="F3887">
        <v>0</v>
      </c>
    </row>
    <row r="3888" spans="1:6">
      <c r="A3888" s="32">
        <v>38026</v>
      </c>
      <c r="B3888">
        <v>12.1</v>
      </c>
      <c r="C3888">
        <v>12.3</v>
      </c>
      <c r="D3888">
        <v>11.7</v>
      </c>
      <c r="E3888">
        <v>11.9</v>
      </c>
      <c r="F3888">
        <v>0</v>
      </c>
    </row>
    <row r="3889" spans="1:6">
      <c r="A3889" s="32">
        <v>38023</v>
      </c>
      <c r="B3889">
        <v>12.4</v>
      </c>
      <c r="C3889">
        <v>12.7</v>
      </c>
      <c r="D3889">
        <v>11.9</v>
      </c>
      <c r="E3889">
        <v>11.9</v>
      </c>
      <c r="F3889">
        <v>0</v>
      </c>
    </row>
    <row r="3890" spans="1:6">
      <c r="A3890" s="32">
        <v>38022</v>
      </c>
      <c r="B3890">
        <v>12.2</v>
      </c>
      <c r="C3890">
        <v>12.3</v>
      </c>
      <c r="D3890">
        <v>11.9</v>
      </c>
      <c r="E3890">
        <v>12.2</v>
      </c>
      <c r="F3890">
        <v>0</v>
      </c>
    </row>
    <row r="3891" spans="1:6">
      <c r="A3891" s="32">
        <v>38021</v>
      </c>
      <c r="B3891">
        <v>11.6</v>
      </c>
      <c r="C3891">
        <v>12</v>
      </c>
      <c r="D3891">
        <v>11.5</v>
      </c>
      <c r="E3891">
        <v>11.9</v>
      </c>
      <c r="F3891">
        <v>0</v>
      </c>
    </row>
    <row r="3892" spans="1:6">
      <c r="A3892" s="32">
        <v>38020</v>
      </c>
      <c r="B3892">
        <v>11.5</v>
      </c>
      <c r="C3892">
        <v>11.6</v>
      </c>
      <c r="D3892">
        <v>11.1</v>
      </c>
      <c r="E3892">
        <v>11.6</v>
      </c>
      <c r="F3892">
        <v>0</v>
      </c>
    </row>
    <row r="3893" spans="1:6">
      <c r="A3893" s="32">
        <v>38019</v>
      </c>
      <c r="B3893">
        <v>12.4</v>
      </c>
      <c r="C3893">
        <v>12.4</v>
      </c>
      <c r="D3893">
        <v>11.5</v>
      </c>
      <c r="E3893">
        <v>11.5</v>
      </c>
      <c r="F3893">
        <v>0</v>
      </c>
    </row>
    <row r="3894" spans="1:6">
      <c r="A3894" s="32">
        <v>38016</v>
      </c>
      <c r="B3894">
        <v>12.8</v>
      </c>
      <c r="C3894">
        <v>12.8</v>
      </c>
      <c r="D3894">
        <v>12.3</v>
      </c>
      <c r="E3894">
        <v>12.3</v>
      </c>
      <c r="F3894">
        <v>0</v>
      </c>
    </row>
    <row r="3895" spans="1:6">
      <c r="A3895" s="32">
        <v>38015</v>
      </c>
      <c r="B3895">
        <v>12.9</v>
      </c>
      <c r="C3895">
        <v>12.9</v>
      </c>
      <c r="D3895">
        <v>12.5</v>
      </c>
      <c r="E3895">
        <v>12.8</v>
      </c>
      <c r="F3895">
        <v>0</v>
      </c>
    </row>
    <row r="3896" spans="1:6">
      <c r="A3896" s="32">
        <v>38014</v>
      </c>
      <c r="B3896">
        <v>13</v>
      </c>
      <c r="C3896">
        <v>13</v>
      </c>
      <c r="D3896">
        <v>12.8</v>
      </c>
      <c r="E3896">
        <v>12.8</v>
      </c>
      <c r="F3896">
        <v>0</v>
      </c>
    </row>
    <row r="3897" spans="1:6">
      <c r="A3897" s="32">
        <v>38013</v>
      </c>
      <c r="B3897">
        <v>12.8</v>
      </c>
      <c r="C3897">
        <v>12.9</v>
      </c>
      <c r="D3897">
        <v>12.7</v>
      </c>
      <c r="E3897">
        <v>12.8</v>
      </c>
      <c r="F3897">
        <v>0</v>
      </c>
    </row>
    <row r="3898" spans="1:6">
      <c r="A3898" s="32">
        <v>38012</v>
      </c>
      <c r="B3898">
        <v>12.7</v>
      </c>
      <c r="C3898">
        <v>13</v>
      </c>
      <c r="D3898">
        <v>12.7</v>
      </c>
      <c r="E3898">
        <v>12.8</v>
      </c>
      <c r="F3898">
        <v>0</v>
      </c>
    </row>
    <row r="3899" spans="1:6">
      <c r="A3899" s="32">
        <v>38009</v>
      </c>
      <c r="B3899">
        <v>12.6</v>
      </c>
      <c r="C3899">
        <v>12.9</v>
      </c>
      <c r="D3899">
        <v>11</v>
      </c>
      <c r="E3899">
        <v>12.8</v>
      </c>
      <c r="F3899">
        <v>0</v>
      </c>
    </row>
    <row r="3900" spans="1:6">
      <c r="A3900" s="32">
        <v>38008</v>
      </c>
      <c r="B3900">
        <v>13</v>
      </c>
      <c r="C3900">
        <v>13.1</v>
      </c>
      <c r="D3900">
        <v>12.7</v>
      </c>
      <c r="E3900">
        <v>12.7</v>
      </c>
      <c r="F3900">
        <v>0</v>
      </c>
    </row>
    <row r="3901" spans="1:6">
      <c r="A3901" s="32">
        <v>38007</v>
      </c>
      <c r="B3901">
        <v>13.1</v>
      </c>
      <c r="C3901">
        <v>13.4</v>
      </c>
      <c r="D3901">
        <v>12.7</v>
      </c>
      <c r="E3901">
        <v>12.9</v>
      </c>
      <c r="F3901">
        <v>0</v>
      </c>
    </row>
    <row r="3902" spans="1:6">
      <c r="A3902" s="32">
        <v>38006</v>
      </c>
      <c r="B3902">
        <v>13.2</v>
      </c>
      <c r="C3902">
        <v>13.3</v>
      </c>
      <c r="D3902">
        <v>12.9</v>
      </c>
      <c r="E3902">
        <v>12.9</v>
      </c>
      <c r="F3902">
        <v>0</v>
      </c>
    </row>
    <row r="3903" spans="1:6">
      <c r="A3903" s="32">
        <v>38005</v>
      </c>
      <c r="B3903">
        <v>13.2</v>
      </c>
      <c r="C3903">
        <v>13.6</v>
      </c>
      <c r="D3903">
        <v>13.1</v>
      </c>
      <c r="E3903">
        <v>13.1</v>
      </c>
      <c r="F3903">
        <v>0</v>
      </c>
    </row>
    <row r="3904" spans="1:6">
      <c r="A3904" s="32">
        <v>38002</v>
      </c>
      <c r="B3904">
        <v>12.9</v>
      </c>
      <c r="C3904">
        <v>13.2</v>
      </c>
      <c r="D3904">
        <v>12.9</v>
      </c>
      <c r="E3904">
        <v>13.2</v>
      </c>
      <c r="F3904">
        <v>0</v>
      </c>
    </row>
    <row r="3905" spans="1:6">
      <c r="A3905" s="32">
        <v>38001</v>
      </c>
      <c r="B3905">
        <v>13.6</v>
      </c>
      <c r="C3905">
        <v>13.7</v>
      </c>
      <c r="D3905">
        <v>12.9</v>
      </c>
      <c r="E3905">
        <v>12.9</v>
      </c>
      <c r="F3905">
        <v>0</v>
      </c>
    </row>
    <row r="3906" spans="1:6">
      <c r="A3906" s="32">
        <v>38000</v>
      </c>
      <c r="B3906">
        <v>12.9</v>
      </c>
      <c r="C3906">
        <v>13.6</v>
      </c>
      <c r="D3906">
        <v>12.9</v>
      </c>
      <c r="E3906">
        <v>13.4</v>
      </c>
      <c r="F3906">
        <v>0</v>
      </c>
    </row>
    <row r="3907" spans="1:6">
      <c r="A3907" s="32">
        <v>37999</v>
      </c>
      <c r="B3907">
        <v>13.2</v>
      </c>
      <c r="C3907">
        <v>13.4</v>
      </c>
      <c r="D3907">
        <v>12.8</v>
      </c>
      <c r="E3907">
        <v>12.9</v>
      </c>
      <c r="F3907">
        <v>0</v>
      </c>
    </row>
    <row r="3908" spans="1:6">
      <c r="A3908" s="32">
        <v>37998</v>
      </c>
      <c r="B3908">
        <v>13.6</v>
      </c>
      <c r="C3908">
        <v>13.6</v>
      </c>
      <c r="D3908">
        <v>13.1</v>
      </c>
      <c r="E3908">
        <v>13.2</v>
      </c>
      <c r="F3908">
        <v>0</v>
      </c>
    </row>
    <row r="3909" spans="1:6">
      <c r="A3909" s="32">
        <v>37995</v>
      </c>
      <c r="B3909">
        <v>13.3</v>
      </c>
      <c r="C3909">
        <v>13.8</v>
      </c>
      <c r="D3909">
        <v>13.2</v>
      </c>
      <c r="E3909">
        <v>13.4</v>
      </c>
      <c r="F3909">
        <v>0</v>
      </c>
    </row>
    <row r="3910" spans="1:6">
      <c r="A3910" s="32">
        <v>37994</v>
      </c>
      <c r="B3910">
        <v>13.5</v>
      </c>
      <c r="C3910">
        <v>13.5</v>
      </c>
      <c r="D3910">
        <v>13.1</v>
      </c>
      <c r="E3910">
        <v>13.1</v>
      </c>
      <c r="F3910">
        <v>0</v>
      </c>
    </row>
    <row r="3911" spans="1:6">
      <c r="A3911" s="32">
        <v>37993</v>
      </c>
      <c r="B3911">
        <v>13</v>
      </c>
      <c r="C3911">
        <v>13.3</v>
      </c>
      <c r="D3911">
        <v>13</v>
      </c>
      <c r="E3911">
        <v>13</v>
      </c>
      <c r="F3911">
        <v>0</v>
      </c>
    </row>
    <row r="3912" spans="1:6">
      <c r="A3912" s="32">
        <v>37992</v>
      </c>
      <c r="B3912">
        <v>13.5</v>
      </c>
      <c r="C3912">
        <v>13.8</v>
      </c>
      <c r="D3912">
        <v>12.9</v>
      </c>
      <c r="E3912">
        <v>13.1</v>
      </c>
      <c r="F3912">
        <v>0</v>
      </c>
    </row>
    <row r="3913" spans="1:6">
      <c r="A3913" s="32">
        <v>37991</v>
      </c>
      <c r="B3913">
        <v>13.9</v>
      </c>
      <c r="C3913">
        <v>13.9</v>
      </c>
      <c r="D3913">
        <v>13.4</v>
      </c>
      <c r="E3913">
        <v>13.4</v>
      </c>
      <c r="F3913">
        <v>0</v>
      </c>
    </row>
    <row r="3914" spans="1:6">
      <c r="A3914" s="32">
        <v>37986</v>
      </c>
      <c r="B3914">
        <v>13.8</v>
      </c>
      <c r="C3914">
        <v>14</v>
      </c>
      <c r="D3914">
        <v>13.6</v>
      </c>
      <c r="E3914">
        <v>13.9</v>
      </c>
      <c r="F3914">
        <v>0</v>
      </c>
    </row>
    <row r="3915" spans="1:6">
      <c r="A3915" s="32">
        <v>37985</v>
      </c>
      <c r="B3915">
        <v>13.9</v>
      </c>
      <c r="C3915">
        <v>14.1</v>
      </c>
      <c r="D3915">
        <v>13.4</v>
      </c>
      <c r="E3915">
        <v>13.5</v>
      </c>
      <c r="F3915">
        <v>0</v>
      </c>
    </row>
    <row r="3916" spans="1:6">
      <c r="A3916" s="32">
        <v>37984</v>
      </c>
      <c r="B3916">
        <v>14</v>
      </c>
      <c r="C3916">
        <v>14.3</v>
      </c>
      <c r="D3916">
        <v>13.9</v>
      </c>
      <c r="E3916">
        <v>13.9</v>
      </c>
      <c r="F3916">
        <v>0</v>
      </c>
    </row>
    <row r="3917" spans="1:6">
      <c r="A3917" s="32">
        <v>37981</v>
      </c>
      <c r="B3917">
        <v>13.9</v>
      </c>
      <c r="C3917">
        <v>14.4</v>
      </c>
      <c r="D3917">
        <v>13.8</v>
      </c>
      <c r="E3917">
        <v>14</v>
      </c>
      <c r="F3917">
        <v>0</v>
      </c>
    </row>
    <row r="3918" spans="1:6">
      <c r="A3918" s="32">
        <v>37980</v>
      </c>
      <c r="B3918">
        <v>14.4</v>
      </c>
      <c r="C3918">
        <v>14.4</v>
      </c>
      <c r="D3918">
        <v>13.9</v>
      </c>
      <c r="E3918">
        <v>13.9</v>
      </c>
      <c r="F3918">
        <v>0</v>
      </c>
    </row>
    <row r="3919" spans="1:6">
      <c r="A3919" s="32">
        <v>37979</v>
      </c>
      <c r="B3919">
        <v>14.6</v>
      </c>
      <c r="C3919">
        <v>14.6</v>
      </c>
      <c r="D3919">
        <v>14.2</v>
      </c>
      <c r="E3919">
        <v>14.3</v>
      </c>
      <c r="F3919">
        <v>0</v>
      </c>
    </row>
    <row r="3920" spans="1:6">
      <c r="A3920" s="32">
        <v>37978</v>
      </c>
      <c r="B3920">
        <v>15.1</v>
      </c>
      <c r="C3920">
        <v>15.2</v>
      </c>
      <c r="D3920">
        <v>14.4</v>
      </c>
      <c r="E3920">
        <v>14.4</v>
      </c>
      <c r="F3920">
        <v>0</v>
      </c>
    </row>
    <row r="3921" spans="1:6">
      <c r="A3921" s="32">
        <v>37977</v>
      </c>
      <c r="B3921">
        <v>15.2</v>
      </c>
      <c r="C3921">
        <v>15.6</v>
      </c>
      <c r="D3921">
        <v>14.9</v>
      </c>
      <c r="E3921">
        <v>15</v>
      </c>
      <c r="F3921">
        <v>0</v>
      </c>
    </row>
    <row r="3922" spans="1:6">
      <c r="A3922" s="32">
        <v>37974</v>
      </c>
      <c r="B3922">
        <v>14.7</v>
      </c>
      <c r="C3922">
        <v>15.2</v>
      </c>
      <c r="D3922">
        <v>14.1</v>
      </c>
      <c r="E3922">
        <v>15</v>
      </c>
      <c r="F3922">
        <v>0</v>
      </c>
    </row>
    <row r="3923" spans="1:6">
      <c r="A3923" s="32">
        <v>37973</v>
      </c>
      <c r="B3923">
        <v>15.2</v>
      </c>
      <c r="C3923">
        <v>15.3</v>
      </c>
      <c r="D3923">
        <v>14.4</v>
      </c>
      <c r="E3923">
        <v>14.5</v>
      </c>
      <c r="F3923">
        <v>0</v>
      </c>
    </row>
    <row r="3924" spans="1:6">
      <c r="A3924" s="32">
        <v>37972</v>
      </c>
      <c r="B3924">
        <v>14.2</v>
      </c>
      <c r="C3924">
        <v>15.1</v>
      </c>
      <c r="D3924">
        <v>14</v>
      </c>
      <c r="E3924">
        <v>15.1</v>
      </c>
      <c r="F3924">
        <v>0</v>
      </c>
    </row>
    <row r="3925" spans="1:6">
      <c r="A3925" s="32">
        <v>37971</v>
      </c>
      <c r="B3925">
        <v>14</v>
      </c>
      <c r="C3925">
        <v>14.2</v>
      </c>
      <c r="D3925">
        <v>13.8</v>
      </c>
      <c r="E3925">
        <v>14</v>
      </c>
      <c r="F3925">
        <v>0</v>
      </c>
    </row>
    <row r="3926" spans="1:6">
      <c r="A3926" s="32">
        <v>37970</v>
      </c>
      <c r="B3926">
        <v>13.6</v>
      </c>
      <c r="C3926">
        <v>14.2</v>
      </c>
      <c r="D3926">
        <v>13.6</v>
      </c>
      <c r="E3926">
        <v>14</v>
      </c>
      <c r="F3926">
        <v>0</v>
      </c>
    </row>
    <row r="3927" spans="1:6">
      <c r="A3927" s="32">
        <v>37967</v>
      </c>
      <c r="B3927">
        <v>13.8</v>
      </c>
      <c r="C3927">
        <v>14</v>
      </c>
      <c r="D3927">
        <v>13.3</v>
      </c>
      <c r="E3927">
        <v>13.6</v>
      </c>
      <c r="F3927">
        <v>0</v>
      </c>
    </row>
    <row r="3928" spans="1:6">
      <c r="A3928" s="32">
        <v>37966</v>
      </c>
      <c r="B3928">
        <v>14.8</v>
      </c>
      <c r="C3928">
        <v>15.2</v>
      </c>
      <c r="D3928">
        <v>13.4</v>
      </c>
      <c r="E3928">
        <v>13.8</v>
      </c>
      <c r="F3928">
        <v>0</v>
      </c>
    </row>
    <row r="3929" spans="1:6">
      <c r="A3929" s="32">
        <v>37964</v>
      </c>
      <c r="B3929">
        <v>15.3</v>
      </c>
      <c r="C3929">
        <v>15.4</v>
      </c>
      <c r="D3929">
        <v>14.8</v>
      </c>
      <c r="E3929">
        <v>14.9</v>
      </c>
      <c r="F3929">
        <v>0</v>
      </c>
    </row>
    <row r="3930" spans="1:6">
      <c r="A3930" s="32">
        <v>37963</v>
      </c>
      <c r="B3930">
        <v>15.6</v>
      </c>
      <c r="C3930">
        <v>15.7</v>
      </c>
      <c r="D3930">
        <v>15.2</v>
      </c>
      <c r="E3930">
        <v>15.2</v>
      </c>
      <c r="F3930">
        <v>0</v>
      </c>
    </row>
    <row r="3931" spans="1:6">
      <c r="A3931" s="32">
        <v>37959</v>
      </c>
      <c r="B3931">
        <v>15.5</v>
      </c>
      <c r="C3931">
        <v>16</v>
      </c>
      <c r="D3931">
        <v>15.2</v>
      </c>
      <c r="E3931">
        <v>15.5</v>
      </c>
      <c r="F3931">
        <v>0</v>
      </c>
    </row>
    <row r="3932" spans="1:6">
      <c r="A3932" s="32">
        <v>37958</v>
      </c>
      <c r="B3932">
        <v>15.2</v>
      </c>
      <c r="C3932">
        <v>15.7</v>
      </c>
      <c r="D3932">
        <v>15</v>
      </c>
      <c r="E3932">
        <v>15.3</v>
      </c>
      <c r="F3932">
        <v>0</v>
      </c>
    </row>
    <row r="3933" spans="1:6">
      <c r="A3933" s="32">
        <v>37957</v>
      </c>
      <c r="B3933">
        <v>15.3</v>
      </c>
      <c r="C3933">
        <v>15.4</v>
      </c>
      <c r="D3933">
        <v>15.1</v>
      </c>
      <c r="E3933">
        <v>15.1</v>
      </c>
      <c r="F3933">
        <v>0</v>
      </c>
    </row>
    <row r="3934" spans="1:6">
      <c r="A3934" s="32">
        <v>37956</v>
      </c>
      <c r="B3934">
        <v>15.8</v>
      </c>
      <c r="C3934">
        <v>15.9</v>
      </c>
      <c r="D3934">
        <v>14.9</v>
      </c>
      <c r="E3934">
        <v>15.1</v>
      </c>
      <c r="F3934">
        <v>0</v>
      </c>
    </row>
    <row r="3935" spans="1:6">
      <c r="A3935" s="32">
        <v>37953</v>
      </c>
      <c r="B3935">
        <v>16.100000000000001</v>
      </c>
      <c r="C3935">
        <v>16.100000000000001</v>
      </c>
      <c r="D3935">
        <v>15.6</v>
      </c>
      <c r="E3935">
        <v>15.6</v>
      </c>
      <c r="F3935">
        <v>0</v>
      </c>
    </row>
    <row r="3936" spans="1:6">
      <c r="A3936" s="32">
        <v>37952</v>
      </c>
      <c r="B3936">
        <v>16.100000000000001</v>
      </c>
      <c r="C3936">
        <v>16.399999999999999</v>
      </c>
      <c r="D3936">
        <v>15.8</v>
      </c>
      <c r="E3936">
        <v>15.8</v>
      </c>
      <c r="F3936">
        <v>0</v>
      </c>
    </row>
    <row r="3937" spans="1:6">
      <c r="A3937" s="32">
        <v>37951</v>
      </c>
      <c r="B3937">
        <v>15.4</v>
      </c>
      <c r="C3937">
        <v>16</v>
      </c>
      <c r="D3937">
        <v>15.4</v>
      </c>
      <c r="E3937">
        <v>16</v>
      </c>
      <c r="F3937">
        <v>0</v>
      </c>
    </row>
    <row r="3938" spans="1:6">
      <c r="A3938" s="32">
        <v>37950</v>
      </c>
      <c r="B3938">
        <v>15.7</v>
      </c>
      <c r="C3938">
        <v>15.9</v>
      </c>
      <c r="D3938">
        <v>15.3</v>
      </c>
      <c r="E3938">
        <v>15.3</v>
      </c>
      <c r="F3938">
        <v>0</v>
      </c>
    </row>
    <row r="3939" spans="1:6">
      <c r="A3939" s="32">
        <v>37949</v>
      </c>
      <c r="B3939">
        <v>15.7</v>
      </c>
      <c r="C3939">
        <v>16.2</v>
      </c>
      <c r="D3939">
        <v>15.5</v>
      </c>
      <c r="E3939">
        <v>15.6</v>
      </c>
      <c r="F3939">
        <v>0</v>
      </c>
    </row>
    <row r="3940" spans="1:6">
      <c r="A3940" s="32">
        <v>37946</v>
      </c>
      <c r="B3940">
        <v>15.9</v>
      </c>
      <c r="C3940">
        <v>16.2</v>
      </c>
      <c r="D3940">
        <v>15.4</v>
      </c>
      <c r="E3940">
        <v>15.6</v>
      </c>
      <c r="F3940">
        <v>0</v>
      </c>
    </row>
    <row r="3941" spans="1:6">
      <c r="A3941" s="32">
        <v>37945</v>
      </c>
      <c r="B3941">
        <v>16.100000000000001</v>
      </c>
      <c r="C3941">
        <v>16.7</v>
      </c>
      <c r="D3941">
        <v>15.8</v>
      </c>
      <c r="E3941">
        <v>15.9</v>
      </c>
      <c r="F3941">
        <v>0</v>
      </c>
    </row>
    <row r="3942" spans="1:6">
      <c r="A3942" s="32">
        <v>37944</v>
      </c>
      <c r="B3942">
        <v>16.100000000000001</v>
      </c>
      <c r="C3942">
        <v>16.399999999999999</v>
      </c>
      <c r="D3942">
        <v>15.2</v>
      </c>
      <c r="E3942">
        <v>15.8</v>
      </c>
      <c r="F3942">
        <v>0</v>
      </c>
    </row>
    <row r="3943" spans="1:6">
      <c r="A3943" s="32">
        <v>37943</v>
      </c>
      <c r="B3943">
        <v>16</v>
      </c>
      <c r="C3943">
        <v>16.600000000000001</v>
      </c>
      <c r="D3943">
        <v>15.8</v>
      </c>
      <c r="E3943">
        <v>16.2</v>
      </c>
      <c r="F3943">
        <v>0</v>
      </c>
    </row>
    <row r="3944" spans="1:6">
      <c r="A3944" s="32">
        <v>37942</v>
      </c>
      <c r="B3944">
        <v>15</v>
      </c>
      <c r="C3944">
        <v>16.399999999999999</v>
      </c>
      <c r="D3944">
        <v>15</v>
      </c>
      <c r="E3944">
        <v>15.6</v>
      </c>
      <c r="F3944">
        <v>0</v>
      </c>
    </row>
    <row r="3945" spans="1:6">
      <c r="A3945" s="32">
        <v>37939</v>
      </c>
      <c r="B3945">
        <v>17.100000000000001</v>
      </c>
      <c r="C3945">
        <v>17.399999999999999</v>
      </c>
      <c r="D3945">
        <v>16</v>
      </c>
      <c r="E3945">
        <v>16</v>
      </c>
      <c r="F3945">
        <v>0</v>
      </c>
    </row>
    <row r="3946" spans="1:6">
      <c r="A3946" s="32">
        <v>37938</v>
      </c>
      <c r="B3946">
        <v>16.399999999999999</v>
      </c>
      <c r="C3946">
        <v>17.600000000000001</v>
      </c>
      <c r="D3946">
        <v>16.2</v>
      </c>
      <c r="E3946">
        <v>17.399999999999999</v>
      </c>
      <c r="F3946">
        <v>0</v>
      </c>
    </row>
    <row r="3947" spans="1:6">
      <c r="A3947" s="32">
        <v>37937</v>
      </c>
      <c r="B3947">
        <v>16.600000000000001</v>
      </c>
      <c r="C3947">
        <v>16.7</v>
      </c>
      <c r="D3947">
        <v>15.9</v>
      </c>
      <c r="E3947">
        <v>16.2</v>
      </c>
      <c r="F3947">
        <v>0</v>
      </c>
    </row>
    <row r="3948" spans="1:6">
      <c r="A3948" s="32">
        <v>37936</v>
      </c>
      <c r="B3948">
        <v>15</v>
      </c>
      <c r="C3948">
        <v>16</v>
      </c>
      <c r="D3948">
        <v>14.2</v>
      </c>
      <c r="E3948">
        <v>16</v>
      </c>
      <c r="F3948">
        <v>0</v>
      </c>
    </row>
    <row r="3949" spans="1:6">
      <c r="A3949" s="32">
        <v>37935</v>
      </c>
      <c r="B3949">
        <v>17.8</v>
      </c>
      <c r="C3949">
        <v>17.8</v>
      </c>
      <c r="D3949">
        <v>15.6</v>
      </c>
      <c r="E3949">
        <v>15.6</v>
      </c>
      <c r="F3949">
        <v>0</v>
      </c>
    </row>
    <row r="3950" spans="1:6">
      <c r="A3950" s="32">
        <v>37932</v>
      </c>
      <c r="B3950">
        <v>18.399999999999999</v>
      </c>
      <c r="C3950">
        <v>19.7</v>
      </c>
      <c r="D3950">
        <v>17.2</v>
      </c>
      <c r="E3950">
        <v>17.7</v>
      </c>
      <c r="F3950">
        <v>0</v>
      </c>
    </row>
    <row r="3951" spans="1:6">
      <c r="A3951" s="32">
        <v>37931</v>
      </c>
      <c r="B3951">
        <v>16.2</v>
      </c>
      <c r="C3951">
        <v>19.600000000000001</v>
      </c>
      <c r="D3951">
        <v>15.8</v>
      </c>
      <c r="E3951">
        <v>17.8</v>
      </c>
      <c r="F3951">
        <v>0</v>
      </c>
    </row>
    <row r="3952" spans="1:6">
      <c r="A3952" s="32">
        <v>37930</v>
      </c>
      <c r="B3952">
        <v>14.1</v>
      </c>
      <c r="C3952">
        <v>15.7</v>
      </c>
      <c r="D3952">
        <v>14.1</v>
      </c>
      <c r="E3952">
        <v>15.7</v>
      </c>
      <c r="F3952">
        <v>0</v>
      </c>
    </row>
    <row r="3953" spans="1:6">
      <c r="A3953" s="32">
        <v>37929</v>
      </c>
      <c r="B3953">
        <v>12.9</v>
      </c>
      <c r="C3953">
        <v>14.8</v>
      </c>
      <c r="D3953">
        <v>12.6</v>
      </c>
      <c r="E3953">
        <v>14</v>
      </c>
      <c r="F3953">
        <v>0</v>
      </c>
    </row>
    <row r="3954" spans="1:6">
      <c r="A3954" s="32">
        <v>37928</v>
      </c>
      <c r="B3954">
        <v>13.2</v>
      </c>
      <c r="C3954">
        <v>13.6</v>
      </c>
      <c r="D3954">
        <v>12.5</v>
      </c>
      <c r="E3954">
        <v>12.7</v>
      </c>
      <c r="F3954">
        <v>0</v>
      </c>
    </row>
    <row r="3955" spans="1:6">
      <c r="A3955" s="32">
        <v>37925</v>
      </c>
      <c r="B3955">
        <v>11.1</v>
      </c>
      <c r="C3955">
        <v>13.8</v>
      </c>
      <c r="D3955">
        <v>11</v>
      </c>
      <c r="E3955">
        <v>13.1</v>
      </c>
      <c r="F3955">
        <v>0</v>
      </c>
    </row>
    <row r="3956" spans="1:6">
      <c r="A3956" s="32">
        <v>37924</v>
      </c>
      <c r="B3956">
        <v>11.4</v>
      </c>
      <c r="C3956">
        <v>11.5</v>
      </c>
      <c r="D3956">
        <v>10.8</v>
      </c>
      <c r="E3956">
        <v>10.9</v>
      </c>
      <c r="F3956">
        <v>0</v>
      </c>
    </row>
    <row r="3957" spans="1:6">
      <c r="A3957" s="32">
        <v>37923</v>
      </c>
      <c r="B3957">
        <v>12.2</v>
      </c>
      <c r="C3957">
        <v>12.4</v>
      </c>
      <c r="D3957">
        <v>10.199999999999999</v>
      </c>
      <c r="E3957">
        <v>10.8</v>
      </c>
      <c r="F3957">
        <v>0</v>
      </c>
    </row>
    <row r="3958" spans="1:6">
      <c r="A3958" s="32">
        <v>36650</v>
      </c>
      <c r="B3958">
        <v>0.9</v>
      </c>
      <c r="C3958">
        <v>0.96</v>
      </c>
      <c r="D3958">
        <v>0.88</v>
      </c>
      <c r="E3958">
        <v>0.94</v>
      </c>
      <c r="F3958">
        <v>1582500</v>
      </c>
    </row>
    <row r="3959" spans="1:6">
      <c r="A3959" s="32">
        <v>36649</v>
      </c>
      <c r="B3959">
        <v>0.94</v>
      </c>
      <c r="C3959">
        <v>0.94</v>
      </c>
      <c r="D3959">
        <v>0.94</v>
      </c>
      <c r="E3959">
        <v>0.94</v>
      </c>
      <c r="F3959">
        <v>223500</v>
      </c>
    </row>
    <row r="3960" spans="1:6">
      <c r="A3960" s="32">
        <v>36648</v>
      </c>
      <c r="B3960">
        <v>0.98</v>
      </c>
      <c r="C3960">
        <v>0.98</v>
      </c>
      <c r="D3960">
        <v>0.96</v>
      </c>
      <c r="E3960">
        <v>0.96</v>
      </c>
      <c r="F3960">
        <v>142000</v>
      </c>
    </row>
    <row r="3961" spans="1:6">
      <c r="A3961" s="32">
        <v>36644</v>
      </c>
      <c r="B3961">
        <v>0.92</v>
      </c>
      <c r="C3961">
        <v>1.02</v>
      </c>
      <c r="D3961">
        <v>0.92</v>
      </c>
      <c r="E3961">
        <v>1.02</v>
      </c>
      <c r="F3961">
        <v>755000</v>
      </c>
    </row>
    <row r="3962" spans="1:6">
      <c r="A3962" s="32">
        <v>36643</v>
      </c>
      <c r="B3962">
        <v>0.9</v>
      </c>
      <c r="C3962">
        <v>0.94</v>
      </c>
      <c r="D3962">
        <v>0.9</v>
      </c>
      <c r="E3962">
        <v>0.94</v>
      </c>
      <c r="F3962">
        <v>687500</v>
      </c>
    </row>
    <row r="3963" spans="1:6">
      <c r="A3963" s="32">
        <v>36642</v>
      </c>
      <c r="B3963">
        <v>0.92</v>
      </c>
      <c r="C3963">
        <v>0.92</v>
      </c>
      <c r="D3963">
        <v>0.88</v>
      </c>
      <c r="E3963">
        <v>0.92</v>
      </c>
      <c r="F3963">
        <v>655000</v>
      </c>
    </row>
    <row r="3964" spans="1:6">
      <c r="A3964" s="32">
        <v>36641</v>
      </c>
      <c r="B3964">
        <v>0.94</v>
      </c>
      <c r="C3964">
        <v>0.94</v>
      </c>
      <c r="D3964">
        <v>0.9</v>
      </c>
      <c r="E3964">
        <v>0.92</v>
      </c>
      <c r="F3964">
        <v>841000</v>
      </c>
    </row>
    <row r="3965" spans="1:6">
      <c r="A3965" s="32">
        <v>36640</v>
      </c>
      <c r="B3965">
        <v>0.9</v>
      </c>
      <c r="C3965">
        <v>0.94</v>
      </c>
      <c r="D3965">
        <v>0.9</v>
      </c>
      <c r="E3965">
        <v>0.94</v>
      </c>
      <c r="F3965">
        <v>55000</v>
      </c>
    </row>
    <row r="3966" spans="1:6">
      <c r="A3966" s="32">
        <v>36637</v>
      </c>
      <c r="B3966">
        <v>0.98</v>
      </c>
      <c r="C3966">
        <v>1.04</v>
      </c>
      <c r="D3966">
        <v>0.98</v>
      </c>
      <c r="E3966">
        <v>1</v>
      </c>
      <c r="F3966">
        <v>287000</v>
      </c>
    </row>
    <row r="3967" spans="1:6">
      <c r="A3967" s="32">
        <v>36636</v>
      </c>
      <c r="B3967">
        <v>0.9</v>
      </c>
      <c r="C3967">
        <v>0.98</v>
      </c>
      <c r="D3967">
        <v>0.9</v>
      </c>
      <c r="E3967">
        <v>0.98</v>
      </c>
      <c r="F3967">
        <v>23000</v>
      </c>
    </row>
    <row r="3968" spans="1:6">
      <c r="A3968" s="32">
        <v>36635</v>
      </c>
      <c r="B3968">
        <v>0.92</v>
      </c>
      <c r="C3968">
        <v>0.92</v>
      </c>
      <c r="D3968">
        <v>0.9</v>
      </c>
      <c r="E3968">
        <v>0.9</v>
      </c>
      <c r="F3968">
        <v>26500</v>
      </c>
    </row>
    <row r="3969" spans="1:6">
      <c r="A3969" s="32">
        <v>36634</v>
      </c>
      <c r="B3969">
        <v>0.9</v>
      </c>
      <c r="C3969">
        <v>0.9</v>
      </c>
      <c r="D3969">
        <v>0.9</v>
      </c>
      <c r="E3969">
        <v>0.9</v>
      </c>
      <c r="F3969">
        <v>25000</v>
      </c>
    </row>
    <row r="3970" spans="1:6">
      <c r="A3970" s="32">
        <v>36628</v>
      </c>
      <c r="B3970">
        <v>0.8</v>
      </c>
      <c r="C3970">
        <v>1</v>
      </c>
      <c r="D3970">
        <v>0.8</v>
      </c>
      <c r="E3970">
        <v>0.98</v>
      </c>
      <c r="F3970">
        <v>1023000</v>
      </c>
    </row>
    <row r="3971" spans="1:6">
      <c r="A3971" s="32">
        <v>36627</v>
      </c>
      <c r="B3971">
        <v>0.7</v>
      </c>
      <c r="C3971">
        <v>0.78</v>
      </c>
      <c r="D3971">
        <v>0.68</v>
      </c>
      <c r="E3971">
        <v>0.78</v>
      </c>
      <c r="F3971">
        <v>379000</v>
      </c>
    </row>
    <row r="3972" spans="1:6">
      <c r="A3972" s="32">
        <v>36626</v>
      </c>
      <c r="B3972">
        <v>0.66</v>
      </c>
      <c r="C3972">
        <v>0.68</v>
      </c>
      <c r="D3972">
        <v>0.66</v>
      </c>
      <c r="E3972">
        <v>0.68</v>
      </c>
      <c r="F3972">
        <v>137500</v>
      </c>
    </row>
    <row r="3973" spans="1:6">
      <c r="A3973" s="32">
        <v>36623</v>
      </c>
      <c r="B3973">
        <v>0.62</v>
      </c>
      <c r="C3973">
        <v>0.64</v>
      </c>
      <c r="D3973">
        <v>0.6</v>
      </c>
      <c r="E3973">
        <v>0.62</v>
      </c>
      <c r="F3973">
        <v>848500</v>
      </c>
    </row>
    <row r="3974" spans="1:6">
      <c r="A3974" s="32">
        <v>36621</v>
      </c>
      <c r="B3974">
        <v>0.5</v>
      </c>
      <c r="C3974">
        <v>0.84</v>
      </c>
      <c r="D3974">
        <v>0.46</v>
      </c>
      <c r="E3974">
        <v>0.62</v>
      </c>
      <c r="F3974">
        <v>2094500</v>
      </c>
    </row>
    <row r="3975" spans="1:6">
      <c r="A3975" s="32">
        <v>36587</v>
      </c>
      <c r="B3975">
        <v>1</v>
      </c>
      <c r="C3975">
        <v>1</v>
      </c>
      <c r="D3975">
        <v>0.98</v>
      </c>
      <c r="E3975">
        <v>0.98</v>
      </c>
      <c r="F3975">
        <v>59500</v>
      </c>
    </row>
    <row r="3976" spans="1:6">
      <c r="A3976" s="32">
        <v>36586</v>
      </c>
      <c r="B3976">
        <v>0.96</v>
      </c>
      <c r="C3976">
        <v>0.98</v>
      </c>
      <c r="D3976">
        <v>0.96</v>
      </c>
      <c r="E3976">
        <v>0.98</v>
      </c>
      <c r="F3976">
        <v>50000</v>
      </c>
    </row>
    <row r="3977" spans="1:6">
      <c r="A3977" s="32">
        <v>36585</v>
      </c>
      <c r="B3977">
        <v>1.06</v>
      </c>
      <c r="C3977">
        <v>1.06</v>
      </c>
      <c r="D3977">
        <v>0.94</v>
      </c>
      <c r="E3977">
        <v>0.96</v>
      </c>
      <c r="F3977">
        <v>95500</v>
      </c>
    </row>
    <row r="3978" spans="1:6">
      <c r="A3978" s="32">
        <v>36580</v>
      </c>
      <c r="B3978">
        <v>1.1200000000000001</v>
      </c>
      <c r="C3978">
        <v>1.1200000000000001</v>
      </c>
      <c r="D3978">
        <v>1.1200000000000001</v>
      </c>
      <c r="E3978">
        <v>1.1200000000000001</v>
      </c>
      <c r="F3978">
        <v>10000</v>
      </c>
    </row>
    <row r="3979" spans="1:6">
      <c r="A3979" s="32">
        <v>36578</v>
      </c>
      <c r="B3979">
        <v>1.08</v>
      </c>
      <c r="C3979">
        <v>1.08</v>
      </c>
      <c r="D3979">
        <v>1.04</v>
      </c>
      <c r="E3979">
        <v>1.04</v>
      </c>
      <c r="F3979">
        <v>52500</v>
      </c>
    </row>
    <row r="3980" spans="1:6">
      <c r="A3980" s="32">
        <v>36573</v>
      </c>
      <c r="B3980">
        <v>1.1200000000000001</v>
      </c>
      <c r="C3980">
        <v>1.1200000000000001</v>
      </c>
      <c r="D3980">
        <v>1.08</v>
      </c>
      <c r="E3980">
        <v>1.08</v>
      </c>
      <c r="F3980">
        <v>60000</v>
      </c>
    </row>
    <row r="3981" spans="1:6">
      <c r="A3981" s="32">
        <v>36572</v>
      </c>
      <c r="B3981">
        <v>1.1200000000000001</v>
      </c>
      <c r="C3981">
        <v>1.1200000000000001</v>
      </c>
      <c r="D3981">
        <v>1.1200000000000001</v>
      </c>
      <c r="E3981">
        <v>1.1200000000000001</v>
      </c>
      <c r="F3981">
        <v>15000</v>
      </c>
    </row>
    <row r="3982" spans="1:6">
      <c r="A3982" s="32">
        <v>36571</v>
      </c>
      <c r="B3982">
        <v>1.1399999999999999</v>
      </c>
      <c r="C3982">
        <v>1.1399999999999999</v>
      </c>
      <c r="D3982">
        <v>1.1399999999999999</v>
      </c>
      <c r="E3982">
        <v>1.1399999999999999</v>
      </c>
      <c r="F3982">
        <v>50000</v>
      </c>
    </row>
    <row r="3983" spans="1:6">
      <c r="A3983" s="32">
        <v>36570</v>
      </c>
      <c r="B3983">
        <v>1.1599999999999999</v>
      </c>
      <c r="C3983">
        <v>1.1599999999999999</v>
      </c>
      <c r="D3983">
        <v>1.1399999999999999</v>
      </c>
      <c r="E3983">
        <v>1.1399999999999999</v>
      </c>
      <c r="F3983">
        <v>85500</v>
      </c>
    </row>
    <row r="3984" spans="1:6">
      <c r="A3984" s="32">
        <v>36567</v>
      </c>
      <c r="B3984">
        <v>1.1599999999999999</v>
      </c>
      <c r="C3984">
        <v>1.1599999999999999</v>
      </c>
      <c r="D3984">
        <v>1.1599999999999999</v>
      </c>
      <c r="E3984">
        <v>1.1599999999999999</v>
      </c>
      <c r="F3984">
        <v>10000</v>
      </c>
    </row>
    <row r="3985" spans="1:6">
      <c r="A3985" s="32">
        <v>36565</v>
      </c>
      <c r="B3985">
        <v>1.1599999999999999</v>
      </c>
      <c r="C3985">
        <v>1.1599999999999999</v>
      </c>
      <c r="D3985">
        <v>1.1399999999999999</v>
      </c>
      <c r="E3985">
        <v>1.1399999999999999</v>
      </c>
      <c r="F3985">
        <v>175000</v>
      </c>
    </row>
    <row r="3986" spans="1:6">
      <c r="A3986" s="32">
        <v>36564</v>
      </c>
      <c r="B3986">
        <v>1.1599999999999999</v>
      </c>
      <c r="C3986">
        <v>1.1599999999999999</v>
      </c>
      <c r="D3986">
        <v>1.1599999999999999</v>
      </c>
      <c r="E3986">
        <v>1.1599999999999999</v>
      </c>
      <c r="F3986">
        <v>20000</v>
      </c>
    </row>
    <row r="3987" spans="1:6">
      <c r="A3987" s="32">
        <v>36563</v>
      </c>
      <c r="B3987">
        <v>1.1599999999999999</v>
      </c>
      <c r="C3987">
        <v>1.18</v>
      </c>
      <c r="D3987">
        <v>1.1599999999999999</v>
      </c>
      <c r="E3987">
        <v>1.18</v>
      </c>
      <c r="F3987">
        <v>30000</v>
      </c>
    </row>
    <row r="3988" spans="1:6">
      <c r="A3988" s="32">
        <v>36560</v>
      </c>
      <c r="B3988">
        <v>1.1599999999999999</v>
      </c>
      <c r="C3988">
        <v>1.1599999999999999</v>
      </c>
      <c r="D3988">
        <v>1.1599999999999999</v>
      </c>
      <c r="E3988">
        <v>1.1599999999999999</v>
      </c>
      <c r="F3988">
        <v>25000</v>
      </c>
    </row>
    <row r="3989" spans="1:6">
      <c r="A3989" s="32">
        <v>36559</v>
      </c>
      <c r="B3989">
        <v>1.1599999999999999</v>
      </c>
      <c r="C3989">
        <v>1.1599999999999999</v>
      </c>
      <c r="D3989">
        <v>1.1599999999999999</v>
      </c>
      <c r="E3989">
        <v>1.1599999999999999</v>
      </c>
      <c r="F3989">
        <v>10000</v>
      </c>
    </row>
    <row r="3990" spans="1:6">
      <c r="A3990" s="32">
        <v>36558</v>
      </c>
      <c r="B3990">
        <v>1.1599999999999999</v>
      </c>
      <c r="C3990">
        <v>1.1599999999999999</v>
      </c>
      <c r="D3990">
        <v>1.1399999999999999</v>
      </c>
      <c r="E3990">
        <v>1.1599999999999999</v>
      </c>
      <c r="F3990">
        <v>175000</v>
      </c>
    </row>
    <row r="3991" spans="1:6">
      <c r="A3991" s="32">
        <v>36557</v>
      </c>
      <c r="B3991">
        <v>1.2</v>
      </c>
      <c r="C3991">
        <v>1.22</v>
      </c>
      <c r="D3991">
        <v>1.1399999999999999</v>
      </c>
      <c r="E3991">
        <v>1.1399999999999999</v>
      </c>
      <c r="F3991">
        <v>767000</v>
      </c>
    </row>
    <row r="3992" spans="1:6">
      <c r="A3992" s="32">
        <v>36556</v>
      </c>
      <c r="B3992">
        <v>1.2</v>
      </c>
      <c r="C3992">
        <v>1.22</v>
      </c>
      <c r="D3992">
        <v>1.18</v>
      </c>
      <c r="E3992">
        <v>1.18</v>
      </c>
      <c r="F3992">
        <v>60000</v>
      </c>
    </row>
    <row r="3993" spans="1:6">
      <c r="A3993" s="32">
        <v>36553</v>
      </c>
      <c r="B3993">
        <v>1.2</v>
      </c>
      <c r="C3993">
        <v>1.24</v>
      </c>
      <c r="D3993">
        <v>1.2</v>
      </c>
      <c r="E3993">
        <v>1.2</v>
      </c>
      <c r="F3993">
        <v>990000</v>
      </c>
    </row>
    <row r="3994" spans="1:6">
      <c r="A3994" s="32">
        <v>36552</v>
      </c>
      <c r="B3994">
        <v>1.2</v>
      </c>
      <c r="C3994">
        <v>1.2</v>
      </c>
      <c r="D3994">
        <v>1.18</v>
      </c>
      <c r="E3994">
        <v>1.18</v>
      </c>
      <c r="F3994">
        <v>383500</v>
      </c>
    </row>
    <row r="3995" spans="1:6">
      <c r="A3995" s="32">
        <v>36551</v>
      </c>
      <c r="B3995">
        <v>1.24</v>
      </c>
      <c r="C3995">
        <v>1.24</v>
      </c>
      <c r="D3995">
        <v>1.18</v>
      </c>
      <c r="E3995">
        <v>1.18</v>
      </c>
      <c r="F3995">
        <v>772500</v>
      </c>
    </row>
    <row r="3996" spans="1:6">
      <c r="A3996" s="32">
        <v>36550</v>
      </c>
      <c r="B3996">
        <v>1.24</v>
      </c>
      <c r="C3996">
        <v>1.26</v>
      </c>
      <c r="D3996">
        <v>1.24</v>
      </c>
      <c r="E3996">
        <v>1.24</v>
      </c>
      <c r="F3996">
        <v>60000</v>
      </c>
    </row>
    <row r="3997" spans="1:6">
      <c r="A3997" s="32">
        <v>36549</v>
      </c>
      <c r="B3997">
        <v>1.22</v>
      </c>
      <c r="C3997">
        <v>1.26</v>
      </c>
      <c r="D3997">
        <v>1.22</v>
      </c>
      <c r="E3997">
        <v>1.22</v>
      </c>
      <c r="F3997">
        <v>11000</v>
      </c>
    </row>
    <row r="3998" spans="1:6">
      <c r="A3998" s="32">
        <v>36546</v>
      </c>
      <c r="B3998">
        <v>1.24</v>
      </c>
      <c r="C3998">
        <v>1.24</v>
      </c>
      <c r="D3998">
        <v>1.2</v>
      </c>
      <c r="E3998">
        <v>1.2</v>
      </c>
      <c r="F3998">
        <v>442500</v>
      </c>
    </row>
    <row r="3999" spans="1:6">
      <c r="A3999" s="32">
        <v>36545</v>
      </c>
      <c r="B3999">
        <v>1.22</v>
      </c>
      <c r="C3999">
        <v>1.28</v>
      </c>
      <c r="D3999">
        <v>1.22</v>
      </c>
      <c r="E3999">
        <v>1.24</v>
      </c>
      <c r="F3999">
        <v>1692500</v>
      </c>
    </row>
    <row r="4000" spans="1:6">
      <c r="A4000" s="32">
        <v>36544</v>
      </c>
      <c r="B4000">
        <v>1.22</v>
      </c>
      <c r="C4000">
        <v>1.26</v>
      </c>
      <c r="D4000">
        <v>1.2</v>
      </c>
      <c r="E4000">
        <v>1.22</v>
      </c>
      <c r="F4000">
        <v>981000</v>
      </c>
    </row>
    <row r="4001" spans="1:6">
      <c r="A4001" s="32">
        <v>36543</v>
      </c>
      <c r="B4001">
        <v>1.2</v>
      </c>
      <c r="C4001">
        <v>1.24</v>
      </c>
      <c r="D4001">
        <v>1.2</v>
      </c>
      <c r="E4001">
        <v>1.2</v>
      </c>
      <c r="F4001">
        <v>585000</v>
      </c>
    </row>
    <row r="4002" spans="1:6">
      <c r="A4002" s="32">
        <v>36542</v>
      </c>
      <c r="B4002">
        <v>1.2</v>
      </c>
      <c r="C4002">
        <v>1.2</v>
      </c>
      <c r="D4002">
        <v>1.2</v>
      </c>
      <c r="E4002">
        <v>1.2</v>
      </c>
      <c r="F4002">
        <v>625000</v>
      </c>
    </row>
    <row r="4003" spans="1:6">
      <c r="A4003" s="32">
        <v>36539</v>
      </c>
      <c r="B4003">
        <v>1.22</v>
      </c>
      <c r="C4003">
        <v>1.22</v>
      </c>
      <c r="D4003">
        <v>1.2</v>
      </c>
      <c r="E4003">
        <v>1.2</v>
      </c>
      <c r="F4003">
        <v>160000</v>
      </c>
    </row>
    <row r="4004" spans="1:6">
      <c r="A4004" s="32">
        <v>36538</v>
      </c>
      <c r="B4004">
        <v>1.2</v>
      </c>
      <c r="C4004">
        <v>1.24</v>
      </c>
      <c r="D4004">
        <v>1.2</v>
      </c>
      <c r="E4004">
        <v>1.24</v>
      </c>
      <c r="F4004">
        <v>15000</v>
      </c>
    </row>
    <row r="4005" spans="1:6">
      <c r="A4005" s="32">
        <v>36536</v>
      </c>
      <c r="B4005">
        <v>1.2</v>
      </c>
      <c r="C4005">
        <v>1.2</v>
      </c>
      <c r="D4005">
        <v>1.1599999999999999</v>
      </c>
      <c r="E4005">
        <v>1.1599999999999999</v>
      </c>
      <c r="F4005">
        <v>760000</v>
      </c>
    </row>
    <row r="4006" spans="1:6">
      <c r="A4006" s="32">
        <v>36535</v>
      </c>
      <c r="B4006">
        <v>1.22</v>
      </c>
      <c r="C4006">
        <v>1.22</v>
      </c>
      <c r="D4006">
        <v>1.2</v>
      </c>
      <c r="E4006">
        <v>1.2</v>
      </c>
      <c r="F4006">
        <v>712500</v>
      </c>
    </row>
    <row r="4007" spans="1:6">
      <c r="A4007" s="32">
        <v>36532</v>
      </c>
      <c r="B4007">
        <v>1.2</v>
      </c>
      <c r="C4007">
        <v>1.2</v>
      </c>
      <c r="D4007">
        <v>1.2</v>
      </c>
      <c r="E4007">
        <v>1.2</v>
      </c>
      <c r="F4007">
        <v>39500</v>
      </c>
    </row>
    <row r="4008" spans="1:6">
      <c r="A4008" s="32">
        <v>36529</v>
      </c>
      <c r="B4008">
        <v>1.22</v>
      </c>
      <c r="C4008">
        <v>1.22</v>
      </c>
      <c r="D4008">
        <v>1.1599999999999999</v>
      </c>
      <c r="E4008">
        <v>1.1599999999999999</v>
      </c>
      <c r="F4008">
        <v>402500</v>
      </c>
    </row>
    <row r="4009" spans="1:6">
      <c r="A4009" s="32">
        <v>37851</v>
      </c>
      <c r="B4009">
        <v>0.27</v>
      </c>
      <c r="C4009">
        <v>0.28000000000000003</v>
      </c>
      <c r="D4009">
        <v>0.27</v>
      </c>
      <c r="E4009">
        <v>0.27</v>
      </c>
      <c r="F4009">
        <v>43497904</v>
      </c>
    </row>
    <row r="4010" spans="1:6">
      <c r="A4010" s="32">
        <v>37848</v>
      </c>
      <c r="B4010">
        <v>0.27</v>
      </c>
      <c r="C4010">
        <v>0.28000000000000003</v>
      </c>
      <c r="D4010">
        <v>0.27</v>
      </c>
      <c r="E4010">
        <v>0.27</v>
      </c>
      <c r="F4010">
        <v>43264532</v>
      </c>
    </row>
    <row r="4011" spans="1:6">
      <c r="A4011" s="32">
        <v>37847</v>
      </c>
      <c r="B4011">
        <v>0.28000000000000003</v>
      </c>
      <c r="C4011">
        <v>0.28000000000000003</v>
      </c>
      <c r="D4011">
        <v>0.26</v>
      </c>
      <c r="E4011">
        <v>0.27</v>
      </c>
      <c r="F4011">
        <v>71614880</v>
      </c>
    </row>
    <row r="4012" spans="1:6">
      <c r="A4012" s="32">
        <v>37846</v>
      </c>
      <c r="B4012">
        <v>0.28000000000000003</v>
      </c>
      <c r="C4012">
        <v>0.28999999999999998</v>
      </c>
      <c r="D4012">
        <v>0.28000000000000003</v>
      </c>
      <c r="E4012">
        <v>0.28000000000000003</v>
      </c>
      <c r="F4012">
        <v>202313232</v>
      </c>
    </row>
    <row r="4013" spans="1:6">
      <c r="A4013" s="32">
        <v>37844</v>
      </c>
      <c r="B4013">
        <v>0.24</v>
      </c>
      <c r="C4013">
        <v>0.28000000000000003</v>
      </c>
      <c r="D4013">
        <v>0.24</v>
      </c>
      <c r="E4013">
        <v>0.27</v>
      </c>
      <c r="F4013">
        <v>551251456</v>
      </c>
    </row>
    <row r="4014" spans="1:6">
      <c r="A4014" s="32">
        <v>37841</v>
      </c>
      <c r="B4014">
        <v>0.24</v>
      </c>
      <c r="C4014">
        <v>0.24</v>
      </c>
      <c r="D4014">
        <v>0.23</v>
      </c>
      <c r="E4014">
        <v>0.23</v>
      </c>
      <c r="F4014">
        <v>104997664</v>
      </c>
    </row>
    <row r="4015" spans="1:6">
      <c r="A4015" s="32">
        <v>37840</v>
      </c>
      <c r="B4015">
        <v>0.23</v>
      </c>
      <c r="C4015">
        <v>0.24</v>
      </c>
      <c r="D4015">
        <v>0.23</v>
      </c>
      <c r="E4015">
        <v>0.23</v>
      </c>
      <c r="F4015">
        <v>84717152</v>
      </c>
    </row>
    <row r="4016" spans="1:6">
      <c r="A4016" s="32">
        <v>37839</v>
      </c>
      <c r="B4016">
        <v>0.22</v>
      </c>
      <c r="C4016">
        <v>0.23</v>
      </c>
      <c r="D4016">
        <v>0.22</v>
      </c>
      <c r="E4016">
        <v>0.23</v>
      </c>
      <c r="F4016">
        <v>12108947</v>
      </c>
    </row>
    <row r="4017" spans="1:6">
      <c r="A4017" s="32">
        <v>37838</v>
      </c>
      <c r="B4017">
        <v>0.23</v>
      </c>
      <c r="C4017">
        <v>0.23</v>
      </c>
      <c r="D4017">
        <v>0.22</v>
      </c>
      <c r="E4017">
        <v>0.23</v>
      </c>
      <c r="F4017">
        <v>26015446</v>
      </c>
    </row>
    <row r="4018" spans="1:6">
      <c r="A4018" s="32">
        <v>37837</v>
      </c>
      <c r="B4018">
        <v>0.23</v>
      </c>
      <c r="C4018">
        <v>0.23</v>
      </c>
      <c r="D4018">
        <v>0.22</v>
      </c>
      <c r="E4018">
        <v>0.23</v>
      </c>
      <c r="F4018">
        <v>31570864</v>
      </c>
    </row>
    <row r="4019" spans="1:6">
      <c r="A4019" s="32">
        <v>37834</v>
      </c>
      <c r="B4019">
        <v>0.23</v>
      </c>
      <c r="C4019">
        <v>0.23</v>
      </c>
      <c r="D4019">
        <v>0.22</v>
      </c>
      <c r="E4019">
        <v>0.22</v>
      </c>
      <c r="F4019">
        <v>44320088</v>
      </c>
    </row>
    <row r="4020" spans="1:6">
      <c r="A4020" s="32">
        <v>37833</v>
      </c>
      <c r="B4020">
        <v>0.22</v>
      </c>
      <c r="C4020">
        <v>0.23</v>
      </c>
      <c r="D4020">
        <v>0.22</v>
      </c>
      <c r="E4020">
        <v>0.23</v>
      </c>
      <c r="F4020">
        <v>3913447</v>
      </c>
    </row>
    <row r="4021" spans="1:6">
      <c r="A4021" s="32">
        <v>37832</v>
      </c>
      <c r="B4021">
        <v>0.22</v>
      </c>
      <c r="C4021">
        <v>0.23</v>
      </c>
      <c r="D4021">
        <v>0.22</v>
      </c>
      <c r="E4021">
        <v>0.22</v>
      </c>
      <c r="F4021">
        <v>9206773</v>
      </c>
    </row>
    <row r="4022" spans="1:6">
      <c r="A4022" s="32">
        <v>37831</v>
      </c>
      <c r="B4022">
        <v>0.23</v>
      </c>
      <c r="C4022">
        <v>0.23</v>
      </c>
      <c r="D4022">
        <v>0.22</v>
      </c>
      <c r="E4022">
        <v>0.22</v>
      </c>
      <c r="F4022">
        <v>5784003</v>
      </c>
    </row>
    <row r="4023" spans="1:6">
      <c r="A4023" s="32">
        <v>37830</v>
      </c>
      <c r="B4023">
        <v>0.23</v>
      </c>
      <c r="C4023">
        <v>0.23</v>
      </c>
      <c r="D4023">
        <v>0.22</v>
      </c>
      <c r="E4023">
        <v>0.22</v>
      </c>
      <c r="F4023">
        <v>7635410</v>
      </c>
    </row>
    <row r="4024" spans="1:6">
      <c r="A4024" s="32">
        <v>37827</v>
      </c>
      <c r="B4024">
        <v>0.22</v>
      </c>
      <c r="C4024">
        <v>0.23</v>
      </c>
      <c r="D4024">
        <v>0.22</v>
      </c>
      <c r="E4024">
        <v>0.22</v>
      </c>
      <c r="F4024">
        <v>6099951</v>
      </c>
    </row>
    <row r="4025" spans="1:6">
      <c r="A4025" s="32">
        <v>37826</v>
      </c>
      <c r="B4025">
        <v>0.23</v>
      </c>
      <c r="C4025">
        <v>0.23</v>
      </c>
      <c r="D4025">
        <v>0.22</v>
      </c>
      <c r="E4025">
        <v>0.23</v>
      </c>
      <c r="F4025">
        <v>9358763</v>
      </c>
    </row>
    <row r="4026" spans="1:6">
      <c r="A4026" s="32">
        <v>37825</v>
      </c>
      <c r="B4026">
        <v>0.22</v>
      </c>
      <c r="C4026">
        <v>0.23</v>
      </c>
      <c r="D4026">
        <v>0.22</v>
      </c>
      <c r="E4026">
        <v>0.22</v>
      </c>
      <c r="F4026">
        <v>32158480</v>
      </c>
    </row>
    <row r="4027" spans="1:6">
      <c r="A4027" s="32">
        <v>37824</v>
      </c>
      <c r="B4027">
        <v>0.22</v>
      </c>
      <c r="C4027">
        <v>0.22</v>
      </c>
      <c r="D4027">
        <v>0.22</v>
      </c>
      <c r="E4027">
        <v>0.22</v>
      </c>
      <c r="F4027">
        <v>8803460</v>
      </c>
    </row>
    <row r="4028" spans="1:6">
      <c r="A4028" s="32">
        <v>37823</v>
      </c>
      <c r="B4028">
        <v>0.23</v>
      </c>
      <c r="C4028">
        <v>0.23</v>
      </c>
      <c r="D4028">
        <v>0.22</v>
      </c>
      <c r="E4028">
        <v>0.22</v>
      </c>
      <c r="F4028">
        <v>16483151</v>
      </c>
    </row>
    <row r="4029" spans="1:6">
      <c r="A4029" s="32">
        <v>37820</v>
      </c>
      <c r="B4029">
        <v>0.23</v>
      </c>
      <c r="C4029">
        <v>0.23</v>
      </c>
      <c r="D4029">
        <v>0.23</v>
      </c>
      <c r="E4029">
        <v>0.23</v>
      </c>
      <c r="F4029">
        <v>24708570</v>
      </c>
    </row>
    <row r="4030" spans="1:6">
      <c r="A4030" s="32">
        <v>37819</v>
      </c>
      <c r="B4030">
        <v>0.23</v>
      </c>
      <c r="C4030">
        <v>0.24</v>
      </c>
      <c r="D4030">
        <v>0.23</v>
      </c>
      <c r="E4030">
        <v>0.23</v>
      </c>
      <c r="F4030">
        <v>109876904</v>
      </c>
    </row>
    <row r="4031" spans="1:6">
      <c r="A4031" s="32">
        <v>37818</v>
      </c>
      <c r="B4031">
        <v>0.23</v>
      </c>
      <c r="C4031">
        <v>0.23</v>
      </c>
      <c r="D4031">
        <v>0.23</v>
      </c>
      <c r="E4031">
        <v>0.23</v>
      </c>
      <c r="F4031">
        <v>53415560</v>
      </c>
    </row>
    <row r="4032" spans="1:6">
      <c r="A4032" s="32">
        <v>37817</v>
      </c>
      <c r="B4032">
        <v>0.23</v>
      </c>
      <c r="C4032">
        <v>0.23</v>
      </c>
      <c r="D4032">
        <v>0.22</v>
      </c>
      <c r="E4032">
        <v>0.22</v>
      </c>
      <c r="F4032">
        <v>23144388</v>
      </c>
    </row>
    <row r="4033" spans="1:6">
      <c r="A4033" s="32">
        <v>37813</v>
      </c>
      <c r="B4033">
        <v>0.22</v>
      </c>
      <c r="C4033">
        <v>0.23</v>
      </c>
      <c r="D4033">
        <v>0.21</v>
      </c>
      <c r="E4033">
        <v>0.23</v>
      </c>
      <c r="F4033">
        <v>44615688</v>
      </c>
    </row>
    <row r="4034" spans="1:6">
      <c r="A4034" s="32">
        <v>37812</v>
      </c>
      <c r="B4034">
        <v>0.22</v>
      </c>
      <c r="C4034">
        <v>0.22</v>
      </c>
      <c r="D4034">
        <v>0.21</v>
      </c>
      <c r="E4034">
        <v>0.22</v>
      </c>
      <c r="F4034">
        <v>27555692</v>
      </c>
    </row>
    <row r="4035" spans="1:6">
      <c r="A4035" s="32">
        <v>37811</v>
      </c>
      <c r="B4035">
        <v>0.23</v>
      </c>
      <c r="C4035">
        <v>0.23</v>
      </c>
      <c r="D4035">
        <v>0.22</v>
      </c>
      <c r="E4035">
        <v>0.22</v>
      </c>
      <c r="F4035">
        <v>42377724</v>
      </c>
    </row>
    <row r="4036" spans="1:6">
      <c r="A4036" s="32">
        <v>37810</v>
      </c>
      <c r="B4036">
        <v>0.22</v>
      </c>
      <c r="C4036">
        <v>0.23</v>
      </c>
      <c r="D4036">
        <v>0.22</v>
      </c>
      <c r="E4036">
        <v>0.22</v>
      </c>
      <c r="F4036">
        <v>87235160</v>
      </c>
    </row>
    <row r="4037" spans="1:6">
      <c r="A4037" s="32">
        <v>37809</v>
      </c>
      <c r="B4037">
        <v>0.23</v>
      </c>
      <c r="C4037">
        <v>0.23</v>
      </c>
      <c r="D4037">
        <v>0.22</v>
      </c>
      <c r="E4037">
        <v>0.22</v>
      </c>
      <c r="F4037">
        <v>58099728</v>
      </c>
    </row>
    <row r="4038" spans="1:6">
      <c r="A4038" s="32">
        <v>37806</v>
      </c>
      <c r="B4038">
        <v>0.23</v>
      </c>
      <c r="C4038">
        <v>0.23</v>
      </c>
      <c r="D4038">
        <v>0.22</v>
      </c>
      <c r="E4038">
        <v>0.23</v>
      </c>
      <c r="F4038">
        <v>57537244</v>
      </c>
    </row>
    <row r="4039" spans="1:6">
      <c r="A4039" s="32">
        <v>37805</v>
      </c>
      <c r="B4039">
        <v>0.23</v>
      </c>
      <c r="C4039">
        <v>0.23</v>
      </c>
      <c r="D4039">
        <v>0.22</v>
      </c>
      <c r="E4039">
        <v>0.22</v>
      </c>
      <c r="F4039">
        <v>116069008</v>
      </c>
    </row>
    <row r="4040" spans="1:6">
      <c r="A4040" s="32">
        <v>37804</v>
      </c>
      <c r="B4040">
        <v>0.23</v>
      </c>
      <c r="C4040">
        <v>0.23</v>
      </c>
      <c r="D4040">
        <v>0.22</v>
      </c>
      <c r="E4040">
        <v>0.23</v>
      </c>
      <c r="F4040">
        <v>84975656</v>
      </c>
    </row>
    <row r="4041" spans="1:6">
      <c r="A4041" s="32">
        <v>37802</v>
      </c>
      <c r="B4041">
        <v>0.22</v>
      </c>
      <c r="C4041">
        <v>0.23</v>
      </c>
      <c r="D4041">
        <v>0.22</v>
      </c>
      <c r="E4041">
        <v>0.22</v>
      </c>
      <c r="F4041">
        <v>167554176</v>
      </c>
    </row>
    <row r="4042" spans="1:6">
      <c r="A4042" s="32">
        <v>37799</v>
      </c>
      <c r="B4042">
        <v>0.22</v>
      </c>
      <c r="C4042">
        <v>0.22</v>
      </c>
      <c r="D4042">
        <v>0.21</v>
      </c>
      <c r="E4042">
        <v>0.21</v>
      </c>
      <c r="F4042">
        <v>40911676</v>
      </c>
    </row>
    <row r="4043" spans="1:6">
      <c r="A4043" s="32">
        <v>37798</v>
      </c>
      <c r="B4043">
        <v>0.22</v>
      </c>
      <c r="C4043">
        <v>0.22</v>
      </c>
      <c r="D4043">
        <v>0.21</v>
      </c>
      <c r="E4043">
        <v>0.21</v>
      </c>
      <c r="F4043">
        <v>26630588</v>
      </c>
    </row>
    <row r="4044" spans="1:6">
      <c r="A4044" s="32">
        <v>37797</v>
      </c>
      <c r="B4044">
        <v>0.21</v>
      </c>
      <c r="C4044">
        <v>0.22</v>
      </c>
      <c r="D4044">
        <v>0.21</v>
      </c>
      <c r="E4044">
        <v>0.21</v>
      </c>
      <c r="F4044">
        <v>21296572</v>
      </c>
    </row>
    <row r="4045" spans="1:6">
      <c r="A4045" s="32">
        <v>37796</v>
      </c>
      <c r="B4045">
        <v>0.21</v>
      </c>
      <c r="C4045">
        <v>0.22</v>
      </c>
      <c r="D4045">
        <v>0.21</v>
      </c>
      <c r="E4045">
        <v>0.21</v>
      </c>
      <c r="F4045">
        <v>87137024</v>
      </c>
    </row>
    <row r="4046" spans="1:6">
      <c r="A4046" s="32">
        <v>37795</v>
      </c>
      <c r="B4046">
        <v>0.22</v>
      </c>
      <c r="C4046">
        <v>0.22</v>
      </c>
      <c r="D4046">
        <v>0.21</v>
      </c>
      <c r="E4046">
        <v>0.21</v>
      </c>
      <c r="F4046">
        <v>45498908</v>
      </c>
    </row>
    <row r="4047" spans="1:6">
      <c r="A4047" s="32">
        <v>37792</v>
      </c>
      <c r="B4047">
        <v>0.21</v>
      </c>
      <c r="C4047">
        <v>0.22</v>
      </c>
      <c r="D4047">
        <v>0.21</v>
      </c>
      <c r="E4047">
        <v>0.22</v>
      </c>
      <c r="F4047">
        <v>111205320</v>
      </c>
    </row>
    <row r="4048" spans="1:6">
      <c r="A4048" s="32">
        <v>37791</v>
      </c>
      <c r="B4048">
        <v>0.2</v>
      </c>
      <c r="C4048">
        <v>0.21</v>
      </c>
      <c r="D4048">
        <v>0.2</v>
      </c>
      <c r="E4048">
        <v>0.21</v>
      </c>
      <c r="F4048">
        <v>39038728</v>
      </c>
    </row>
    <row r="4049" spans="1:6">
      <c r="A4049" s="32">
        <v>37790</v>
      </c>
      <c r="B4049">
        <v>0.21</v>
      </c>
      <c r="C4049">
        <v>0.21</v>
      </c>
      <c r="D4049">
        <v>0.2</v>
      </c>
      <c r="E4049">
        <v>0.2</v>
      </c>
      <c r="F4049">
        <v>34550832</v>
      </c>
    </row>
    <row r="4050" spans="1:6">
      <c r="A4050" s="32">
        <v>37789</v>
      </c>
      <c r="B4050">
        <v>0.2</v>
      </c>
      <c r="C4050">
        <v>0.21</v>
      </c>
      <c r="D4050">
        <v>0.2</v>
      </c>
      <c r="E4050">
        <v>0.21</v>
      </c>
      <c r="F4050">
        <v>34360544</v>
      </c>
    </row>
    <row r="4051" spans="1:6">
      <c r="A4051" s="32">
        <v>37788</v>
      </c>
      <c r="B4051">
        <v>0.2</v>
      </c>
      <c r="C4051">
        <v>0.2</v>
      </c>
      <c r="D4051">
        <v>0.2</v>
      </c>
      <c r="E4051">
        <v>0.2</v>
      </c>
      <c r="F4051">
        <v>18387216</v>
      </c>
    </row>
    <row r="4052" spans="1:6">
      <c r="A4052" s="32">
        <v>37785</v>
      </c>
      <c r="B4052">
        <v>0.21</v>
      </c>
      <c r="C4052">
        <v>0.21</v>
      </c>
      <c r="D4052">
        <v>0.2</v>
      </c>
      <c r="E4052">
        <v>0.2</v>
      </c>
      <c r="F4052">
        <v>58459956</v>
      </c>
    </row>
    <row r="4053" spans="1:6">
      <c r="A4053" s="32">
        <v>37784</v>
      </c>
      <c r="B4053">
        <v>0.21</v>
      </c>
      <c r="C4053">
        <v>0.21</v>
      </c>
      <c r="D4053">
        <v>0.21</v>
      </c>
      <c r="E4053">
        <v>0.21</v>
      </c>
      <c r="F4053">
        <v>37073628</v>
      </c>
    </row>
    <row r="4054" spans="1:6">
      <c r="A4054" s="32">
        <v>37783</v>
      </c>
      <c r="B4054">
        <v>0.21</v>
      </c>
      <c r="C4054">
        <v>0.21</v>
      </c>
      <c r="D4054">
        <v>0.2</v>
      </c>
      <c r="E4054">
        <v>0.21</v>
      </c>
      <c r="F4054">
        <v>55283720</v>
      </c>
    </row>
    <row r="4055" spans="1:6">
      <c r="A4055" s="32">
        <v>37782</v>
      </c>
      <c r="B4055">
        <v>0.21</v>
      </c>
      <c r="C4055">
        <v>0.22</v>
      </c>
      <c r="D4055">
        <v>0.21</v>
      </c>
      <c r="E4055">
        <v>0.21</v>
      </c>
      <c r="F4055">
        <v>15766284</v>
      </c>
    </row>
    <row r="4056" spans="1:6">
      <c r="A4056" s="32">
        <v>37781</v>
      </c>
      <c r="B4056">
        <v>0.21</v>
      </c>
      <c r="C4056">
        <v>0.21</v>
      </c>
      <c r="D4056">
        <v>0.21</v>
      </c>
      <c r="E4056">
        <v>0.21</v>
      </c>
      <c r="F4056">
        <v>15761497</v>
      </c>
    </row>
    <row r="4057" spans="1:6">
      <c r="A4057" s="32">
        <v>37778</v>
      </c>
      <c r="B4057">
        <v>0.22</v>
      </c>
      <c r="C4057">
        <v>0.22</v>
      </c>
      <c r="D4057">
        <v>0.21</v>
      </c>
      <c r="E4057">
        <v>0.21</v>
      </c>
      <c r="F4057">
        <v>6553528</v>
      </c>
    </row>
    <row r="4058" spans="1:6">
      <c r="A4058" s="32">
        <v>37777</v>
      </c>
      <c r="B4058">
        <v>0.22</v>
      </c>
      <c r="C4058">
        <v>0.22</v>
      </c>
      <c r="D4058">
        <v>0.22</v>
      </c>
      <c r="E4058">
        <v>0.22</v>
      </c>
      <c r="F4058">
        <v>61256816</v>
      </c>
    </row>
    <row r="4059" spans="1:6">
      <c r="A4059" s="32">
        <v>37776</v>
      </c>
      <c r="B4059">
        <v>0.22</v>
      </c>
      <c r="C4059">
        <v>0.22</v>
      </c>
      <c r="D4059">
        <v>0.21</v>
      </c>
      <c r="E4059">
        <v>0.22</v>
      </c>
      <c r="F4059">
        <v>110010944</v>
      </c>
    </row>
    <row r="4060" spans="1:6">
      <c r="A4060" s="32">
        <v>37775</v>
      </c>
      <c r="B4060">
        <v>0.21</v>
      </c>
      <c r="C4060">
        <v>0.22</v>
      </c>
      <c r="D4060">
        <v>0.21</v>
      </c>
      <c r="E4060">
        <v>0.21</v>
      </c>
      <c r="F4060">
        <v>280871808</v>
      </c>
    </row>
    <row r="4061" spans="1:6">
      <c r="A4061" s="32">
        <v>37774</v>
      </c>
      <c r="B4061">
        <v>0.2</v>
      </c>
      <c r="C4061">
        <v>0.21</v>
      </c>
      <c r="D4061">
        <v>0.2</v>
      </c>
      <c r="E4061">
        <v>0.21</v>
      </c>
      <c r="F4061">
        <v>24258584</v>
      </c>
    </row>
    <row r="4062" spans="1:6">
      <c r="A4062" s="32">
        <v>37771</v>
      </c>
      <c r="B4062">
        <v>0.2</v>
      </c>
      <c r="C4062">
        <v>0.2</v>
      </c>
      <c r="D4062">
        <v>0.2</v>
      </c>
      <c r="E4062">
        <v>0.2</v>
      </c>
      <c r="F4062">
        <v>32164464</v>
      </c>
    </row>
    <row r="4063" spans="1:6">
      <c r="A4063" s="32">
        <v>37770</v>
      </c>
      <c r="B4063">
        <v>0.21</v>
      </c>
      <c r="C4063">
        <v>0.21</v>
      </c>
      <c r="D4063">
        <v>0.2</v>
      </c>
      <c r="E4063">
        <v>0.2</v>
      </c>
      <c r="F4063">
        <v>56251912</v>
      </c>
    </row>
    <row r="4064" spans="1:6">
      <c r="A4064" s="32">
        <v>37769</v>
      </c>
      <c r="B4064">
        <v>0.21</v>
      </c>
      <c r="C4064">
        <v>0.21</v>
      </c>
      <c r="D4064">
        <v>0.2</v>
      </c>
      <c r="E4064">
        <v>0.21</v>
      </c>
      <c r="F4064">
        <v>42703248</v>
      </c>
    </row>
    <row r="4065" spans="1:6">
      <c r="A4065" s="32">
        <v>37768</v>
      </c>
      <c r="B4065">
        <v>0.2</v>
      </c>
      <c r="C4065">
        <v>0.21</v>
      </c>
      <c r="D4065">
        <v>0.2</v>
      </c>
      <c r="E4065">
        <v>0.2</v>
      </c>
      <c r="F4065">
        <v>51738880</v>
      </c>
    </row>
    <row r="4066" spans="1:6">
      <c r="A4066" s="32">
        <v>37767</v>
      </c>
      <c r="B4066">
        <v>0.21</v>
      </c>
      <c r="C4066">
        <v>0.21</v>
      </c>
      <c r="D4066">
        <v>0.2</v>
      </c>
      <c r="E4066">
        <v>0.2</v>
      </c>
      <c r="F4066">
        <v>84973264</v>
      </c>
    </row>
    <row r="4067" spans="1:6">
      <c r="A4067" s="32">
        <v>37764</v>
      </c>
      <c r="B4067">
        <v>0.21</v>
      </c>
      <c r="C4067">
        <v>0.21</v>
      </c>
      <c r="D4067">
        <v>0.21</v>
      </c>
      <c r="E4067">
        <v>0.21</v>
      </c>
      <c r="F4067">
        <v>404324896</v>
      </c>
    </row>
    <row r="4068" spans="1:6">
      <c r="A4068" s="32">
        <v>37763</v>
      </c>
      <c r="B4068">
        <v>0.2</v>
      </c>
      <c r="C4068">
        <v>0.21</v>
      </c>
      <c r="D4068">
        <v>0.19</v>
      </c>
      <c r="E4068">
        <v>0.21</v>
      </c>
      <c r="F4068">
        <v>292870656</v>
      </c>
    </row>
    <row r="4069" spans="1:6">
      <c r="A4069" s="32">
        <v>37762</v>
      </c>
      <c r="B4069">
        <v>0.19</v>
      </c>
      <c r="C4069">
        <v>0.2</v>
      </c>
      <c r="D4069">
        <v>0.19</v>
      </c>
      <c r="E4069">
        <v>0.19</v>
      </c>
      <c r="F4069">
        <v>257613712</v>
      </c>
    </row>
    <row r="4070" spans="1:6">
      <c r="A4070" s="32">
        <v>37761</v>
      </c>
      <c r="B4070">
        <v>0.18</v>
      </c>
      <c r="C4070">
        <v>0.19</v>
      </c>
      <c r="D4070">
        <v>0.18</v>
      </c>
      <c r="E4070">
        <v>0.19</v>
      </c>
      <c r="F4070">
        <v>30582332</v>
      </c>
    </row>
    <row r="4071" spans="1:6">
      <c r="A4071" s="32">
        <v>37760</v>
      </c>
      <c r="B4071">
        <v>0.18</v>
      </c>
      <c r="C4071">
        <v>0.19</v>
      </c>
      <c r="D4071">
        <v>0.18</v>
      </c>
      <c r="E4071">
        <v>0.18</v>
      </c>
      <c r="F4071">
        <v>49265152</v>
      </c>
    </row>
    <row r="4072" spans="1:6">
      <c r="A4072" s="32">
        <v>37757</v>
      </c>
      <c r="B4072">
        <v>0.19</v>
      </c>
      <c r="C4072">
        <v>0.19</v>
      </c>
      <c r="D4072">
        <v>0.18</v>
      </c>
      <c r="E4072">
        <v>0.18</v>
      </c>
      <c r="F4072">
        <v>40718996</v>
      </c>
    </row>
    <row r="4073" spans="1:6">
      <c r="A4073" s="32">
        <v>37755</v>
      </c>
      <c r="B4073">
        <v>0.19</v>
      </c>
      <c r="C4073">
        <v>0.19</v>
      </c>
      <c r="D4073">
        <v>0.19</v>
      </c>
      <c r="E4073">
        <v>0.19</v>
      </c>
      <c r="F4073">
        <v>42941404</v>
      </c>
    </row>
    <row r="4074" spans="1:6">
      <c r="A4074" s="32">
        <v>37754</v>
      </c>
      <c r="B4074">
        <v>0.2</v>
      </c>
      <c r="C4074">
        <v>0.2</v>
      </c>
      <c r="D4074">
        <v>0.19</v>
      </c>
      <c r="E4074">
        <v>0.19</v>
      </c>
      <c r="F4074">
        <v>101602416</v>
      </c>
    </row>
    <row r="4075" spans="1:6">
      <c r="A4075" s="32">
        <v>37753</v>
      </c>
      <c r="B4075">
        <v>0.2</v>
      </c>
      <c r="C4075">
        <v>0.2</v>
      </c>
      <c r="D4075">
        <v>0.19</v>
      </c>
      <c r="E4075">
        <v>0.2</v>
      </c>
      <c r="F4075">
        <v>124947864</v>
      </c>
    </row>
    <row r="4076" spans="1:6">
      <c r="A4076" s="32">
        <v>37750</v>
      </c>
      <c r="B4076">
        <v>0.19</v>
      </c>
      <c r="C4076">
        <v>0.19</v>
      </c>
      <c r="D4076">
        <v>0.19</v>
      </c>
      <c r="E4076">
        <v>0.19</v>
      </c>
      <c r="F4076">
        <v>88234464</v>
      </c>
    </row>
    <row r="4077" spans="1:6">
      <c r="A4077" s="32">
        <v>37749</v>
      </c>
      <c r="B4077">
        <v>0.19</v>
      </c>
      <c r="C4077">
        <v>0.19</v>
      </c>
      <c r="D4077">
        <v>0.18</v>
      </c>
      <c r="E4077">
        <v>0.19</v>
      </c>
      <c r="F4077">
        <v>66538172</v>
      </c>
    </row>
    <row r="4078" spans="1:6">
      <c r="A4078" s="32">
        <v>37748</v>
      </c>
      <c r="B4078">
        <v>0.19</v>
      </c>
      <c r="C4078">
        <v>0.19</v>
      </c>
      <c r="D4078">
        <v>0.19</v>
      </c>
      <c r="E4078">
        <v>0.19</v>
      </c>
      <c r="F4078">
        <v>56318928</v>
      </c>
    </row>
    <row r="4079" spans="1:6">
      <c r="A4079" s="32">
        <v>37747</v>
      </c>
      <c r="B4079">
        <v>0.18</v>
      </c>
      <c r="C4079">
        <v>0.19</v>
      </c>
      <c r="D4079">
        <v>0.18</v>
      </c>
      <c r="E4079">
        <v>0.19</v>
      </c>
      <c r="F4079">
        <v>54327500</v>
      </c>
    </row>
    <row r="4080" spans="1:6">
      <c r="A4080" s="32">
        <v>37743</v>
      </c>
      <c r="B4080">
        <v>0.18</v>
      </c>
      <c r="C4080">
        <v>0.18</v>
      </c>
      <c r="D4080">
        <v>0.18</v>
      </c>
      <c r="E4080">
        <v>0.18</v>
      </c>
      <c r="F4080">
        <v>33245152</v>
      </c>
    </row>
    <row r="4081" spans="1:6">
      <c r="A4081" s="32">
        <v>37741</v>
      </c>
      <c r="B4081">
        <v>0.2</v>
      </c>
      <c r="C4081">
        <v>0.2</v>
      </c>
      <c r="D4081">
        <v>0.18</v>
      </c>
      <c r="E4081">
        <v>0.18</v>
      </c>
      <c r="F4081">
        <v>68357264</v>
      </c>
    </row>
    <row r="4082" spans="1:6">
      <c r="A4082" s="32">
        <v>37740</v>
      </c>
      <c r="B4082">
        <v>0.18</v>
      </c>
      <c r="C4082">
        <v>0.19</v>
      </c>
      <c r="D4082">
        <v>0.18</v>
      </c>
      <c r="E4082">
        <v>0.19</v>
      </c>
      <c r="F4082">
        <v>95412704</v>
      </c>
    </row>
    <row r="4083" spans="1:6">
      <c r="A4083" s="32">
        <v>37739</v>
      </c>
      <c r="B4083">
        <v>0.18</v>
      </c>
      <c r="C4083">
        <v>0.18</v>
      </c>
      <c r="D4083">
        <v>0.18</v>
      </c>
      <c r="E4083">
        <v>0.18</v>
      </c>
      <c r="F4083">
        <v>7327840</v>
      </c>
    </row>
    <row r="4084" spans="1:6">
      <c r="A4084" s="32">
        <v>37736</v>
      </c>
      <c r="B4084">
        <v>0.17</v>
      </c>
      <c r="C4084">
        <v>0.18</v>
      </c>
      <c r="D4084">
        <v>0.17</v>
      </c>
      <c r="E4084">
        <v>0.18</v>
      </c>
      <c r="F4084">
        <v>17209592</v>
      </c>
    </row>
    <row r="4085" spans="1:6">
      <c r="A4085" s="32">
        <v>37735</v>
      </c>
      <c r="B4085">
        <v>0.18</v>
      </c>
      <c r="C4085">
        <v>0.18</v>
      </c>
      <c r="D4085">
        <v>0.17</v>
      </c>
      <c r="E4085">
        <v>0.18</v>
      </c>
      <c r="F4085">
        <v>20883684</v>
      </c>
    </row>
    <row r="4086" spans="1:6">
      <c r="A4086" s="32">
        <v>37734</v>
      </c>
      <c r="B4086">
        <v>0.19</v>
      </c>
      <c r="C4086">
        <v>0.19</v>
      </c>
      <c r="D4086">
        <v>0.18</v>
      </c>
      <c r="E4086">
        <v>0.18</v>
      </c>
      <c r="F4086">
        <v>48182072</v>
      </c>
    </row>
    <row r="4087" spans="1:6">
      <c r="A4087" s="32">
        <v>37733</v>
      </c>
      <c r="B4087">
        <v>0.19</v>
      </c>
      <c r="C4087">
        <v>0.19</v>
      </c>
      <c r="D4087">
        <v>0.18</v>
      </c>
      <c r="E4087">
        <v>0.18</v>
      </c>
      <c r="F4087">
        <v>23576424</v>
      </c>
    </row>
    <row r="4088" spans="1:6">
      <c r="A4088" s="32">
        <v>37732</v>
      </c>
      <c r="B4088">
        <v>0.19</v>
      </c>
      <c r="C4088">
        <v>0.19</v>
      </c>
      <c r="D4088">
        <v>0.19</v>
      </c>
      <c r="E4088">
        <v>0.19</v>
      </c>
      <c r="F4088">
        <v>19268040</v>
      </c>
    </row>
    <row r="4089" spans="1:6">
      <c r="A4089" s="32">
        <v>37729</v>
      </c>
      <c r="B4089">
        <v>0.19</v>
      </c>
      <c r="C4089">
        <v>0.2</v>
      </c>
      <c r="D4089">
        <v>0.19</v>
      </c>
      <c r="E4089">
        <v>0.19</v>
      </c>
      <c r="F4089">
        <v>61199368</v>
      </c>
    </row>
    <row r="4090" spans="1:6">
      <c r="A4090" s="32">
        <v>37728</v>
      </c>
      <c r="B4090">
        <v>0.2</v>
      </c>
      <c r="C4090">
        <v>0.2</v>
      </c>
      <c r="D4090">
        <v>0.19</v>
      </c>
      <c r="E4090">
        <v>0.19</v>
      </c>
      <c r="F4090">
        <v>64418688</v>
      </c>
    </row>
    <row r="4091" spans="1:6">
      <c r="A4091" s="32">
        <v>37727</v>
      </c>
      <c r="B4091">
        <v>0.2</v>
      </c>
      <c r="C4091">
        <v>0.2</v>
      </c>
      <c r="D4091">
        <v>0.2</v>
      </c>
      <c r="E4091">
        <v>0.2</v>
      </c>
      <c r="F4091">
        <v>46172688</v>
      </c>
    </row>
    <row r="4092" spans="1:6">
      <c r="A4092" s="32">
        <v>37722</v>
      </c>
      <c r="B4092">
        <v>0.2</v>
      </c>
      <c r="C4092">
        <v>0.2</v>
      </c>
      <c r="D4092">
        <v>0.2</v>
      </c>
      <c r="E4092">
        <v>0.2</v>
      </c>
      <c r="F4092">
        <v>89146408</v>
      </c>
    </row>
    <row r="4093" spans="1:6">
      <c r="A4093" s="32">
        <v>37721</v>
      </c>
      <c r="B4093">
        <v>0.2</v>
      </c>
      <c r="C4093">
        <v>0.2</v>
      </c>
      <c r="D4093">
        <v>0.19</v>
      </c>
      <c r="E4093">
        <v>0.19</v>
      </c>
      <c r="F4093">
        <v>76345728</v>
      </c>
    </row>
    <row r="4094" spans="1:6">
      <c r="A4094" s="32">
        <v>37720</v>
      </c>
      <c r="B4094">
        <v>0.18</v>
      </c>
      <c r="C4094">
        <v>0.2</v>
      </c>
      <c r="D4094">
        <v>0.18</v>
      </c>
      <c r="E4094">
        <v>0.2</v>
      </c>
      <c r="F4094">
        <v>281275104</v>
      </c>
    </row>
    <row r="4095" spans="1:6">
      <c r="A4095" s="32">
        <v>37719</v>
      </c>
      <c r="B4095">
        <v>0.18</v>
      </c>
      <c r="C4095">
        <v>0.18</v>
      </c>
      <c r="D4095">
        <v>0.18</v>
      </c>
      <c r="E4095">
        <v>0.18</v>
      </c>
      <c r="F4095">
        <v>62987348</v>
      </c>
    </row>
    <row r="4096" spans="1:6">
      <c r="A4096" s="32">
        <v>37715</v>
      </c>
      <c r="B4096">
        <v>0.17</v>
      </c>
      <c r="C4096">
        <v>0.18</v>
      </c>
      <c r="D4096">
        <v>0.17</v>
      </c>
      <c r="E4096">
        <v>0.18</v>
      </c>
      <c r="F4096">
        <v>70361864</v>
      </c>
    </row>
    <row r="4097" spans="1:6">
      <c r="A4097" s="32">
        <v>37714</v>
      </c>
      <c r="B4097">
        <v>0.17</v>
      </c>
      <c r="C4097">
        <v>0.17</v>
      </c>
      <c r="D4097">
        <v>0.17</v>
      </c>
      <c r="E4097">
        <v>0.17</v>
      </c>
      <c r="F4097">
        <v>9578969</v>
      </c>
    </row>
    <row r="4098" spans="1:6">
      <c r="A4098" s="32">
        <v>37713</v>
      </c>
      <c r="B4098">
        <v>0.17</v>
      </c>
      <c r="C4098">
        <v>0.17</v>
      </c>
      <c r="D4098">
        <v>0.17</v>
      </c>
      <c r="E4098">
        <v>0.17</v>
      </c>
      <c r="F4098">
        <v>18277114</v>
      </c>
    </row>
    <row r="4099" spans="1:6">
      <c r="A4099" s="32">
        <v>37712</v>
      </c>
      <c r="B4099">
        <v>0.17</v>
      </c>
      <c r="C4099">
        <v>0.18</v>
      </c>
      <c r="D4099">
        <v>0.17</v>
      </c>
      <c r="E4099">
        <v>0.18</v>
      </c>
      <c r="F4099">
        <v>52579016</v>
      </c>
    </row>
    <row r="4100" spans="1:6">
      <c r="A4100" s="32">
        <v>37711</v>
      </c>
      <c r="B4100">
        <v>0.17</v>
      </c>
      <c r="C4100">
        <v>0.17</v>
      </c>
      <c r="D4100">
        <v>0.17</v>
      </c>
      <c r="E4100">
        <v>0.17</v>
      </c>
      <c r="F4100">
        <v>13657571</v>
      </c>
    </row>
    <row r="4101" spans="1:6">
      <c r="A4101" s="32">
        <v>37708</v>
      </c>
      <c r="B4101">
        <v>0.17</v>
      </c>
      <c r="C4101">
        <v>0.17</v>
      </c>
      <c r="D4101">
        <v>0.17</v>
      </c>
      <c r="E4101">
        <v>0.17</v>
      </c>
      <c r="F4101">
        <v>8625141</v>
      </c>
    </row>
    <row r="4102" spans="1:6">
      <c r="A4102" s="32">
        <v>37707</v>
      </c>
      <c r="B4102">
        <v>0.17</v>
      </c>
      <c r="C4102">
        <v>0.18</v>
      </c>
      <c r="D4102">
        <v>0.17</v>
      </c>
      <c r="E4102">
        <v>0.17</v>
      </c>
      <c r="F4102">
        <v>20838208</v>
      </c>
    </row>
    <row r="4103" spans="1:6">
      <c r="A4103" s="32">
        <v>37706</v>
      </c>
      <c r="B4103">
        <v>0.17</v>
      </c>
      <c r="C4103">
        <v>0.18</v>
      </c>
      <c r="D4103">
        <v>0.17</v>
      </c>
      <c r="E4103">
        <v>0.17</v>
      </c>
      <c r="F4103">
        <v>32797558</v>
      </c>
    </row>
    <row r="4104" spans="1:6">
      <c r="A4104" s="32">
        <v>37705</v>
      </c>
      <c r="B4104">
        <v>0.17</v>
      </c>
      <c r="C4104">
        <v>0.17</v>
      </c>
      <c r="D4104">
        <v>0.17</v>
      </c>
      <c r="E4104">
        <v>0.17</v>
      </c>
      <c r="F4104">
        <v>9227118</v>
      </c>
    </row>
    <row r="4105" spans="1:6">
      <c r="A4105" s="32">
        <v>37704</v>
      </c>
      <c r="B4105">
        <v>0.17</v>
      </c>
      <c r="C4105">
        <v>0.18</v>
      </c>
      <c r="D4105">
        <v>0.17</v>
      </c>
      <c r="E4105">
        <v>0.17</v>
      </c>
      <c r="F4105">
        <v>60381972</v>
      </c>
    </row>
    <row r="4106" spans="1:6">
      <c r="A4106" s="32">
        <v>37701</v>
      </c>
      <c r="B4106">
        <v>0.17</v>
      </c>
      <c r="C4106">
        <v>0.18</v>
      </c>
      <c r="D4106">
        <v>0.17</v>
      </c>
      <c r="E4106">
        <v>0.17</v>
      </c>
      <c r="F4106">
        <v>46647808</v>
      </c>
    </row>
    <row r="4107" spans="1:6">
      <c r="A4107" s="32">
        <v>37700</v>
      </c>
      <c r="B4107">
        <v>0.17</v>
      </c>
      <c r="C4107">
        <v>0.17</v>
      </c>
      <c r="D4107">
        <v>0.17</v>
      </c>
      <c r="E4107">
        <v>0.17</v>
      </c>
      <c r="F4107">
        <v>24968270</v>
      </c>
    </row>
    <row r="4108" spans="1:6">
      <c r="A4108" s="32">
        <v>37699</v>
      </c>
      <c r="B4108">
        <v>0.17</v>
      </c>
      <c r="C4108">
        <v>0.17</v>
      </c>
      <c r="D4108">
        <v>0.17</v>
      </c>
      <c r="E4108">
        <v>0.17</v>
      </c>
      <c r="F4108">
        <v>39151224</v>
      </c>
    </row>
    <row r="4109" spans="1:6">
      <c r="A4109" s="32">
        <v>37698</v>
      </c>
      <c r="B4109">
        <v>0.17</v>
      </c>
      <c r="C4109">
        <v>0.17</v>
      </c>
      <c r="D4109">
        <v>0.17</v>
      </c>
      <c r="E4109">
        <v>0.17</v>
      </c>
      <c r="F4109">
        <v>35410112</v>
      </c>
    </row>
    <row r="4110" spans="1:6">
      <c r="A4110" s="32">
        <v>37697</v>
      </c>
      <c r="B4110">
        <v>0.17</v>
      </c>
      <c r="C4110">
        <v>0.17</v>
      </c>
      <c r="D4110">
        <v>0.17</v>
      </c>
      <c r="E4110">
        <v>0.17</v>
      </c>
      <c r="F4110">
        <v>9940395</v>
      </c>
    </row>
    <row r="4111" spans="1:6">
      <c r="A4111" s="32">
        <v>37694</v>
      </c>
      <c r="B4111">
        <v>0.17</v>
      </c>
      <c r="C4111">
        <v>0.17</v>
      </c>
      <c r="D4111">
        <v>0.17</v>
      </c>
      <c r="E4111">
        <v>0.17</v>
      </c>
      <c r="F4111">
        <v>28534652</v>
      </c>
    </row>
    <row r="4112" spans="1:6">
      <c r="A4112" s="32">
        <v>37693</v>
      </c>
      <c r="B4112">
        <v>0.17</v>
      </c>
      <c r="C4112">
        <v>0.17</v>
      </c>
      <c r="D4112">
        <v>0.17</v>
      </c>
      <c r="E4112">
        <v>0.17</v>
      </c>
      <c r="F4112">
        <v>25913720</v>
      </c>
    </row>
    <row r="4113" spans="1:6">
      <c r="A4113" s="32">
        <v>37692</v>
      </c>
      <c r="B4113">
        <v>0.17</v>
      </c>
      <c r="C4113">
        <v>0.17</v>
      </c>
      <c r="D4113">
        <v>0.16</v>
      </c>
      <c r="E4113">
        <v>0.17</v>
      </c>
      <c r="F4113">
        <v>2403120</v>
      </c>
    </row>
    <row r="4114" spans="1:6">
      <c r="A4114" s="32">
        <v>37691</v>
      </c>
      <c r="B4114">
        <v>0.16</v>
      </c>
      <c r="C4114">
        <v>0.16</v>
      </c>
      <c r="D4114">
        <v>0.16</v>
      </c>
      <c r="E4114">
        <v>0.16</v>
      </c>
      <c r="F4114">
        <v>7348185</v>
      </c>
    </row>
    <row r="4115" spans="1:6">
      <c r="A4115" s="32">
        <v>37690</v>
      </c>
      <c r="B4115">
        <v>0.17</v>
      </c>
      <c r="C4115">
        <v>0.17</v>
      </c>
      <c r="D4115">
        <v>0.17</v>
      </c>
      <c r="E4115">
        <v>0.17</v>
      </c>
      <c r="F4115">
        <v>9987069</v>
      </c>
    </row>
    <row r="4116" spans="1:6">
      <c r="A4116" s="32">
        <v>37687</v>
      </c>
      <c r="B4116">
        <v>0.17</v>
      </c>
      <c r="C4116">
        <v>0.17</v>
      </c>
      <c r="D4116">
        <v>0.17</v>
      </c>
      <c r="E4116">
        <v>0.17</v>
      </c>
      <c r="F4116">
        <v>18365676</v>
      </c>
    </row>
    <row r="4117" spans="1:6">
      <c r="A4117" s="32">
        <v>37686</v>
      </c>
      <c r="B4117">
        <v>0.17</v>
      </c>
      <c r="C4117">
        <v>0.17</v>
      </c>
      <c r="D4117">
        <v>0.17</v>
      </c>
      <c r="E4117">
        <v>0.17</v>
      </c>
      <c r="F4117">
        <v>4510637</v>
      </c>
    </row>
    <row r="4118" spans="1:6">
      <c r="A4118" s="32">
        <v>37685</v>
      </c>
      <c r="B4118">
        <v>0.17</v>
      </c>
      <c r="C4118">
        <v>0.17</v>
      </c>
      <c r="D4118">
        <v>0.17</v>
      </c>
      <c r="E4118">
        <v>0.17</v>
      </c>
      <c r="F4118">
        <v>14728682</v>
      </c>
    </row>
    <row r="4119" spans="1:6">
      <c r="A4119" s="32">
        <v>37684</v>
      </c>
      <c r="B4119">
        <v>0.17</v>
      </c>
      <c r="C4119">
        <v>0.18</v>
      </c>
      <c r="D4119">
        <v>0.17</v>
      </c>
      <c r="E4119">
        <v>0.17</v>
      </c>
      <c r="F4119">
        <v>15586768</v>
      </c>
    </row>
    <row r="4120" spans="1:6">
      <c r="A4120" s="32">
        <v>37683</v>
      </c>
      <c r="B4120">
        <v>0.17</v>
      </c>
      <c r="C4120">
        <v>0.18</v>
      </c>
      <c r="D4120">
        <v>0.17</v>
      </c>
      <c r="E4120">
        <v>0.17</v>
      </c>
      <c r="F4120">
        <v>24726522</v>
      </c>
    </row>
    <row r="4121" spans="1:6">
      <c r="A4121" s="32">
        <v>37680</v>
      </c>
      <c r="B4121">
        <v>0.17</v>
      </c>
      <c r="C4121">
        <v>0.17</v>
      </c>
      <c r="D4121">
        <v>0.17</v>
      </c>
      <c r="E4121">
        <v>0.17</v>
      </c>
      <c r="F4121">
        <v>19592368</v>
      </c>
    </row>
    <row r="4122" spans="1:6">
      <c r="A4122" s="32">
        <v>37679</v>
      </c>
      <c r="B4122">
        <v>0.17</v>
      </c>
      <c r="C4122">
        <v>0.17</v>
      </c>
      <c r="D4122">
        <v>0.17</v>
      </c>
      <c r="E4122">
        <v>0.17</v>
      </c>
      <c r="F4122">
        <v>29077988</v>
      </c>
    </row>
    <row r="4123" spans="1:6">
      <c r="A4123" s="32">
        <v>37678</v>
      </c>
      <c r="B4123">
        <v>0.17</v>
      </c>
      <c r="C4123">
        <v>0.18</v>
      </c>
      <c r="D4123">
        <v>0.17</v>
      </c>
      <c r="E4123">
        <v>0.17</v>
      </c>
      <c r="F4123">
        <v>26835236</v>
      </c>
    </row>
    <row r="4124" spans="1:6">
      <c r="A4124" s="32">
        <v>37677</v>
      </c>
      <c r="B4124">
        <v>0.17</v>
      </c>
      <c r="C4124">
        <v>0.18</v>
      </c>
      <c r="D4124">
        <v>0.17</v>
      </c>
      <c r="E4124">
        <v>0.17</v>
      </c>
      <c r="F4124">
        <v>37924532</v>
      </c>
    </row>
    <row r="4125" spans="1:6">
      <c r="A4125" s="32">
        <v>37676</v>
      </c>
      <c r="B4125">
        <v>0.18</v>
      </c>
      <c r="C4125">
        <v>0.18</v>
      </c>
      <c r="D4125">
        <v>0.17</v>
      </c>
      <c r="E4125">
        <v>0.17</v>
      </c>
      <c r="F4125">
        <v>80578712</v>
      </c>
    </row>
    <row r="4126" spans="1:6">
      <c r="A4126" s="32">
        <v>37673</v>
      </c>
      <c r="B4126">
        <v>0.17</v>
      </c>
      <c r="C4126">
        <v>0.17</v>
      </c>
      <c r="D4126">
        <v>0.17</v>
      </c>
      <c r="E4126">
        <v>0.17</v>
      </c>
      <c r="F4126">
        <v>63464860</v>
      </c>
    </row>
    <row r="4127" spans="1:6">
      <c r="A4127" s="32">
        <v>37672</v>
      </c>
      <c r="B4127">
        <v>0.17</v>
      </c>
      <c r="C4127">
        <v>0.17</v>
      </c>
      <c r="D4127">
        <v>0.17</v>
      </c>
      <c r="E4127">
        <v>0.17</v>
      </c>
      <c r="F4127">
        <v>37937696</v>
      </c>
    </row>
    <row r="4128" spans="1:6">
      <c r="A4128" s="32">
        <v>37671</v>
      </c>
      <c r="B4128">
        <v>0.17</v>
      </c>
      <c r="C4128">
        <v>0.17</v>
      </c>
      <c r="D4128">
        <v>0.17</v>
      </c>
      <c r="E4128">
        <v>0.17</v>
      </c>
      <c r="F4128">
        <v>23548898</v>
      </c>
    </row>
    <row r="4129" spans="1:6">
      <c r="A4129" s="32">
        <v>37670</v>
      </c>
      <c r="B4129">
        <v>0.17</v>
      </c>
      <c r="C4129">
        <v>0.17</v>
      </c>
      <c r="D4129">
        <v>0.17</v>
      </c>
      <c r="E4129">
        <v>0.17</v>
      </c>
      <c r="F4129">
        <v>51688616</v>
      </c>
    </row>
    <row r="4130" spans="1:6">
      <c r="A4130" s="32">
        <v>37666</v>
      </c>
      <c r="B4130">
        <v>0.18</v>
      </c>
      <c r="C4130">
        <v>0.18</v>
      </c>
      <c r="D4130">
        <v>0.17</v>
      </c>
      <c r="E4130">
        <v>0.17</v>
      </c>
      <c r="F4130">
        <v>32014868</v>
      </c>
    </row>
    <row r="4131" spans="1:6">
      <c r="A4131" s="32">
        <v>37665</v>
      </c>
      <c r="B4131">
        <v>0.19</v>
      </c>
      <c r="C4131">
        <v>0.19</v>
      </c>
      <c r="D4131">
        <v>0.17</v>
      </c>
      <c r="E4131">
        <v>0.18</v>
      </c>
      <c r="F4131">
        <v>48413048</v>
      </c>
    </row>
    <row r="4132" spans="1:6">
      <c r="A4132" s="32">
        <v>37664</v>
      </c>
      <c r="B4132">
        <v>0.19</v>
      </c>
      <c r="C4132">
        <v>0.19</v>
      </c>
      <c r="D4132">
        <v>0.19</v>
      </c>
      <c r="E4132">
        <v>0.19</v>
      </c>
      <c r="F4132">
        <v>30137132</v>
      </c>
    </row>
    <row r="4133" spans="1:6">
      <c r="A4133" s="32">
        <v>37663</v>
      </c>
      <c r="B4133">
        <v>0.18</v>
      </c>
      <c r="C4133">
        <v>0.19</v>
      </c>
      <c r="D4133">
        <v>0.18</v>
      </c>
      <c r="E4133">
        <v>0.18</v>
      </c>
      <c r="F4133">
        <v>18345330</v>
      </c>
    </row>
    <row r="4134" spans="1:6">
      <c r="A4134" s="32">
        <v>37662</v>
      </c>
      <c r="B4134">
        <v>0.18</v>
      </c>
      <c r="C4134">
        <v>0.19</v>
      </c>
      <c r="D4134">
        <v>0.18</v>
      </c>
      <c r="E4134">
        <v>0.18</v>
      </c>
      <c r="F4134">
        <v>34097252</v>
      </c>
    </row>
    <row r="4135" spans="1:6">
      <c r="A4135" s="32">
        <v>37659</v>
      </c>
      <c r="B4135">
        <v>0.19</v>
      </c>
      <c r="C4135">
        <v>0.19</v>
      </c>
      <c r="D4135">
        <v>0.18</v>
      </c>
      <c r="E4135">
        <v>0.18</v>
      </c>
      <c r="F4135">
        <v>81410464</v>
      </c>
    </row>
    <row r="4136" spans="1:6">
      <c r="A4136" s="32">
        <v>37658</v>
      </c>
      <c r="B4136">
        <v>0.19</v>
      </c>
      <c r="C4136">
        <v>0.19</v>
      </c>
      <c r="D4136">
        <v>0.19</v>
      </c>
      <c r="E4136">
        <v>0.19</v>
      </c>
      <c r="F4136">
        <v>37786904</v>
      </c>
    </row>
    <row r="4137" spans="1:6">
      <c r="A4137" s="32">
        <v>37657</v>
      </c>
      <c r="B4137">
        <v>0.19</v>
      </c>
      <c r="C4137">
        <v>0.19</v>
      </c>
      <c r="D4137">
        <v>0.18</v>
      </c>
      <c r="E4137">
        <v>0.18</v>
      </c>
      <c r="F4137">
        <v>17245496</v>
      </c>
    </row>
    <row r="4138" spans="1:6">
      <c r="A4138" s="32">
        <v>37656</v>
      </c>
      <c r="B4138">
        <v>0.18</v>
      </c>
      <c r="C4138">
        <v>0.19</v>
      </c>
      <c r="D4138">
        <v>0.18</v>
      </c>
      <c r="E4138">
        <v>0.19</v>
      </c>
      <c r="F4138">
        <v>40887740</v>
      </c>
    </row>
    <row r="4139" spans="1:6">
      <c r="A4139" s="32">
        <v>37655</v>
      </c>
      <c r="B4139">
        <v>0.18</v>
      </c>
      <c r="C4139">
        <v>0.18</v>
      </c>
      <c r="D4139">
        <v>0.18</v>
      </c>
      <c r="E4139">
        <v>0.18</v>
      </c>
      <c r="F4139">
        <v>2948848</v>
      </c>
    </row>
    <row r="4140" spans="1:6">
      <c r="A4140" s="32">
        <v>37652</v>
      </c>
      <c r="B4140">
        <v>0.18</v>
      </c>
      <c r="C4140">
        <v>0.18</v>
      </c>
      <c r="D4140">
        <v>0.18</v>
      </c>
      <c r="E4140">
        <v>0.18</v>
      </c>
      <c r="F4140">
        <v>1376289</v>
      </c>
    </row>
    <row r="4141" spans="1:6">
      <c r="A4141" s="32">
        <v>37651</v>
      </c>
      <c r="B4141">
        <v>0.18</v>
      </c>
      <c r="C4141">
        <v>0.18</v>
      </c>
      <c r="D4141">
        <v>0.18</v>
      </c>
      <c r="E4141">
        <v>0.18</v>
      </c>
      <c r="F4141">
        <v>4155195</v>
      </c>
    </row>
    <row r="4142" spans="1:6">
      <c r="A4142" s="32">
        <v>37650</v>
      </c>
      <c r="B4142">
        <v>0.18</v>
      </c>
      <c r="C4142">
        <v>0.19</v>
      </c>
      <c r="D4142">
        <v>0.18</v>
      </c>
      <c r="E4142">
        <v>0.18</v>
      </c>
      <c r="F4142">
        <v>29036100</v>
      </c>
    </row>
    <row r="4143" spans="1:6">
      <c r="A4143" s="32">
        <v>37649</v>
      </c>
      <c r="B4143">
        <v>0.18</v>
      </c>
      <c r="C4143">
        <v>0.18</v>
      </c>
      <c r="D4143">
        <v>0.18</v>
      </c>
      <c r="E4143">
        <v>0.18</v>
      </c>
      <c r="F4143">
        <v>6159789</v>
      </c>
    </row>
    <row r="4144" spans="1:6">
      <c r="A4144" s="32">
        <v>37648</v>
      </c>
      <c r="B4144">
        <v>0.18</v>
      </c>
      <c r="C4144">
        <v>0.18</v>
      </c>
      <c r="D4144">
        <v>0.18</v>
      </c>
      <c r="E4144">
        <v>0.18</v>
      </c>
      <c r="F4144">
        <v>19540906</v>
      </c>
    </row>
    <row r="4145" spans="1:6">
      <c r="A4145" s="32">
        <v>37645</v>
      </c>
      <c r="B4145">
        <v>0.19</v>
      </c>
      <c r="C4145">
        <v>0.19</v>
      </c>
      <c r="D4145">
        <v>0.18</v>
      </c>
      <c r="E4145">
        <v>0.19</v>
      </c>
      <c r="F4145">
        <v>41566312</v>
      </c>
    </row>
    <row r="4146" spans="1:6">
      <c r="A4146" s="32">
        <v>37644</v>
      </c>
      <c r="B4146">
        <v>0.18</v>
      </c>
      <c r="C4146">
        <v>0.18</v>
      </c>
      <c r="D4146">
        <v>0.18</v>
      </c>
      <c r="E4146">
        <v>0.18</v>
      </c>
      <c r="F4146">
        <v>25859866</v>
      </c>
    </row>
    <row r="4147" spans="1:6">
      <c r="A4147" s="32">
        <v>37643</v>
      </c>
      <c r="B4147">
        <v>0.18</v>
      </c>
      <c r="C4147">
        <v>0.19</v>
      </c>
      <c r="D4147">
        <v>0.18</v>
      </c>
      <c r="E4147">
        <v>0.18</v>
      </c>
      <c r="F4147">
        <v>23600360</v>
      </c>
    </row>
    <row r="4148" spans="1:6">
      <c r="A4148" s="32">
        <v>37642</v>
      </c>
      <c r="B4148">
        <v>0.18</v>
      </c>
      <c r="C4148">
        <v>0.19</v>
      </c>
      <c r="D4148">
        <v>0.18</v>
      </c>
      <c r="E4148">
        <v>0.18</v>
      </c>
      <c r="F4148">
        <v>30345370</v>
      </c>
    </row>
    <row r="4149" spans="1:6">
      <c r="A4149" s="32">
        <v>37641</v>
      </c>
      <c r="B4149">
        <v>0.18</v>
      </c>
      <c r="C4149">
        <v>0.18</v>
      </c>
      <c r="D4149">
        <v>0.18</v>
      </c>
      <c r="E4149">
        <v>0.18</v>
      </c>
      <c r="F4149">
        <v>15733971</v>
      </c>
    </row>
    <row r="4150" spans="1:6">
      <c r="A4150" s="32">
        <v>37638</v>
      </c>
      <c r="B4150">
        <v>0.19</v>
      </c>
      <c r="C4150">
        <v>0.19</v>
      </c>
      <c r="D4150">
        <v>0.18</v>
      </c>
      <c r="E4150">
        <v>0.18</v>
      </c>
      <c r="F4150">
        <v>25675564</v>
      </c>
    </row>
    <row r="4151" spans="1:6">
      <c r="A4151" s="32">
        <v>37637</v>
      </c>
      <c r="B4151">
        <v>0.19</v>
      </c>
      <c r="C4151">
        <v>0.19</v>
      </c>
      <c r="D4151">
        <v>0.18</v>
      </c>
      <c r="E4151">
        <v>0.18</v>
      </c>
      <c r="F4151">
        <v>35072624</v>
      </c>
    </row>
    <row r="4152" spans="1:6">
      <c r="A4152" s="32">
        <v>37636</v>
      </c>
      <c r="B4152">
        <v>0.19</v>
      </c>
      <c r="C4152">
        <v>0.19</v>
      </c>
      <c r="D4152">
        <v>0.19</v>
      </c>
      <c r="E4152">
        <v>0.19</v>
      </c>
      <c r="F4152">
        <v>28757252</v>
      </c>
    </row>
    <row r="4153" spans="1:6">
      <c r="A4153" s="32">
        <v>37635</v>
      </c>
      <c r="B4153">
        <v>0.19</v>
      </c>
      <c r="C4153">
        <v>0.19</v>
      </c>
      <c r="D4153">
        <v>0.18</v>
      </c>
      <c r="E4153">
        <v>0.19</v>
      </c>
      <c r="F4153">
        <v>36306496</v>
      </c>
    </row>
    <row r="4154" spans="1:6">
      <c r="A4154" s="32">
        <v>37634</v>
      </c>
      <c r="B4154">
        <v>0.18</v>
      </c>
      <c r="C4154">
        <v>0.19</v>
      </c>
      <c r="D4154">
        <v>0.18</v>
      </c>
      <c r="E4154">
        <v>0.19</v>
      </c>
      <c r="F4154">
        <v>18723510</v>
      </c>
    </row>
    <row r="4155" spans="1:6">
      <c r="A4155" s="32">
        <v>37631</v>
      </c>
      <c r="B4155">
        <v>0.19</v>
      </c>
      <c r="C4155">
        <v>0.19</v>
      </c>
      <c r="D4155">
        <v>0.18</v>
      </c>
      <c r="E4155">
        <v>0.18</v>
      </c>
      <c r="F4155">
        <v>40036836</v>
      </c>
    </row>
    <row r="4156" spans="1:6">
      <c r="A4156" s="32">
        <v>37630</v>
      </c>
      <c r="B4156">
        <v>0.19</v>
      </c>
      <c r="C4156">
        <v>0.19</v>
      </c>
      <c r="D4156">
        <v>0.18</v>
      </c>
      <c r="E4156">
        <v>0.19</v>
      </c>
      <c r="F4156">
        <v>20236232</v>
      </c>
    </row>
    <row r="4157" spans="1:6">
      <c r="A4157" s="32">
        <v>37629</v>
      </c>
      <c r="B4157">
        <v>0.19</v>
      </c>
      <c r="C4157">
        <v>0.19</v>
      </c>
      <c r="D4157">
        <v>0.18</v>
      </c>
      <c r="E4157">
        <v>0.19</v>
      </c>
      <c r="F4157">
        <v>6155002</v>
      </c>
    </row>
    <row r="4158" spans="1:6">
      <c r="A4158" s="32">
        <v>37628</v>
      </c>
      <c r="B4158">
        <v>0.2</v>
      </c>
      <c r="C4158">
        <v>0.2</v>
      </c>
      <c r="D4158">
        <v>0.19</v>
      </c>
      <c r="E4158">
        <v>0.19</v>
      </c>
      <c r="F4158">
        <v>20872914</v>
      </c>
    </row>
    <row r="4159" spans="1:6">
      <c r="A4159" s="32">
        <v>37627</v>
      </c>
      <c r="B4159">
        <v>0.19</v>
      </c>
      <c r="C4159">
        <v>0.2</v>
      </c>
      <c r="D4159">
        <v>0.19</v>
      </c>
      <c r="E4159">
        <v>0.2</v>
      </c>
      <c r="F4159">
        <v>16556154</v>
      </c>
    </row>
    <row r="4160" spans="1:6">
      <c r="A4160" s="32">
        <v>37624</v>
      </c>
      <c r="B4160">
        <v>0.19</v>
      </c>
      <c r="C4160">
        <v>0.19</v>
      </c>
      <c r="D4160">
        <v>0.19</v>
      </c>
      <c r="E4160">
        <v>0.19</v>
      </c>
      <c r="F4160">
        <v>23355020</v>
      </c>
    </row>
    <row r="4161" spans="1:6">
      <c r="A4161" s="32">
        <v>37623</v>
      </c>
      <c r="B4161">
        <v>0.19</v>
      </c>
      <c r="C4161">
        <v>0.19</v>
      </c>
      <c r="D4161">
        <v>0.19</v>
      </c>
      <c r="E4161">
        <v>0.19</v>
      </c>
      <c r="F4161">
        <v>4958230</v>
      </c>
    </row>
    <row r="4162" spans="1:6">
      <c r="A4162" s="32">
        <v>37617</v>
      </c>
      <c r="B4162">
        <v>0.19</v>
      </c>
      <c r="C4162">
        <v>0.19</v>
      </c>
      <c r="D4162">
        <v>0.19</v>
      </c>
      <c r="E4162">
        <v>0.19</v>
      </c>
      <c r="F4162">
        <v>32774820</v>
      </c>
    </row>
    <row r="4163" spans="1:6">
      <c r="A4163" s="32">
        <v>37616</v>
      </c>
      <c r="B4163">
        <v>0.19</v>
      </c>
      <c r="C4163">
        <v>0.19</v>
      </c>
      <c r="D4163">
        <v>0.19</v>
      </c>
      <c r="E4163">
        <v>0.19</v>
      </c>
      <c r="F4163">
        <v>14077638</v>
      </c>
    </row>
    <row r="4164" spans="1:6">
      <c r="A4164" s="32">
        <v>37615</v>
      </c>
      <c r="B4164">
        <v>0.19</v>
      </c>
      <c r="C4164">
        <v>0.19</v>
      </c>
      <c r="D4164">
        <v>0.18</v>
      </c>
      <c r="E4164">
        <v>0.19</v>
      </c>
      <c r="F4164">
        <v>4404124</v>
      </c>
    </row>
    <row r="4165" spans="1:6">
      <c r="A4165" s="32">
        <v>37614</v>
      </c>
      <c r="B4165">
        <v>0.19</v>
      </c>
      <c r="C4165">
        <v>0.19</v>
      </c>
      <c r="D4165">
        <v>0.18</v>
      </c>
      <c r="E4165">
        <v>0.18</v>
      </c>
      <c r="F4165">
        <v>17855850</v>
      </c>
    </row>
    <row r="4166" spans="1:6">
      <c r="A4166" s="32">
        <v>37613</v>
      </c>
      <c r="B4166">
        <v>0.18</v>
      </c>
      <c r="C4166">
        <v>0.19</v>
      </c>
      <c r="D4166">
        <v>0.18</v>
      </c>
      <c r="E4166">
        <v>0.18</v>
      </c>
      <c r="F4166">
        <v>11260435</v>
      </c>
    </row>
    <row r="4167" spans="1:6">
      <c r="A4167" s="32">
        <v>37610</v>
      </c>
      <c r="B4167">
        <v>0.18</v>
      </c>
      <c r="C4167">
        <v>0.18</v>
      </c>
      <c r="D4167">
        <v>0.18</v>
      </c>
      <c r="E4167">
        <v>0.18</v>
      </c>
      <c r="F4167">
        <v>17374748</v>
      </c>
    </row>
    <row r="4168" spans="1:6">
      <c r="A4168" s="32">
        <v>37609</v>
      </c>
      <c r="B4168">
        <v>0.18</v>
      </c>
      <c r="C4168">
        <v>0.19</v>
      </c>
      <c r="D4168">
        <v>0.18</v>
      </c>
      <c r="E4168">
        <v>0.18</v>
      </c>
      <c r="F4168">
        <v>58584420</v>
      </c>
    </row>
    <row r="4169" spans="1:6">
      <c r="A4169" s="32">
        <v>37608</v>
      </c>
      <c r="B4169">
        <v>0.19</v>
      </c>
      <c r="C4169">
        <v>0.19</v>
      </c>
      <c r="D4169">
        <v>0.18</v>
      </c>
      <c r="E4169">
        <v>0.19</v>
      </c>
      <c r="F4169">
        <v>45198516</v>
      </c>
    </row>
    <row r="4170" spans="1:6">
      <c r="A4170" s="32">
        <v>37607</v>
      </c>
      <c r="B4170">
        <v>0.2</v>
      </c>
      <c r="C4170">
        <v>0.2</v>
      </c>
      <c r="D4170">
        <v>0.19</v>
      </c>
      <c r="E4170">
        <v>0.19</v>
      </c>
      <c r="F4170">
        <v>47672248</v>
      </c>
    </row>
    <row r="4171" spans="1:6">
      <c r="A4171" s="32">
        <v>37606</v>
      </c>
      <c r="B4171">
        <v>0.19</v>
      </c>
      <c r="C4171">
        <v>0.2</v>
      </c>
      <c r="D4171">
        <v>0.19</v>
      </c>
      <c r="E4171">
        <v>0.19</v>
      </c>
      <c r="F4171">
        <v>23797826</v>
      </c>
    </row>
    <row r="4172" spans="1:6">
      <c r="A4172" s="32">
        <v>37603</v>
      </c>
      <c r="B4172">
        <v>0.2</v>
      </c>
      <c r="C4172">
        <v>0.2</v>
      </c>
      <c r="D4172">
        <v>0.19</v>
      </c>
      <c r="E4172">
        <v>0.19</v>
      </c>
      <c r="F4172">
        <v>57901064</v>
      </c>
    </row>
    <row r="4173" spans="1:6">
      <c r="A4173" s="32">
        <v>37602</v>
      </c>
      <c r="B4173">
        <v>0.21</v>
      </c>
      <c r="C4173">
        <v>0.21</v>
      </c>
      <c r="D4173">
        <v>0.2</v>
      </c>
      <c r="E4173">
        <v>0.2</v>
      </c>
      <c r="F4173">
        <v>39492304</v>
      </c>
    </row>
    <row r="4174" spans="1:6">
      <c r="A4174" s="32">
        <v>37601</v>
      </c>
      <c r="B4174">
        <v>0.21</v>
      </c>
      <c r="C4174">
        <v>0.22</v>
      </c>
      <c r="D4174">
        <v>0.21</v>
      </c>
      <c r="E4174">
        <v>0.21</v>
      </c>
      <c r="F4174">
        <v>19539708</v>
      </c>
    </row>
    <row r="4175" spans="1:6">
      <c r="A4175" s="32">
        <v>37599</v>
      </c>
      <c r="B4175">
        <v>0.22</v>
      </c>
      <c r="C4175">
        <v>0.22</v>
      </c>
      <c r="D4175">
        <v>0.22</v>
      </c>
      <c r="E4175">
        <v>0.22</v>
      </c>
      <c r="F4175">
        <v>5325639</v>
      </c>
    </row>
    <row r="4176" spans="1:6">
      <c r="A4176" s="32">
        <v>37596</v>
      </c>
      <c r="B4176">
        <v>0.22</v>
      </c>
      <c r="C4176">
        <v>0.22</v>
      </c>
      <c r="D4176">
        <v>0.21</v>
      </c>
      <c r="E4176">
        <v>0.22</v>
      </c>
      <c r="F4176">
        <v>11719996</v>
      </c>
    </row>
    <row r="4177" spans="1:6">
      <c r="A4177" s="32">
        <v>37594</v>
      </c>
      <c r="B4177">
        <v>0.22</v>
      </c>
      <c r="C4177">
        <v>0.22</v>
      </c>
      <c r="D4177">
        <v>0.22</v>
      </c>
      <c r="E4177">
        <v>0.22</v>
      </c>
      <c r="F4177">
        <v>12205885</v>
      </c>
    </row>
    <row r="4178" spans="1:6">
      <c r="A4178" s="32">
        <v>37593</v>
      </c>
      <c r="B4178">
        <v>0.23</v>
      </c>
      <c r="C4178">
        <v>0.23</v>
      </c>
      <c r="D4178">
        <v>0.22</v>
      </c>
      <c r="E4178">
        <v>0.22</v>
      </c>
      <c r="F4178">
        <v>17293366</v>
      </c>
    </row>
    <row r="4179" spans="1:6">
      <c r="A4179" s="32">
        <v>37592</v>
      </c>
      <c r="B4179">
        <v>0.22</v>
      </c>
      <c r="C4179">
        <v>0.23</v>
      </c>
      <c r="D4179">
        <v>0.22</v>
      </c>
      <c r="E4179">
        <v>0.23</v>
      </c>
      <c r="F4179">
        <v>21441380</v>
      </c>
    </row>
    <row r="4180" spans="1:6">
      <c r="A4180" s="32">
        <v>37589</v>
      </c>
      <c r="B4180">
        <v>0.23</v>
      </c>
      <c r="C4180">
        <v>0.23</v>
      </c>
      <c r="D4180">
        <v>0.22</v>
      </c>
      <c r="E4180">
        <v>0.22</v>
      </c>
      <c r="F4180">
        <v>14355289</v>
      </c>
    </row>
    <row r="4181" spans="1:6">
      <c r="A4181" s="32">
        <v>37588</v>
      </c>
      <c r="B4181">
        <v>0.23</v>
      </c>
      <c r="C4181">
        <v>0.23</v>
      </c>
      <c r="D4181">
        <v>0.22</v>
      </c>
      <c r="E4181">
        <v>0.22</v>
      </c>
      <c r="F4181">
        <v>27475508</v>
      </c>
    </row>
    <row r="4182" spans="1:6">
      <c r="A4182" s="32">
        <v>37587</v>
      </c>
      <c r="B4182">
        <v>0.22</v>
      </c>
      <c r="C4182">
        <v>0.23</v>
      </c>
      <c r="D4182">
        <v>0.22</v>
      </c>
      <c r="E4182">
        <v>0.22</v>
      </c>
      <c r="F4182">
        <v>61454280</v>
      </c>
    </row>
    <row r="4183" spans="1:6">
      <c r="A4183" s="32">
        <v>37586</v>
      </c>
      <c r="B4183">
        <v>0.23</v>
      </c>
      <c r="C4183">
        <v>0.23</v>
      </c>
      <c r="D4183">
        <v>0.22</v>
      </c>
      <c r="E4183">
        <v>0.22</v>
      </c>
      <c r="F4183">
        <v>34650160</v>
      </c>
    </row>
    <row r="4184" spans="1:6">
      <c r="A4184" s="32">
        <v>37585</v>
      </c>
      <c r="B4184">
        <v>0.23</v>
      </c>
      <c r="C4184">
        <v>0.23</v>
      </c>
      <c r="D4184">
        <v>0.23</v>
      </c>
      <c r="E4184">
        <v>0.23</v>
      </c>
      <c r="F4184">
        <v>31190292</v>
      </c>
    </row>
    <row r="4185" spans="1:6">
      <c r="A4185" s="32">
        <v>37582</v>
      </c>
      <c r="B4185">
        <v>0.24</v>
      </c>
      <c r="C4185">
        <v>0.24</v>
      </c>
      <c r="D4185">
        <v>0.23</v>
      </c>
      <c r="E4185">
        <v>0.23</v>
      </c>
      <c r="F4185">
        <v>64628124</v>
      </c>
    </row>
    <row r="4186" spans="1:6">
      <c r="A4186" s="32">
        <v>37581</v>
      </c>
      <c r="B4186">
        <v>0.23</v>
      </c>
      <c r="C4186">
        <v>0.24</v>
      </c>
      <c r="D4186">
        <v>0.23</v>
      </c>
      <c r="E4186">
        <v>0.23</v>
      </c>
      <c r="F4186">
        <v>123295120</v>
      </c>
    </row>
    <row r="4187" spans="1:6">
      <c r="A4187" s="32">
        <v>37580</v>
      </c>
      <c r="B4187">
        <v>0.22</v>
      </c>
      <c r="C4187">
        <v>0.23</v>
      </c>
      <c r="D4187">
        <v>0.22</v>
      </c>
      <c r="E4187">
        <v>0.23</v>
      </c>
      <c r="F4187">
        <v>113688624</v>
      </c>
    </row>
    <row r="4188" spans="1:6">
      <c r="A4188" s="32">
        <v>37579</v>
      </c>
      <c r="B4188">
        <v>0.22</v>
      </c>
      <c r="C4188">
        <v>0.23</v>
      </c>
      <c r="D4188">
        <v>0.22</v>
      </c>
      <c r="E4188">
        <v>0.22</v>
      </c>
      <c r="F4188">
        <v>153311376</v>
      </c>
    </row>
    <row r="4189" spans="1:6">
      <c r="A4189" s="32">
        <v>37578</v>
      </c>
      <c r="B4189">
        <v>0.21</v>
      </c>
      <c r="C4189">
        <v>0.22</v>
      </c>
      <c r="D4189">
        <v>0.21</v>
      </c>
      <c r="E4189">
        <v>0.22</v>
      </c>
      <c r="F4189">
        <v>42029464</v>
      </c>
    </row>
    <row r="4190" spans="1:6">
      <c r="A4190" s="32">
        <v>37575</v>
      </c>
      <c r="B4190">
        <v>0.21</v>
      </c>
      <c r="C4190">
        <v>0.21</v>
      </c>
      <c r="D4190">
        <v>0.21</v>
      </c>
      <c r="E4190">
        <v>0.21</v>
      </c>
      <c r="F4190">
        <v>28574146</v>
      </c>
    </row>
    <row r="4191" spans="1:6">
      <c r="A4191" s="32">
        <v>37574</v>
      </c>
      <c r="B4191">
        <v>0.2</v>
      </c>
      <c r="C4191">
        <v>0.21</v>
      </c>
      <c r="D4191">
        <v>0.2</v>
      </c>
      <c r="E4191">
        <v>0.21</v>
      </c>
      <c r="F4191">
        <v>41834388</v>
      </c>
    </row>
    <row r="4192" spans="1:6">
      <c r="A4192" s="32">
        <v>37573</v>
      </c>
      <c r="B4192">
        <v>0.2</v>
      </c>
      <c r="C4192">
        <v>0.2</v>
      </c>
      <c r="D4192">
        <v>0.19</v>
      </c>
      <c r="E4192">
        <v>0.2</v>
      </c>
      <c r="F4192">
        <v>7473846</v>
      </c>
    </row>
    <row r="4193" spans="1:6">
      <c r="A4193" s="32">
        <v>37572</v>
      </c>
      <c r="B4193">
        <v>0.2</v>
      </c>
      <c r="C4193">
        <v>0.2</v>
      </c>
      <c r="D4193">
        <v>0.19</v>
      </c>
      <c r="E4193">
        <v>0.2</v>
      </c>
      <c r="F4193">
        <v>12627149</v>
      </c>
    </row>
    <row r="4194" spans="1:6">
      <c r="A4194" s="32">
        <v>37571</v>
      </c>
      <c r="B4194">
        <v>0.21</v>
      </c>
      <c r="C4194">
        <v>0.21</v>
      </c>
      <c r="D4194">
        <v>0.2</v>
      </c>
      <c r="E4194">
        <v>0.2</v>
      </c>
      <c r="F4194">
        <v>6414702</v>
      </c>
    </row>
    <row r="4195" spans="1:6">
      <c r="A4195" s="32">
        <v>37568</v>
      </c>
      <c r="B4195">
        <v>0.21</v>
      </c>
      <c r="C4195">
        <v>0.22</v>
      </c>
      <c r="D4195">
        <v>0.21</v>
      </c>
      <c r="E4195">
        <v>0.21</v>
      </c>
      <c r="F4195">
        <v>18983210</v>
      </c>
    </row>
    <row r="4196" spans="1:6">
      <c r="A4196" s="32">
        <v>37567</v>
      </c>
      <c r="B4196">
        <v>0.21</v>
      </c>
      <c r="C4196">
        <v>0.21</v>
      </c>
      <c r="D4196">
        <v>0.2</v>
      </c>
      <c r="E4196">
        <v>0.21</v>
      </c>
      <c r="F4196">
        <v>17067176</v>
      </c>
    </row>
    <row r="4197" spans="1:6">
      <c r="A4197" s="32">
        <v>37566</v>
      </c>
      <c r="B4197">
        <v>0.21</v>
      </c>
      <c r="C4197">
        <v>0.21</v>
      </c>
      <c r="D4197">
        <v>0.21</v>
      </c>
      <c r="E4197">
        <v>0.21</v>
      </c>
      <c r="F4197">
        <v>8278077</v>
      </c>
    </row>
    <row r="4198" spans="1:6">
      <c r="A4198" s="32">
        <v>37565</v>
      </c>
      <c r="B4198">
        <v>0.22</v>
      </c>
      <c r="C4198">
        <v>0.22</v>
      </c>
      <c r="D4198">
        <v>0.2</v>
      </c>
      <c r="E4198">
        <v>0.21</v>
      </c>
      <c r="F4198">
        <v>17647612</v>
      </c>
    </row>
    <row r="4199" spans="1:6">
      <c r="A4199" s="32">
        <v>37564</v>
      </c>
      <c r="B4199">
        <v>0.22</v>
      </c>
      <c r="C4199">
        <v>0.22</v>
      </c>
      <c r="D4199">
        <v>0.21</v>
      </c>
      <c r="E4199">
        <v>0.22</v>
      </c>
      <c r="F4199">
        <v>17815160</v>
      </c>
    </row>
    <row r="4200" spans="1:6">
      <c r="A4200" s="32">
        <v>37561</v>
      </c>
      <c r="B4200">
        <v>0.21</v>
      </c>
      <c r="C4200">
        <v>0.23</v>
      </c>
      <c r="D4200">
        <v>0.21</v>
      </c>
      <c r="E4200">
        <v>0.22</v>
      </c>
      <c r="F4200">
        <v>56087952</v>
      </c>
    </row>
    <row r="4201" spans="1:6">
      <c r="A4201" s="32">
        <v>37560</v>
      </c>
      <c r="B4201">
        <v>0.21</v>
      </c>
      <c r="C4201">
        <v>0.22</v>
      </c>
      <c r="D4201">
        <v>0.21</v>
      </c>
      <c r="E4201">
        <v>0.21</v>
      </c>
      <c r="F4201">
        <v>12919162</v>
      </c>
    </row>
    <row r="4202" spans="1:6">
      <c r="A4202" s="32">
        <v>37559</v>
      </c>
      <c r="B4202">
        <v>0.21</v>
      </c>
      <c r="C4202">
        <v>0.21</v>
      </c>
      <c r="D4202">
        <v>0.21</v>
      </c>
      <c r="E4202">
        <v>0.21</v>
      </c>
      <c r="F4202">
        <v>37351280</v>
      </c>
    </row>
    <row r="4203" spans="1:6">
      <c r="A4203" s="32">
        <v>37558</v>
      </c>
      <c r="B4203">
        <v>0.22</v>
      </c>
      <c r="C4203">
        <v>0.22</v>
      </c>
      <c r="D4203">
        <v>0.21</v>
      </c>
      <c r="E4203">
        <v>0.21</v>
      </c>
      <c r="F4203">
        <v>56555888</v>
      </c>
    </row>
    <row r="4204" spans="1:6">
      <c r="A4204" s="32">
        <v>37557</v>
      </c>
      <c r="B4204">
        <v>0.22</v>
      </c>
      <c r="C4204">
        <v>0.23</v>
      </c>
      <c r="D4204">
        <v>0.22</v>
      </c>
      <c r="E4204">
        <v>0.22</v>
      </c>
      <c r="F4204">
        <v>49967656</v>
      </c>
    </row>
    <row r="4205" spans="1:6">
      <c r="A4205" s="32">
        <v>37554</v>
      </c>
      <c r="B4205">
        <v>0.21</v>
      </c>
      <c r="C4205">
        <v>0.22</v>
      </c>
      <c r="D4205">
        <v>0.21</v>
      </c>
      <c r="E4205">
        <v>0.22</v>
      </c>
      <c r="F4205">
        <v>91116296</v>
      </c>
    </row>
    <row r="4206" spans="1:6">
      <c r="A4206" s="32">
        <v>37553</v>
      </c>
      <c r="B4206">
        <v>0.2</v>
      </c>
      <c r="C4206">
        <v>0.21</v>
      </c>
      <c r="D4206">
        <v>0.2</v>
      </c>
      <c r="E4206">
        <v>0.21</v>
      </c>
      <c r="F4206">
        <v>72125904</v>
      </c>
    </row>
    <row r="4207" spans="1:6">
      <c r="A4207" s="32">
        <v>37551</v>
      </c>
      <c r="B4207">
        <v>0.2</v>
      </c>
      <c r="C4207">
        <v>0.2</v>
      </c>
      <c r="D4207">
        <v>0.2</v>
      </c>
      <c r="E4207">
        <v>0.2</v>
      </c>
      <c r="F4207">
        <v>41313792</v>
      </c>
    </row>
    <row r="4208" spans="1:6">
      <c r="A4208" s="32">
        <v>37550</v>
      </c>
      <c r="B4208">
        <v>0.2</v>
      </c>
      <c r="C4208">
        <v>0.2</v>
      </c>
      <c r="D4208">
        <v>0.19</v>
      </c>
      <c r="E4208">
        <v>0.2</v>
      </c>
      <c r="F4208">
        <v>36775632</v>
      </c>
    </row>
    <row r="4209" spans="1:6">
      <c r="A4209" s="32">
        <v>37547</v>
      </c>
      <c r="B4209">
        <v>0.19</v>
      </c>
      <c r="C4209">
        <v>0.2</v>
      </c>
      <c r="D4209">
        <v>0.19</v>
      </c>
      <c r="E4209">
        <v>0.2</v>
      </c>
      <c r="F4209">
        <v>63189600</v>
      </c>
    </row>
    <row r="4210" spans="1:6">
      <c r="A4210" s="32">
        <v>37546</v>
      </c>
      <c r="B4210">
        <v>0.19</v>
      </c>
      <c r="C4210">
        <v>0.19</v>
      </c>
      <c r="D4210">
        <v>0.19</v>
      </c>
      <c r="E4210">
        <v>0.19</v>
      </c>
      <c r="F4210">
        <v>37079608</v>
      </c>
    </row>
    <row r="4211" spans="1:6">
      <c r="A4211" s="32">
        <v>37545</v>
      </c>
      <c r="B4211">
        <v>0.19</v>
      </c>
      <c r="C4211">
        <v>0.19</v>
      </c>
      <c r="D4211">
        <v>0.19</v>
      </c>
      <c r="E4211">
        <v>0.19</v>
      </c>
      <c r="F4211">
        <v>20256576</v>
      </c>
    </row>
    <row r="4212" spans="1:6">
      <c r="A4212" s="32">
        <v>37544</v>
      </c>
      <c r="B4212">
        <v>0.18</v>
      </c>
      <c r="C4212">
        <v>0.19</v>
      </c>
      <c r="D4212">
        <v>0.18</v>
      </c>
      <c r="E4212">
        <v>0.19</v>
      </c>
      <c r="F4212">
        <v>21978732</v>
      </c>
    </row>
    <row r="4213" spans="1:6">
      <c r="A4213" s="32">
        <v>37543</v>
      </c>
      <c r="B4213">
        <v>0.19</v>
      </c>
      <c r="C4213">
        <v>0.19</v>
      </c>
      <c r="D4213">
        <v>0.18</v>
      </c>
      <c r="E4213">
        <v>0.18</v>
      </c>
      <c r="F4213">
        <v>22050538</v>
      </c>
    </row>
    <row r="4214" spans="1:6">
      <c r="A4214" s="32">
        <v>37540</v>
      </c>
      <c r="B4214">
        <v>0.19</v>
      </c>
      <c r="C4214">
        <v>0.2</v>
      </c>
      <c r="D4214">
        <v>0.19</v>
      </c>
      <c r="E4214">
        <v>0.19</v>
      </c>
      <c r="F4214">
        <v>24271748</v>
      </c>
    </row>
    <row r="4215" spans="1:6">
      <c r="A4215" s="32">
        <v>37539</v>
      </c>
      <c r="B4215">
        <v>0.2</v>
      </c>
      <c r="C4215">
        <v>0.2</v>
      </c>
      <c r="D4215">
        <v>0.19</v>
      </c>
      <c r="E4215">
        <v>0.19</v>
      </c>
      <c r="F4215">
        <v>24193958</v>
      </c>
    </row>
    <row r="4216" spans="1:6">
      <c r="A4216" s="32">
        <v>37538</v>
      </c>
      <c r="B4216">
        <v>0.2</v>
      </c>
      <c r="C4216">
        <v>0.2</v>
      </c>
      <c r="D4216">
        <v>0.2</v>
      </c>
      <c r="E4216">
        <v>0.2</v>
      </c>
      <c r="F4216">
        <v>35290436</v>
      </c>
    </row>
    <row r="4217" spans="1:6">
      <c r="A4217" s="32">
        <v>37537</v>
      </c>
      <c r="B4217">
        <v>0.2</v>
      </c>
      <c r="C4217">
        <v>0.21</v>
      </c>
      <c r="D4217">
        <v>0.2</v>
      </c>
      <c r="E4217">
        <v>0.2</v>
      </c>
      <c r="F4217">
        <v>67970712</v>
      </c>
    </row>
    <row r="4218" spans="1:6">
      <c r="A4218" s="32">
        <v>37536</v>
      </c>
      <c r="B4218">
        <v>0.2</v>
      </c>
      <c r="C4218">
        <v>0.2</v>
      </c>
      <c r="D4218">
        <v>0.19</v>
      </c>
      <c r="E4218">
        <v>0.2</v>
      </c>
      <c r="F4218">
        <v>19380538</v>
      </c>
    </row>
    <row r="4219" spans="1:6">
      <c r="A4219" s="32">
        <v>37533</v>
      </c>
      <c r="B4219">
        <v>0.2</v>
      </c>
      <c r="C4219">
        <v>0.2</v>
      </c>
      <c r="D4219">
        <v>0.2</v>
      </c>
      <c r="E4219">
        <v>0.2</v>
      </c>
      <c r="F4219">
        <v>37030544</v>
      </c>
    </row>
    <row r="4220" spans="1:6">
      <c r="A4220" s="32">
        <v>37532</v>
      </c>
      <c r="B4220">
        <v>0.2</v>
      </c>
      <c r="C4220">
        <v>0.2</v>
      </c>
      <c r="D4220">
        <v>0.19</v>
      </c>
      <c r="E4220">
        <v>0.19</v>
      </c>
      <c r="F4220">
        <v>23832532</v>
      </c>
    </row>
    <row r="4221" spans="1:6">
      <c r="A4221" s="32">
        <v>37531</v>
      </c>
      <c r="B4221">
        <v>0.2</v>
      </c>
      <c r="C4221">
        <v>0.2</v>
      </c>
      <c r="D4221">
        <v>0.19</v>
      </c>
      <c r="E4221">
        <v>0.2</v>
      </c>
      <c r="F4221">
        <v>31737216</v>
      </c>
    </row>
    <row r="4222" spans="1:6">
      <c r="A4222" s="32">
        <v>37530</v>
      </c>
      <c r="B4222">
        <v>0.2</v>
      </c>
      <c r="C4222">
        <v>0.2</v>
      </c>
      <c r="D4222">
        <v>0.19</v>
      </c>
      <c r="E4222">
        <v>0.2</v>
      </c>
      <c r="F4222">
        <v>16201910</v>
      </c>
    </row>
    <row r="4223" spans="1:6">
      <c r="A4223" s="32">
        <v>37529</v>
      </c>
      <c r="B4223">
        <v>0.19</v>
      </c>
      <c r="C4223">
        <v>0.2</v>
      </c>
      <c r="D4223">
        <v>0.19</v>
      </c>
      <c r="E4223">
        <v>0.19</v>
      </c>
      <c r="F4223">
        <v>24523072</v>
      </c>
    </row>
    <row r="4224" spans="1:6">
      <c r="A4224" s="32">
        <v>37526</v>
      </c>
      <c r="B4224">
        <v>0.2</v>
      </c>
      <c r="C4224">
        <v>0.2</v>
      </c>
      <c r="D4224">
        <v>0.19</v>
      </c>
      <c r="E4224">
        <v>0.2</v>
      </c>
      <c r="F4224">
        <v>53159448</v>
      </c>
    </row>
    <row r="4225" spans="1:6">
      <c r="A4225" s="32">
        <v>37525</v>
      </c>
      <c r="B4225">
        <v>0.21</v>
      </c>
      <c r="C4225">
        <v>0.21</v>
      </c>
      <c r="D4225">
        <v>0.19</v>
      </c>
      <c r="E4225">
        <v>0.19</v>
      </c>
      <c r="F4225">
        <v>90683064</v>
      </c>
    </row>
    <row r="4226" spans="1:6">
      <c r="A4226" s="32">
        <v>37524</v>
      </c>
      <c r="B4226">
        <v>0.19</v>
      </c>
      <c r="C4226">
        <v>0.23</v>
      </c>
      <c r="D4226">
        <v>0.19</v>
      </c>
      <c r="E4226">
        <v>0.2</v>
      </c>
      <c r="F4226">
        <v>369678304</v>
      </c>
    </row>
    <row r="4227" spans="1:6">
      <c r="A4227" s="32">
        <v>37523</v>
      </c>
      <c r="B4227">
        <v>0.2</v>
      </c>
      <c r="C4227">
        <v>0.2</v>
      </c>
      <c r="D4227">
        <v>0.19</v>
      </c>
      <c r="E4227">
        <v>0.19</v>
      </c>
      <c r="F4227">
        <v>39483928</v>
      </c>
    </row>
    <row r="4228" spans="1:6">
      <c r="A4228" s="32">
        <v>37522</v>
      </c>
      <c r="B4228">
        <v>0.2</v>
      </c>
      <c r="C4228">
        <v>0.2</v>
      </c>
      <c r="D4228">
        <v>0.2</v>
      </c>
      <c r="E4228">
        <v>0.2</v>
      </c>
      <c r="F4228">
        <v>34944568</v>
      </c>
    </row>
    <row r="4229" spans="1:6">
      <c r="A4229" s="32">
        <v>37519</v>
      </c>
      <c r="B4229">
        <v>0.2</v>
      </c>
      <c r="C4229">
        <v>0.21</v>
      </c>
      <c r="D4229">
        <v>0.2</v>
      </c>
      <c r="E4229">
        <v>0.2</v>
      </c>
      <c r="F4229">
        <v>97949864</v>
      </c>
    </row>
    <row r="4230" spans="1:6">
      <c r="A4230" s="32">
        <v>37518</v>
      </c>
      <c r="B4230">
        <v>0.2</v>
      </c>
      <c r="C4230">
        <v>0.21</v>
      </c>
      <c r="D4230">
        <v>0.2</v>
      </c>
      <c r="E4230">
        <v>0.21</v>
      </c>
      <c r="F4230">
        <v>159175568</v>
      </c>
    </row>
    <row r="4231" spans="1:6">
      <c r="A4231" s="32">
        <v>37517</v>
      </c>
      <c r="B4231">
        <v>0.19</v>
      </c>
      <c r="C4231">
        <v>0.2</v>
      </c>
      <c r="D4231">
        <v>0.19</v>
      </c>
      <c r="E4231">
        <v>0.2</v>
      </c>
      <c r="F4231">
        <v>73565624</v>
      </c>
    </row>
    <row r="4232" spans="1:6">
      <c r="A4232" s="32">
        <v>37516</v>
      </c>
      <c r="B4232">
        <v>0.19</v>
      </c>
      <c r="C4232">
        <v>0.21</v>
      </c>
      <c r="D4232">
        <v>0.19</v>
      </c>
      <c r="E4232">
        <v>0.2</v>
      </c>
      <c r="F4232">
        <v>103393984</v>
      </c>
    </row>
    <row r="4233" spans="1:6">
      <c r="A4233" s="32">
        <v>37515</v>
      </c>
      <c r="B4233">
        <v>0.19</v>
      </c>
      <c r="C4233">
        <v>0.19</v>
      </c>
      <c r="D4233">
        <v>0.19</v>
      </c>
      <c r="E4233">
        <v>0.19</v>
      </c>
      <c r="F4233">
        <v>29098332</v>
      </c>
    </row>
    <row r="4234" spans="1:6">
      <c r="A4234" s="32">
        <v>37512</v>
      </c>
      <c r="B4234">
        <v>0.19</v>
      </c>
      <c r="C4234">
        <v>0.19</v>
      </c>
      <c r="D4234">
        <v>0.19</v>
      </c>
      <c r="E4234">
        <v>0.19</v>
      </c>
      <c r="F4234">
        <v>19333864</v>
      </c>
    </row>
    <row r="4235" spans="1:6">
      <c r="A4235" s="32">
        <v>37511</v>
      </c>
      <c r="B4235">
        <v>0.2</v>
      </c>
      <c r="C4235">
        <v>0.2</v>
      </c>
      <c r="D4235">
        <v>0.2</v>
      </c>
      <c r="E4235">
        <v>0.2</v>
      </c>
      <c r="F4235">
        <v>59958316</v>
      </c>
    </row>
    <row r="4236" spans="1:6">
      <c r="A4236" s="32">
        <v>37510</v>
      </c>
      <c r="B4236">
        <v>0.2</v>
      </c>
      <c r="C4236">
        <v>0.2</v>
      </c>
      <c r="D4236">
        <v>0.19</v>
      </c>
      <c r="E4236">
        <v>0.2</v>
      </c>
      <c r="F4236">
        <v>44553456</v>
      </c>
    </row>
    <row r="4237" spans="1:6">
      <c r="A4237" s="32">
        <v>37509</v>
      </c>
      <c r="B4237">
        <v>0.19</v>
      </c>
      <c r="C4237">
        <v>0.2</v>
      </c>
      <c r="D4237">
        <v>0.19</v>
      </c>
      <c r="E4237">
        <v>0.2</v>
      </c>
      <c r="F4237">
        <v>54844504</v>
      </c>
    </row>
    <row r="4238" spans="1:6">
      <c r="A4238" s="32">
        <v>37508</v>
      </c>
      <c r="B4238">
        <v>0.19</v>
      </c>
      <c r="C4238">
        <v>0.19</v>
      </c>
      <c r="D4238">
        <v>0.19</v>
      </c>
      <c r="E4238">
        <v>0.19</v>
      </c>
      <c r="F4238">
        <v>14940511</v>
      </c>
    </row>
    <row r="4239" spans="1:6">
      <c r="A4239" s="32">
        <v>37505</v>
      </c>
      <c r="B4239">
        <v>0.19</v>
      </c>
      <c r="C4239">
        <v>0.19</v>
      </c>
      <c r="D4239">
        <v>0.19</v>
      </c>
      <c r="E4239">
        <v>0.19</v>
      </c>
      <c r="F4239">
        <v>14275105</v>
      </c>
    </row>
    <row r="4240" spans="1:6">
      <c r="A4240" s="32">
        <v>37504</v>
      </c>
      <c r="B4240">
        <v>0.19</v>
      </c>
      <c r="C4240">
        <v>0.19</v>
      </c>
      <c r="D4240">
        <v>0.19</v>
      </c>
      <c r="E4240">
        <v>0.19</v>
      </c>
      <c r="F4240">
        <v>32083084</v>
      </c>
    </row>
    <row r="4241" spans="1:6">
      <c r="A4241" s="32">
        <v>37503</v>
      </c>
      <c r="B4241">
        <v>0.19</v>
      </c>
      <c r="C4241">
        <v>0.19</v>
      </c>
      <c r="D4241">
        <v>0.18</v>
      </c>
      <c r="E4241">
        <v>0.19</v>
      </c>
      <c r="F4241">
        <v>47541800</v>
      </c>
    </row>
    <row r="4242" spans="1:6">
      <c r="A4242" s="32">
        <v>37502</v>
      </c>
      <c r="B4242">
        <v>0.19</v>
      </c>
      <c r="C4242">
        <v>0.2</v>
      </c>
      <c r="D4242">
        <v>0.19</v>
      </c>
      <c r="E4242">
        <v>0.19</v>
      </c>
      <c r="F4242">
        <v>35742816</v>
      </c>
    </row>
    <row r="4243" spans="1:6">
      <c r="A4243" s="32">
        <v>37501</v>
      </c>
      <c r="B4243">
        <v>0.19</v>
      </c>
      <c r="C4243">
        <v>0.2</v>
      </c>
      <c r="D4243">
        <v>0.19</v>
      </c>
      <c r="E4243">
        <v>0.19</v>
      </c>
      <c r="F4243">
        <v>115895472</v>
      </c>
    </row>
    <row r="4244" spans="1:6">
      <c r="A4244" s="32">
        <v>37498</v>
      </c>
      <c r="B4244">
        <v>0.19</v>
      </c>
      <c r="C4244">
        <v>0.2</v>
      </c>
      <c r="D4244">
        <v>0.18</v>
      </c>
      <c r="E4244">
        <v>0.19</v>
      </c>
      <c r="F4244">
        <v>100564816</v>
      </c>
    </row>
    <row r="4245" spans="1:6">
      <c r="A4245" s="32">
        <v>37497</v>
      </c>
      <c r="B4245">
        <v>0.2</v>
      </c>
      <c r="C4245">
        <v>0.2</v>
      </c>
      <c r="D4245">
        <v>0.19</v>
      </c>
      <c r="E4245">
        <v>0.19</v>
      </c>
      <c r="F4245">
        <v>73662560</v>
      </c>
    </row>
    <row r="4246" spans="1:6">
      <c r="A4246" s="32">
        <v>37496</v>
      </c>
      <c r="B4246">
        <v>0.21</v>
      </c>
      <c r="C4246">
        <v>0.22</v>
      </c>
      <c r="D4246">
        <v>0.2</v>
      </c>
      <c r="E4246">
        <v>0.2</v>
      </c>
      <c r="F4246">
        <v>59476016</v>
      </c>
    </row>
    <row r="4247" spans="1:6">
      <c r="A4247" s="32">
        <v>37495</v>
      </c>
      <c r="B4247">
        <v>0.22</v>
      </c>
      <c r="C4247">
        <v>0.22</v>
      </c>
      <c r="D4247">
        <v>0.21</v>
      </c>
      <c r="E4247">
        <v>0.21</v>
      </c>
      <c r="F4247">
        <v>21569436</v>
      </c>
    </row>
    <row r="4248" spans="1:6">
      <c r="A4248" s="32">
        <v>37494</v>
      </c>
      <c r="B4248">
        <v>0.22</v>
      </c>
      <c r="C4248">
        <v>0.22</v>
      </c>
      <c r="D4248">
        <v>0.21</v>
      </c>
      <c r="E4248">
        <v>0.22</v>
      </c>
      <c r="F4248">
        <v>33040502</v>
      </c>
    </row>
    <row r="4249" spans="1:6">
      <c r="A4249" s="32">
        <v>37491</v>
      </c>
      <c r="B4249">
        <v>0.22</v>
      </c>
      <c r="C4249">
        <v>0.22</v>
      </c>
      <c r="D4249">
        <v>0.22</v>
      </c>
      <c r="E4249">
        <v>0.22</v>
      </c>
      <c r="F4249">
        <v>10976800</v>
      </c>
    </row>
    <row r="4250" spans="1:6">
      <c r="A4250" s="32">
        <v>37490</v>
      </c>
      <c r="B4250">
        <v>0.23</v>
      </c>
      <c r="C4250">
        <v>0.23</v>
      </c>
      <c r="D4250">
        <v>0.22</v>
      </c>
      <c r="E4250">
        <v>0.22</v>
      </c>
      <c r="F4250">
        <v>30086868</v>
      </c>
    </row>
    <row r="4251" spans="1:6">
      <c r="A4251" s="32">
        <v>37489</v>
      </c>
      <c r="B4251">
        <v>0.23</v>
      </c>
      <c r="C4251">
        <v>0.23</v>
      </c>
      <c r="D4251">
        <v>0.22</v>
      </c>
      <c r="E4251">
        <v>0.22</v>
      </c>
      <c r="F4251">
        <v>11155119</v>
      </c>
    </row>
    <row r="4252" spans="1:6">
      <c r="A4252" s="32">
        <v>37488</v>
      </c>
      <c r="B4252">
        <v>0.23</v>
      </c>
      <c r="C4252">
        <v>0.23</v>
      </c>
      <c r="D4252">
        <v>0.23</v>
      </c>
      <c r="E4252">
        <v>0.23</v>
      </c>
      <c r="F4252">
        <v>4054666</v>
      </c>
    </row>
    <row r="4253" spans="1:6">
      <c r="A4253" s="32">
        <v>37487</v>
      </c>
      <c r="B4253">
        <v>0.23</v>
      </c>
      <c r="C4253">
        <v>0.23</v>
      </c>
      <c r="D4253">
        <v>0.23</v>
      </c>
      <c r="E4253">
        <v>0.23</v>
      </c>
      <c r="F4253">
        <v>16261748</v>
      </c>
    </row>
    <row r="4254" spans="1:6">
      <c r="A4254" s="32">
        <v>37484</v>
      </c>
      <c r="B4254">
        <v>0.23</v>
      </c>
      <c r="C4254">
        <v>0.23</v>
      </c>
      <c r="D4254">
        <v>0.23</v>
      </c>
      <c r="E4254">
        <v>0.23</v>
      </c>
      <c r="F4254">
        <v>15094895</v>
      </c>
    </row>
    <row r="4255" spans="1:6">
      <c r="A4255" s="32">
        <v>37483</v>
      </c>
      <c r="B4255">
        <v>0.23</v>
      </c>
      <c r="C4255">
        <v>0.23</v>
      </c>
      <c r="D4255">
        <v>0.23</v>
      </c>
      <c r="E4255">
        <v>0.23</v>
      </c>
      <c r="F4255">
        <v>51395408</v>
      </c>
    </row>
    <row r="4256" spans="1:6">
      <c r="A4256" s="32">
        <v>37482</v>
      </c>
      <c r="B4256">
        <v>0.22</v>
      </c>
      <c r="C4256">
        <v>0.23</v>
      </c>
      <c r="D4256">
        <v>0.22</v>
      </c>
      <c r="E4256">
        <v>0.23</v>
      </c>
      <c r="F4256">
        <v>27736406</v>
      </c>
    </row>
    <row r="4257" spans="1:6">
      <c r="A4257" s="32">
        <v>37481</v>
      </c>
      <c r="B4257">
        <v>0.23</v>
      </c>
      <c r="C4257">
        <v>0.23</v>
      </c>
      <c r="D4257">
        <v>0.22</v>
      </c>
      <c r="E4257">
        <v>0.22</v>
      </c>
      <c r="F4257">
        <v>25470916</v>
      </c>
    </row>
    <row r="4258" spans="1:6">
      <c r="A4258" s="32">
        <v>37477</v>
      </c>
      <c r="B4258">
        <v>0.23</v>
      </c>
      <c r="C4258">
        <v>0.23</v>
      </c>
      <c r="D4258">
        <v>0.23</v>
      </c>
      <c r="E4258">
        <v>0.23</v>
      </c>
      <c r="F4258">
        <v>50254880</v>
      </c>
    </row>
    <row r="4259" spans="1:6">
      <c r="A4259" s="32">
        <v>37476</v>
      </c>
      <c r="B4259">
        <v>0.24</v>
      </c>
      <c r="C4259">
        <v>0.24</v>
      </c>
      <c r="D4259">
        <v>0.23</v>
      </c>
      <c r="E4259">
        <v>0.23</v>
      </c>
      <c r="F4259">
        <v>52229556</v>
      </c>
    </row>
    <row r="4260" spans="1:6">
      <c r="A4260" s="32">
        <v>37475</v>
      </c>
      <c r="B4260">
        <v>0.23</v>
      </c>
      <c r="C4260">
        <v>0.24</v>
      </c>
      <c r="D4260">
        <v>0.23</v>
      </c>
      <c r="E4260">
        <v>0.23</v>
      </c>
      <c r="F4260">
        <v>43348304</v>
      </c>
    </row>
    <row r="4261" spans="1:6">
      <c r="A4261" s="32">
        <v>37474</v>
      </c>
      <c r="B4261">
        <v>0.23</v>
      </c>
      <c r="C4261">
        <v>0.23</v>
      </c>
      <c r="D4261">
        <v>0.22</v>
      </c>
      <c r="E4261">
        <v>0.23</v>
      </c>
      <c r="F4261">
        <v>26834040</v>
      </c>
    </row>
    <row r="4262" spans="1:6">
      <c r="A4262" s="32">
        <v>37473</v>
      </c>
      <c r="B4262">
        <v>0.23</v>
      </c>
      <c r="C4262">
        <v>0.24</v>
      </c>
      <c r="D4262">
        <v>0.23</v>
      </c>
      <c r="E4262">
        <v>0.23</v>
      </c>
      <c r="F4262">
        <v>31876042</v>
      </c>
    </row>
    <row r="4263" spans="1:6">
      <c r="A4263" s="32">
        <v>37470</v>
      </c>
      <c r="B4263">
        <v>0.23</v>
      </c>
      <c r="C4263">
        <v>0.24</v>
      </c>
      <c r="D4263">
        <v>0.23</v>
      </c>
      <c r="E4263">
        <v>0.23</v>
      </c>
      <c r="F4263">
        <v>79976736</v>
      </c>
    </row>
    <row r="4264" spans="1:6">
      <c r="A4264" s="32">
        <v>37469</v>
      </c>
      <c r="B4264">
        <v>0.23</v>
      </c>
      <c r="C4264">
        <v>0.24</v>
      </c>
      <c r="D4264">
        <v>0.23</v>
      </c>
      <c r="E4264">
        <v>0.23</v>
      </c>
      <c r="F4264">
        <v>50426020</v>
      </c>
    </row>
    <row r="4265" spans="1:6">
      <c r="A4265" s="32">
        <v>37468</v>
      </c>
      <c r="B4265">
        <v>0.23</v>
      </c>
      <c r="C4265">
        <v>0.23</v>
      </c>
      <c r="D4265">
        <v>0.23</v>
      </c>
      <c r="E4265">
        <v>0.23</v>
      </c>
      <c r="F4265">
        <v>47289280</v>
      </c>
    </row>
    <row r="4266" spans="1:6">
      <c r="A4266" s="32">
        <v>37467</v>
      </c>
      <c r="B4266">
        <v>0.23</v>
      </c>
      <c r="C4266">
        <v>0.23</v>
      </c>
      <c r="D4266">
        <v>0.23</v>
      </c>
      <c r="E4266">
        <v>0.23</v>
      </c>
      <c r="F4266">
        <v>35860100</v>
      </c>
    </row>
    <row r="4267" spans="1:6">
      <c r="A4267" s="32">
        <v>37466</v>
      </c>
      <c r="B4267">
        <v>0.23</v>
      </c>
      <c r="C4267">
        <v>0.23</v>
      </c>
      <c r="D4267">
        <v>0.22</v>
      </c>
      <c r="E4267">
        <v>0.22</v>
      </c>
      <c r="F4267">
        <v>40111036</v>
      </c>
    </row>
    <row r="4268" spans="1:6">
      <c r="A4268" s="32">
        <v>37463</v>
      </c>
      <c r="B4268">
        <v>0.23</v>
      </c>
      <c r="C4268">
        <v>0.23</v>
      </c>
      <c r="D4268">
        <v>0.23</v>
      </c>
      <c r="E4268">
        <v>0.23</v>
      </c>
      <c r="F4268">
        <v>43022784</v>
      </c>
    </row>
    <row r="4269" spans="1:6">
      <c r="A4269" s="32">
        <v>37461</v>
      </c>
      <c r="B4269">
        <v>0.25</v>
      </c>
      <c r="C4269">
        <v>0.25</v>
      </c>
      <c r="D4269">
        <v>0.23</v>
      </c>
      <c r="E4269">
        <v>0.23</v>
      </c>
      <c r="F4269">
        <v>74859336</v>
      </c>
    </row>
    <row r="4270" spans="1:6">
      <c r="A4270" s="32">
        <v>37460</v>
      </c>
      <c r="B4270">
        <v>0.24</v>
      </c>
      <c r="C4270">
        <v>0.25</v>
      </c>
      <c r="D4270">
        <v>0.24</v>
      </c>
      <c r="E4270">
        <v>0.25</v>
      </c>
      <c r="F4270">
        <v>17587772</v>
      </c>
    </row>
    <row r="4271" spans="1:6">
      <c r="A4271" s="32">
        <v>37459</v>
      </c>
      <c r="B4271">
        <v>0.25</v>
      </c>
      <c r="C4271">
        <v>0.25</v>
      </c>
      <c r="D4271">
        <v>0.24</v>
      </c>
      <c r="E4271">
        <v>0.24</v>
      </c>
      <c r="F4271">
        <v>41109144</v>
      </c>
    </row>
    <row r="4272" spans="1:6">
      <c r="A4272" s="32">
        <v>37456</v>
      </c>
      <c r="B4272">
        <v>0.26</v>
      </c>
      <c r="C4272">
        <v>0.26</v>
      </c>
      <c r="D4272">
        <v>0.25</v>
      </c>
      <c r="E4272">
        <v>0.25</v>
      </c>
      <c r="F4272">
        <v>191829504</v>
      </c>
    </row>
    <row r="4273" spans="1:6">
      <c r="A4273" s="32">
        <v>37455</v>
      </c>
      <c r="B4273">
        <v>0.24</v>
      </c>
      <c r="C4273">
        <v>0.26</v>
      </c>
      <c r="D4273">
        <v>0.24</v>
      </c>
      <c r="E4273">
        <v>0.26</v>
      </c>
      <c r="F4273">
        <v>206327216</v>
      </c>
    </row>
    <row r="4274" spans="1:6">
      <c r="A4274" s="32">
        <v>37454</v>
      </c>
      <c r="B4274">
        <v>0.24</v>
      </c>
      <c r="C4274">
        <v>0.24</v>
      </c>
      <c r="D4274">
        <v>0.24</v>
      </c>
      <c r="E4274">
        <v>0.24</v>
      </c>
      <c r="F4274">
        <v>15974523</v>
      </c>
    </row>
    <row r="4275" spans="1:6">
      <c r="A4275" s="32">
        <v>37453</v>
      </c>
      <c r="B4275">
        <v>0.25</v>
      </c>
      <c r="C4275">
        <v>0.25</v>
      </c>
      <c r="D4275">
        <v>0.24</v>
      </c>
      <c r="E4275">
        <v>0.24</v>
      </c>
      <c r="F4275">
        <v>45518056</v>
      </c>
    </row>
    <row r="4276" spans="1:6">
      <c r="A4276" s="32">
        <v>37452</v>
      </c>
      <c r="B4276">
        <v>0.25</v>
      </c>
      <c r="C4276">
        <v>0.25</v>
      </c>
      <c r="D4276">
        <v>0.25</v>
      </c>
      <c r="E4276">
        <v>0.25</v>
      </c>
      <c r="F4276">
        <v>36216736</v>
      </c>
    </row>
    <row r="4277" spans="1:6">
      <c r="A4277" s="32">
        <v>37449</v>
      </c>
      <c r="B4277">
        <v>0.25</v>
      </c>
      <c r="C4277">
        <v>0.25</v>
      </c>
      <c r="D4277">
        <v>0.25</v>
      </c>
      <c r="E4277">
        <v>0.25</v>
      </c>
      <c r="F4277">
        <v>38884344</v>
      </c>
    </row>
    <row r="4278" spans="1:6">
      <c r="A4278" s="32">
        <v>37448</v>
      </c>
      <c r="B4278">
        <v>0.25</v>
      </c>
      <c r="C4278">
        <v>0.25</v>
      </c>
      <c r="D4278">
        <v>0.25</v>
      </c>
      <c r="E4278">
        <v>0.25</v>
      </c>
      <c r="F4278">
        <v>35475936</v>
      </c>
    </row>
    <row r="4279" spans="1:6">
      <c r="A4279" s="32">
        <v>37447</v>
      </c>
      <c r="B4279">
        <v>0.25</v>
      </c>
      <c r="C4279">
        <v>0.26</v>
      </c>
      <c r="D4279">
        <v>0.25</v>
      </c>
      <c r="E4279">
        <v>0.25</v>
      </c>
      <c r="F4279">
        <v>77151152</v>
      </c>
    </row>
    <row r="4280" spans="1:6">
      <c r="A4280" s="32">
        <v>37446</v>
      </c>
      <c r="B4280">
        <v>0.25</v>
      </c>
      <c r="C4280">
        <v>0.25</v>
      </c>
      <c r="D4280">
        <v>0.25</v>
      </c>
      <c r="E4280">
        <v>0.25</v>
      </c>
      <c r="F4280">
        <v>39884848</v>
      </c>
    </row>
    <row r="4281" spans="1:6">
      <c r="A4281" s="32">
        <v>37445</v>
      </c>
      <c r="B4281">
        <v>0.25</v>
      </c>
      <c r="C4281">
        <v>0.26</v>
      </c>
      <c r="D4281">
        <v>0.25</v>
      </c>
      <c r="E4281">
        <v>0.25</v>
      </c>
      <c r="F4281">
        <v>68809648</v>
      </c>
    </row>
    <row r="4282" spans="1:6">
      <c r="A4282" s="32">
        <v>37442</v>
      </c>
      <c r="B4282">
        <v>0.25</v>
      </c>
      <c r="C4282">
        <v>0.26</v>
      </c>
      <c r="D4282">
        <v>0.25</v>
      </c>
      <c r="E4282">
        <v>0.25</v>
      </c>
      <c r="F4282">
        <v>73402864</v>
      </c>
    </row>
    <row r="4283" spans="1:6">
      <c r="A4283" s="32">
        <v>37441</v>
      </c>
      <c r="B4283">
        <v>0.26</v>
      </c>
      <c r="C4283">
        <v>0.26</v>
      </c>
      <c r="D4283">
        <v>0.25</v>
      </c>
      <c r="E4283">
        <v>0.25</v>
      </c>
      <c r="F4283">
        <v>44405056</v>
      </c>
    </row>
    <row r="4284" spans="1:6">
      <c r="A4284" s="32">
        <v>37440</v>
      </c>
      <c r="B4284">
        <v>0.24</v>
      </c>
      <c r="C4284">
        <v>0.25</v>
      </c>
      <c r="D4284">
        <v>0.24</v>
      </c>
      <c r="E4284">
        <v>0.25</v>
      </c>
      <c r="F4284">
        <v>76823240</v>
      </c>
    </row>
    <row r="4285" spans="1:6">
      <c r="A4285" s="32">
        <v>37439</v>
      </c>
      <c r="B4285">
        <v>0.24</v>
      </c>
      <c r="C4285">
        <v>0.25</v>
      </c>
      <c r="D4285">
        <v>0.24</v>
      </c>
      <c r="E4285">
        <v>0.24</v>
      </c>
      <c r="F4285">
        <v>18509288</v>
      </c>
    </row>
    <row r="4286" spans="1:6">
      <c r="A4286" s="32">
        <v>37435</v>
      </c>
      <c r="B4286">
        <v>0.24</v>
      </c>
      <c r="C4286">
        <v>0.25</v>
      </c>
      <c r="D4286">
        <v>0.24</v>
      </c>
      <c r="E4286">
        <v>0.25</v>
      </c>
      <c r="F4286">
        <v>72063672</v>
      </c>
    </row>
    <row r="4287" spans="1:6">
      <c r="A4287" s="32">
        <v>37434</v>
      </c>
      <c r="B4287">
        <v>0.23</v>
      </c>
      <c r="C4287">
        <v>0.24</v>
      </c>
      <c r="D4287">
        <v>0.23</v>
      </c>
      <c r="E4287">
        <v>0.23</v>
      </c>
      <c r="F4287">
        <v>81037072</v>
      </c>
    </row>
    <row r="4288" spans="1:6">
      <c r="A4288" s="32">
        <v>37433</v>
      </c>
      <c r="B4288">
        <v>0.26</v>
      </c>
      <c r="C4288">
        <v>0.26</v>
      </c>
      <c r="D4288">
        <v>0.22</v>
      </c>
      <c r="E4288">
        <v>0.22</v>
      </c>
      <c r="F4288">
        <v>154567984</v>
      </c>
    </row>
    <row r="4289" spans="1:6">
      <c r="A4289" s="32">
        <v>37432</v>
      </c>
      <c r="B4289">
        <v>0.26</v>
      </c>
      <c r="C4289">
        <v>0.27</v>
      </c>
      <c r="D4289">
        <v>0.25</v>
      </c>
      <c r="E4289">
        <v>0.26</v>
      </c>
      <c r="F4289">
        <v>126582656</v>
      </c>
    </row>
    <row r="4290" spans="1:6">
      <c r="A4290" s="32">
        <v>37431</v>
      </c>
      <c r="B4290">
        <v>0.27</v>
      </c>
      <c r="C4290">
        <v>0.28000000000000003</v>
      </c>
      <c r="D4290">
        <v>0.25</v>
      </c>
      <c r="E4290">
        <v>0.25</v>
      </c>
      <c r="F4290">
        <v>132938712</v>
      </c>
    </row>
    <row r="4291" spans="1:6">
      <c r="A4291" s="32">
        <v>37428</v>
      </c>
      <c r="B4291">
        <v>0.28000000000000003</v>
      </c>
      <c r="C4291">
        <v>0.28000000000000003</v>
      </c>
      <c r="D4291">
        <v>0.27</v>
      </c>
      <c r="E4291">
        <v>0.28000000000000003</v>
      </c>
      <c r="F4291">
        <v>15160717</v>
      </c>
    </row>
    <row r="4292" spans="1:6">
      <c r="A4292" s="32">
        <v>37427</v>
      </c>
      <c r="B4292">
        <v>0.28000000000000003</v>
      </c>
      <c r="C4292">
        <v>0.28000000000000003</v>
      </c>
      <c r="D4292">
        <v>0.28000000000000003</v>
      </c>
      <c r="E4292">
        <v>0.28000000000000003</v>
      </c>
      <c r="F4292">
        <v>23692510</v>
      </c>
    </row>
    <row r="4293" spans="1:6">
      <c r="A4293" s="32">
        <v>37426</v>
      </c>
      <c r="B4293">
        <v>0.3</v>
      </c>
      <c r="C4293">
        <v>0.3</v>
      </c>
      <c r="D4293">
        <v>0.28000000000000003</v>
      </c>
      <c r="E4293">
        <v>0.28000000000000003</v>
      </c>
      <c r="F4293">
        <v>23244916</v>
      </c>
    </row>
    <row r="4294" spans="1:6">
      <c r="A4294" s="32">
        <v>37425</v>
      </c>
      <c r="B4294">
        <v>0.3</v>
      </c>
      <c r="C4294">
        <v>0.3</v>
      </c>
      <c r="D4294">
        <v>0.28999999999999998</v>
      </c>
      <c r="E4294">
        <v>0.3</v>
      </c>
      <c r="F4294">
        <v>14290664</v>
      </c>
    </row>
    <row r="4295" spans="1:6">
      <c r="A4295" s="32">
        <v>37424</v>
      </c>
      <c r="B4295">
        <v>0.3</v>
      </c>
      <c r="C4295">
        <v>0.31</v>
      </c>
      <c r="D4295">
        <v>0.28999999999999998</v>
      </c>
      <c r="E4295">
        <v>0.28999999999999998</v>
      </c>
      <c r="F4295">
        <v>19112460</v>
      </c>
    </row>
    <row r="4296" spans="1:6">
      <c r="A4296" s="32">
        <v>37421</v>
      </c>
      <c r="B4296">
        <v>0.31</v>
      </c>
      <c r="C4296">
        <v>0.31</v>
      </c>
      <c r="D4296">
        <v>0.3</v>
      </c>
      <c r="E4296">
        <v>0.3</v>
      </c>
      <c r="F4296">
        <v>43660664</v>
      </c>
    </row>
    <row r="4297" spans="1:6">
      <c r="A4297" s="32">
        <v>37420</v>
      </c>
      <c r="B4297">
        <v>0.32</v>
      </c>
      <c r="C4297">
        <v>0.32</v>
      </c>
      <c r="D4297">
        <v>0.3</v>
      </c>
      <c r="E4297">
        <v>0.3</v>
      </c>
      <c r="F4297">
        <v>25023322</v>
      </c>
    </row>
    <row r="4298" spans="1:6">
      <c r="A4298" s="32">
        <v>37419</v>
      </c>
      <c r="B4298">
        <v>0.32</v>
      </c>
      <c r="C4298">
        <v>0.32</v>
      </c>
      <c r="D4298">
        <v>0.31</v>
      </c>
      <c r="E4298">
        <v>0.31</v>
      </c>
      <c r="F4298">
        <v>42816940</v>
      </c>
    </row>
    <row r="4299" spans="1:6">
      <c r="A4299" s="32">
        <v>37418</v>
      </c>
      <c r="B4299">
        <v>0.33</v>
      </c>
      <c r="C4299">
        <v>0.33</v>
      </c>
      <c r="D4299">
        <v>0.31</v>
      </c>
      <c r="E4299">
        <v>0.31</v>
      </c>
      <c r="F4299">
        <v>80637352</v>
      </c>
    </row>
    <row r="4300" spans="1:6">
      <c r="A4300" s="32">
        <v>37417</v>
      </c>
      <c r="B4300">
        <v>0.33</v>
      </c>
      <c r="C4300">
        <v>0.34</v>
      </c>
      <c r="D4300">
        <v>0.33</v>
      </c>
      <c r="E4300">
        <v>0.33</v>
      </c>
      <c r="F4300">
        <v>162117232</v>
      </c>
    </row>
    <row r="4301" spans="1:6">
      <c r="A4301" s="32">
        <v>37414</v>
      </c>
      <c r="B4301">
        <v>0.3</v>
      </c>
      <c r="C4301">
        <v>0.32</v>
      </c>
      <c r="D4301">
        <v>0.28999999999999998</v>
      </c>
      <c r="E4301">
        <v>0.32</v>
      </c>
      <c r="F4301">
        <v>335242368</v>
      </c>
    </row>
    <row r="4302" spans="1:6">
      <c r="A4302" s="32">
        <v>37413</v>
      </c>
      <c r="B4302">
        <v>0.28999999999999998</v>
      </c>
      <c r="C4302">
        <v>0.3</v>
      </c>
      <c r="D4302">
        <v>0.28999999999999998</v>
      </c>
      <c r="E4302">
        <v>0.28999999999999998</v>
      </c>
      <c r="F4302">
        <v>100881960</v>
      </c>
    </row>
    <row r="4303" spans="1:6">
      <c r="A4303" s="32">
        <v>37412</v>
      </c>
      <c r="B4303">
        <v>0.28000000000000003</v>
      </c>
      <c r="C4303">
        <v>0.28999999999999998</v>
      </c>
      <c r="D4303">
        <v>0.28000000000000003</v>
      </c>
      <c r="E4303">
        <v>0.28999999999999998</v>
      </c>
      <c r="F4303">
        <v>33702320</v>
      </c>
    </row>
    <row r="4304" spans="1:6">
      <c r="A4304" s="32">
        <v>37411</v>
      </c>
      <c r="B4304">
        <v>0.3</v>
      </c>
      <c r="C4304">
        <v>0.3</v>
      </c>
      <c r="D4304">
        <v>0.28000000000000003</v>
      </c>
      <c r="E4304">
        <v>0.28000000000000003</v>
      </c>
      <c r="F4304">
        <v>16642322</v>
      </c>
    </row>
    <row r="4305" spans="1:6">
      <c r="A4305" s="32">
        <v>37410</v>
      </c>
      <c r="B4305">
        <v>0.3</v>
      </c>
      <c r="C4305">
        <v>0.31</v>
      </c>
      <c r="D4305">
        <v>0.3</v>
      </c>
      <c r="E4305">
        <v>0.3</v>
      </c>
      <c r="F4305">
        <v>24067100</v>
      </c>
    </row>
    <row r="4306" spans="1:6">
      <c r="A4306" s="32">
        <v>37407</v>
      </c>
      <c r="B4306">
        <v>0.28999999999999998</v>
      </c>
      <c r="C4306">
        <v>0.31</v>
      </c>
      <c r="D4306">
        <v>0.28999999999999998</v>
      </c>
      <c r="E4306">
        <v>0.3</v>
      </c>
      <c r="F4306">
        <v>59257008</v>
      </c>
    </row>
    <row r="4307" spans="1:6">
      <c r="A4307" s="32">
        <v>37406</v>
      </c>
      <c r="B4307">
        <v>0.28999999999999998</v>
      </c>
      <c r="C4307">
        <v>0.3</v>
      </c>
      <c r="D4307">
        <v>0.28999999999999998</v>
      </c>
      <c r="E4307">
        <v>0.28999999999999998</v>
      </c>
      <c r="F4307">
        <v>53859560</v>
      </c>
    </row>
    <row r="4308" spans="1:6">
      <c r="A4308" s="32">
        <v>37405</v>
      </c>
      <c r="B4308">
        <v>0.28999999999999998</v>
      </c>
      <c r="C4308">
        <v>0.28999999999999998</v>
      </c>
      <c r="D4308">
        <v>0.28999999999999998</v>
      </c>
      <c r="E4308">
        <v>0.28999999999999998</v>
      </c>
      <c r="F4308">
        <v>34189404</v>
      </c>
    </row>
    <row r="4309" spans="1:6">
      <c r="A4309" s="32">
        <v>37404</v>
      </c>
      <c r="B4309">
        <v>0.28000000000000003</v>
      </c>
      <c r="C4309">
        <v>0.28999999999999998</v>
      </c>
      <c r="D4309">
        <v>0.28000000000000003</v>
      </c>
      <c r="E4309">
        <v>0.28999999999999998</v>
      </c>
      <c r="F4309">
        <v>20881292</v>
      </c>
    </row>
    <row r="4310" spans="1:6">
      <c r="A4310" s="32">
        <v>37400</v>
      </c>
      <c r="B4310">
        <v>0.28999999999999998</v>
      </c>
      <c r="C4310">
        <v>0.3</v>
      </c>
      <c r="D4310">
        <v>0.28000000000000003</v>
      </c>
      <c r="E4310">
        <v>0.28000000000000003</v>
      </c>
      <c r="F4310">
        <v>67131768</v>
      </c>
    </row>
    <row r="4311" spans="1:6">
      <c r="A4311" s="32">
        <v>37399</v>
      </c>
      <c r="B4311">
        <v>0.28000000000000003</v>
      </c>
      <c r="C4311">
        <v>0.28999999999999998</v>
      </c>
      <c r="D4311">
        <v>0.28000000000000003</v>
      </c>
      <c r="E4311">
        <v>0.28999999999999998</v>
      </c>
      <c r="F4311">
        <v>47073860</v>
      </c>
    </row>
    <row r="4312" spans="1:6">
      <c r="A4312" s="32">
        <v>37398</v>
      </c>
      <c r="B4312">
        <v>0.28999999999999998</v>
      </c>
      <c r="C4312">
        <v>0.28999999999999998</v>
      </c>
      <c r="D4312">
        <v>0.28000000000000003</v>
      </c>
      <c r="E4312">
        <v>0.28000000000000003</v>
      </c>
      <c r="F4312">
        <v>24037180</v>
      </c>
    </row>
    <row r="4313" spans="1:6">
      <c r="A4313" s="32">
        <v>37397</v>
      </c>
      <c r="B4313">
        <v>0.28000000000000003</v>
      </c>
      <c r="C4313">
        <v>0.28999999999999998</v>
      </c>
      <c r="D4313">
        <v>0.28000000000000003</v>
      </c>
      <c r="E4313">
        <v>0.28999999999999998</v>
      </c>
      <c r="F4313">
        <v>55428528</v>
      </c>
    </row>
    <row r="4314" spans="1:6">
      <c r="A4314" s="32">
        <v>37396</v>
      </c>
      <c r="B4314">
        <v>0.28000000000000003</v>
      </c>
      <c r="C4314">
        <v>0.28000000000000003</v>
      </c>
      <c r="D4314">
        <v>0.28000000000000003</v>
      </c>
      <c r="E4314">
        <v>0.28000000000000003</v>
      </c>
      <c r="F4314">
        <v>10084007</v>
      </c>
    </row>
    <row r="4315" spans="1:6">
      <c r="A4315" s="32">
        <v>37393</v>
      </c>
      <c r="B4315">
        <v>0.28000000000000003</v>
      </c>
      <c r="C4315">
        <v>0.28999999999999998</v>
      </c>
      <c r="D4315">
        <v>0.28000000000000003</v>
      </c>
      <c r="E4315">
        <v>0.28000000000000003</v>
      </c>
      <c r="F4315">
        <v>28152882</v>
      </c>
    </row>
    <row r="4316" spans="1:6">
      <c r="A4316" s="32">
        <v>37392</v>
      </c>
      <c r="B4316">
        <v>0.28000000000000003</v>
      </c>
      <c r="C4316">
        <v>0.28000000000000003</v>
      </c>
      <c r="D4316">
        <v>0.27</v>
      </c>
      <c r="E4316">
        <v>0.28000000000000003</v>
      </c>
      <c r="F4316">
        <v>37654060</v>
      </c>
    </row>
    <row r="4317" spans="1:6">
      <c r="A4317" s="32">
        <v>37391</v>
      </c>
      <c r="B4317">
        <v>0.32</v>
      </c>
      <c r="C4317">
        <v>0.32</v>
      </c>
      <c r="D4317">
        <v>0.27</v>
      </c>
      <c r="E4317">
        <v>0.28000000000000003</v>
      </c>
      <c r="F4317">
        <v>97615968</v>
      </c>
    </row>
    <row r="4318" spans="1:6">
      <c r="A4318" s="32">
        <v>37390</v>
      </c>
      <c r="B4318">
        <v>0.33</v>
      </c>
      <c r="C4318">
        <v>0.33</v>
      </c>
      <c r="D4318">
        <v>0.31</v>
      </c>
      <c r="E4318">
        <v>0.31</v>
      </c>
      <c r="F4318">
        <v>38279976</v>
      </c>
    </row>
    <row r="4319" spans="1:6">
      <c r="A4319" s="32">
        <v>37389</v>
      </c>
      <c r="B4319">
        <v>0.33</v>
      </c>
      <c r="C4319">
        <v>0.34</v>
      </c>
      <c r="D4319">
        <v>0.33</v>
      </c>
      <c r="E4319">
        <v>0.33</v>
      </c>
      <c r="F4319">
        <v>12482340</v>
      </c>
    </row>
    <row r="4320" spans="1:6">
      <c r="A4320" s="32">
        <v>37386</v>
      </c>
      <c r="B4320">
        <v>0.33</v>
      </c>
      <c r="C4320">
        <v>0.34</v>
      </c>
      <c r="D4320">
        <v>0.32</v>
      </c>
      <c r="E4320">
        <v>0.33</v>
      </c>
      <c r="F4320">
        <v>20574916</v>
      </c>
    </row>
    <row r="4321" spans="1:6">
      <c r="A4321" s="32">
        <v>37385</v>
      </c>
      <c r="B4321">
        <v>0.35</v>
      </c>
      <c r="C4321">
        <v>0.35</v>
      </c>
      <c r="D4321">
        <v>0.33</v>
      </c>
      <c r="E4321">
        <v>0.33</v>
      </c>
      <c r="F4321">
        <v>44649200</v>
      </c>
    </row>
    <row r="4322" spans="1:6">
      <c r="A4322" s="32">
        <v>37384</v>
      </c>
      <c r="B4322">
        <v>0.34</v>
      </c>
      <c r="C4322">
        <v>0.36</v>
      </c>
      <c r="D4322">
        <v>0.34</v>
      </c>
      <c r="E4322">
        <v>0.34</v>
      </c>
      <c r="F4322">
        <v>134348512</v>
      </c>
    </row>
    <row r="4323" spans="1:6">
      <c r="A4323" s="32">
        <v>37383</v>
      </c>
      <c r="B4323">
        <v>0.31</v>
      </c>
      <c r="C4323">
        <v>0.34</v>
      </c>
      <c r="D4323">
        <v>0.31</v>
      </c>
      <c r="E4323">
        <v>0.34</v>
      </c>
      <c r="F4323">
        <v>83869832</v>
      </c>
    </row>
    <row r="4324" spans="1:6">
      <c r="A4324" s="32">
        <v>37379</v>
      </c>
      <c r="B4324">
        <v>0.28000000000000003</v>
      </c>
      <c r="C4324">
        <v>0.32</v>
      </c>
      <c r="D4324">
        <v>0.28000000000000003</v>
      </c>
      <c r="E4324">
        <v>0.31</v>
      </c>
      <c r="F4324">
        <v>68809648</v>
      </c>
    </row>
    <row r="4325" spans="1:6">
      <c r="A4325" s="32">
        <v>37378</v>
      </c>
      <c r="B4325">
        <v>0.28999999999999998</v>
      </c>
      <c r="C4325">
        <v>0.3</v>
      </c>
      <c r="D4325">
        <v>0.28000000000000003</v>
      </c>
      <c r="E4325">
        <v>0.28000000000000003</v>
      </c>
      <c r="F4325">
        <v>61490184</v>
      </c>
    </row>
    <row r="4326" spans="1:6">
      <c r="A4326" s="32">
        <v>37376</v>
      </c>
      <c r="B4326">
        <v>0.33</v>
      </c>
      <c r="C4326">
        <v>0.33</v>
      </c>
      <c r="D4326">
        <v>0.31</v>
      </c>
      <c r="E4326">
        <v>0.32</v>
      </c>
      <c r="F4326">
        <v>163793984</v>
      </c>
    </row>
    <row r="4327" spans="1:6">
      <c r="A4327" s="32">
        <v>37375</v>
      </c>
      <c r="B4327">
        <v>0.32</v>
      </c>
      <c r="C4327">
        <v>0.34</v>
      </c>
      <c r="D4327">
        <v>0.32</v>
      </c>
      <c r="E4327">
        <v>0.33</v>
      </c>
      <c r="F4327">
        <v>121267824</v>
      </c>
    </row>
    <row r="4328" spans="1:6">
      <c r="A4328" s="32">
        <v>37372</v>
      </c>
      <c r="B4328">
        <v>0.31</v>
      </c>
      <c r="C4328">
        <v>0.32</v>
      </c>
      <c r="D4328">
        <v>0.31</v>
      </c>
      <c r="E4328">
        <v>0.32</v>
      </c>
      <c r="F4328">
        <v>111460968</v>
      </c>
    </row>
    <row r="4329" spans="1:6">
      <c r="A4329" s="32">
        <v>37371</v>
      </c>
      <c r="B4329">
        <v>0.32</v>
      </c>
      <c r="C4329">
        <v>0.33</v>
      </c>
      <c r="D4329">
        <v>0.31</v>
      </c>
      <c r="E4329">
        <v>0.31</v>
      </c>
      <c r="F4329">
        <v>164176448</v>
      </c>
    </row>
    <row r="4330" spans="1:6">
      <c r="A4330" s="32">
        <v>37370</v>
      </c>
      <c r="B4330">
        <v>0.34</v>
      </c>
      <c r="C4330">
        <v>0.34</v>
      </c>
      <c r="D4330">
        <v>0.32</v>
      </c>
      <c r="E4330">
        <v>0.32</v>
      </c>
      <c r="F4330">
        <v>159160768</v>
      </c>
    </row>
    <row r="4331" spans="1:6">
      <c r="A4331" s="32">
        <v>37369</v>
      </c>
      <c r="B4331">
        <v>0.32</v>
      </c>
      <c r="C4331">
        <v>0.35</v>
      </c>
      <c r="D4331">
        <v>0.32</v>
      </c>
      <c r="E4331">
        <v>0.34</v>
      </c>
      <c r="F4331">
        <v>224285504</v>
      </c>
    </row>
    <row r="4332" spans="1:6">
      <c r="A4332" s="32">
        <v>37368</v>
      </c>
      <c r="B4332">
        <v>0.28000000000000003</v>
      </c>
      <c r="C4332">
        <v>0.33</v>
      </c>
      <c r="D4332">
        <v>0.28000000000000003</v>
      </c>
      <c r="E4332">
        <v>0.33</v>
      </c>
      <c r="F4332">
        <v>402238944</v>
      </c>
    </row>
    <row r="4333" spans="1:6">
      <c r="A4333" s="32">
        <v>37365</v>
      </c>
      <c r="B4333">
        <v>0.27</v>
      </c>
      <c r="C4333">
        <v>0.28000000000000003</v>
      </c>
      <c r="D4333">
        <v>0.27</v>
      </c>
      <c r="E4333">
        <v>0.28000000000000003</v>
      </c>
      <c r="F4333">
        <v>145292320</v>
      </c>
    </row>
    <row r="4334" spans="1:6">
      <c r="A4334" s="32">
        <v>37364</v>
      </c>
      <c r="B4334">
        <v>0.28000000000000003</v>
      </c>
      <c r="C4334">
        <v>0.28000000000000003</v>
      </c>
      <c r="D4334">
        <v>0.27</v>
      </c>
      <c r="E4334">
        <v>0.27</v>
      </c>
      <c r="F4334">
        <v>81046840</v>
      </c>
    </row>
    <row r="4335" spans="1:6">
      <c r="A4335" s="32">
        <v>37363</v>
      </c>
      <c r="B4335">
        <v>0.28000000000000003</v>
      </c>
      <c r="C4335">
        <v>0.28000000000000003</v>
      </c>
      <c r="D4335">
        <v>0.27</v>
      </c>
      <c r="E4335">
        <v>0.28000000000000003</v>
      </c>
      <c r="F4335">
        <v>128636472</v>
      </c>
    </row>
    <row r="4336" spans="1:6">
      <c r="A4336" s="32">
        <v>37358</v>
      </c>
      <c r="B4336">
        <v>0.26</v>
      </c>
      <c r="C4336">
        <v>0.28000000000000003</v>
      </c>
      <c r="D4336">
        <v>0.26</v>
      </c>
      <c r="E4336">
        <v>0.28000000000000003</v>
      </c>
      <c r="F4336">
        <v>143577472</v>
      </c>
    </row>
    <row r="4337" spans="1:6">
      <c r="A4337" s="32">
        <v>37357</v>
      </c>
      <c r="B4337">
        <v>0.28000000000000003</v>
      </c>
      <c r="C4337">
        <v>0.28000000000000003</v>
      </c>
      <c r="D4337">
        <v>0.26</v>
      </c>
      <c r="E4337">
        <v>0.26</v>
      </c>
      <c r="F4337">
        <v>166866160</v>
      </c>
    </row>
    <row r="4338" spans="1:6">
      <c r="A4338" s="32">
        <v>37356</v>
      </c>
      <c r="B4338">
        <v>0.26</v>
      </c>
      <c r="C4338">
        <v>0.28000000000000003</v>
      </c>
      <c r="D4338">
        <v>0.26</v>
      </c>
      <c r="E4338">
        <v>0.28000000000000003</v>
      </c>
      <c r="F4338">
        <v>450907360</v>
      </c>
    </row>
    <row r="4339" spans="1:6">
      <c r="A4339" s="32">
        <v>37355</v>
      </c>
      <c r="B4339">
        <v>0.24</v>
      </c>
      <c r="C4339">
        <v>0.26</v>
      </c>
      <c r="D4339">
        <v>0.24</v>
      </c>
      <c r="E4339">
        <v>0.26</v>
      </c>
      <c r="F4339">
        <v>319947008</v>
      </c>
    </row>
    <row r="4340" spans="1:6">
      <c r="A4340" s="32">
        <v>37351</v>
      </c>
      <c r="B4340">
        <v>0.24</v>
      </c>
      <c r="C4340">
        <v>0.25</v>
      </c>
      <c r="D4340">
        <v>0.24</v>
      </c>
      <c r="E4340">
        <v>0.24</v>
      </c>
      <c r="F4340">
        <v>54095664</v>
      </c>
    </row>
    <row r="4341" spans="1:6">
      <c r="A4341" s="32">
        <v>37350</v>
      </c>
      <c r="B4341">
        <v>0.24</v>
      </c>
      <c r="C4341">
        <v>0.24</v>
      </c>
      <c r="D4341">
        <v>0.24</v>
      </c>
      <c r="E4341">
        <v>0.24</v>
      </c>
      <c r="F4341">
        <v>5948964</v>
      </c>
    </row>
    <row r="4342" spans="1:6">
      <c r="A4342" s="32">
        <v>37349</v>
      </c>
      <c r="B4342">
        <v>0.24</v>
      </c>
      <c r="C4342">
        <v>0.24</v>
      </c>
      <c r="D4342">
        <v>0.23</v>
      </c>
      <c r="E4342">
        <v>0.24</v>
      </c>
      <c r="F4342">
        <v>35406936</v>
      </c>
    </row>
    <row r="4343" spans="1:6">
      <c r="A4343" s="32">
        <v>37348</v>
      </c>
      <c r="B4343">
        <v>0.24</v>
      </c>
      <c r="C4343">
        <v>0.25</v>
      </c>
      <c r="D4343">
        <v>0.24</v>
      </c>
      <c r="E4343">
        <v>0.24</v>
      </c>
      <c r="F4343">
        <v>22415664</v>
      </c>
    </row>
    <row r="4344" spans="1:6">
      <c r="A4344" s="32">
        <v>37347</v>
      </c>
      <c r="B4344">
        <v>0.25</v>
      </c>
      <c r="C4344">
        <v>0.25</v>
      </c>
      <c r="D4344">
        <v>0.24</v>
      </c>
      <c r="E4344">
        <v>0.24</v>
      </c>
      <c r="F4344">
        <v>14117877</v>
      </c>
    </row>
    <row r="4345" spans="1:6">
      <c r="A4345" s="32">
        <v>37344</v>
      </c>
      <c r="B4345">
        <v>0.25</v>
      </c>
      <c r="C4345">
        <v>0.26</v>
      </c>
      <c r="D4345">
        <v>0.24</v>
      </c>
      <c r="E4345">
        <v>0.24</v>
      </c>
      <c r="F4345">
        <v>33650516</v>
      </c>
    </row>
    <row r="4346" spans="1:6">
      <c r="A4346" s="32">
        <v>37343</v>
      </c>
      <c r="B4346">
        <v>0.25</v>
      </c>
      <c r="C4346">
        <v>0.25</v>
      </c>
      <c r="D4346">
        <v>0.25</v>
      </c>
      <c r="E4346">
        <v>0.25</v>
      </c>
      <c r="F4346">
        <v>18447608</v>
      </c>
    </row>
    <row r="4347" spans="1:6">
      <c r="A4347" s="32">
        <v>37342</v>
      </c>
      <c r="B4347">
        <v>0.26</v>
      </c>
      <c r="C4347">
        <v>0.27</v>
      </c>
      <c r="D4347">
        <v>0.24</v>
      </c>
      <c r="E4347">
        <v>0.25</v>
      </c>
      <c r="F4347">
        <v>71269088</v>
      </c>
    </row>
    <row r="4348" spans="1:6">
      <c r="A4348" s="32">
        <v>37341</v>
      </c>
      <c r="B4348">
        <v>0.27</v>
      </c>
      <c r="C4348">
        <v>0.28000000000000003</v>
      </c>
      <c r="D4348">
        <v>0.25</v>
      </c>
      <c r="E4348">
        <v>0.26</v>
      </c>
      <c r="F4348">
        <v>93377120</v>
      </c>
    </row>
    <row r="4349" spans="1:6">
      <c r="A4349" s="32">
        <v>37340</v>
      </c>
      <c r="B4349">
        <v>0.24</v>
      </c>
      <c r="C4349">
        <v>0.28999999999999998</v>
      </c>
      <c r="D4349">
        <v>0.24</v>
      </c>
      <c r="E4349">
        <v>0.27</v>
      </c>
      <c r="F4349">
        <v>244377296</v>
      </c>
    </row>
    <row r="4350" spans="1:6">
      <c r="A4350" s="32">
        <v>37337</v>
      </c>
      <c r="B4350">
        <v>0.21</v>
      </c>
      <c r="C4350">
        <v>0.24</v>
      </c>
      <c r="D4350">
        <v>0.21</v>
      </c>
      <c r="E4350">
        <v>0.24</v>
      </c>
      <c r="F4350">
        <v>208400816</v>
      </c>
    </row>
    <row r="4351" spans="1:6">
      <c r="A4351" s="32">
        <v>37336</v>
      </c>
      <c r="B4351">
        <v>0.2</v>
      </c>
      <c r="C4351">
        <v>0.21</v>
      </c>
      <c r="D4351">
        <v>0.2</v>
      </c>
      <c r="E4351">
        <v>0.21</v>
      </c>
      <c r="F4351">
        <v>25812102</v>
      </c>
    </row>
    <row r="4352" spans="1:6">
      <c r="A4352" s="32">
        <v>37335</v>
      </c>
      <c r="B4352">
        <v>0.2</v>
      </c>
      <c r="C4352">
        <v>0.2</v>
      </c>
      <c r="D4352">
        <v>0.2</v>
      </c>
      <c r="E4352">
        <v>0.2</v>
      </c>
      <c r="F4352">
        <v>60379284</v>
      </c>
    </row>
    <row r="4353" spans="1:6">
      <c r="A4353" s="32">
        <v>37334</v>
      </c>
      <c r="B4353">
        <v>0.21</v>
      </c>
      <c r="C4353">
        <v>0.21</v>
      </c>
      <c r="D4353">
        <v>0.2</v>
      </c>
      <c r="E4353">
        <v>0.2</v>
      </c>
      <c r="F4353">
        <v>84692712</v>
      </c>
    </row>
    <row r="4354" spans="1:6">
      <c r="A4354" s="32">
        <v>37333</v>
      </c>
      <c r="B4354">
        <v>0.19</v>
      </c>
      <c r="C4354">
        <v>0.21</v>
      </c>
      <c r="D4354">
        <v>0.19</v>
      </c>
      <c r="E4354">
        <v>0.21</v>
      </c>
      <c r="F4354">
        <v>353366816</v>
      </c>
    </row>
    <row r="4355" spans="1:6">
      <c r="A4355" s="32">
        <v>37330</v>
      </c>
      <c r="B4355">
        <v>0.19</v>
      </c>
      <c r="C4355">
        <v>0.2</v>
      </c>
      <c r="D4355">
        <v>0.19</v>
      </c>
      <c r="E4355">
        <v>0.19</v>
      </c>
      <c r="F4355">
        <v>52910860</v>
      </c>
    </row>
    <row r="4356" spans="1:6">
      <c r="A4356" s="32">
        <v>37329</v>
      </c>
      <c r="B4356">
        <v>0.19</v>
      </c>
      <c r="C4356">
        <v>0.19</v>
      </c>
      <c r="D4356">
        <v>0.19</v>
      </c>
      <c r="E4356">
        <v>0.19</v>
      </c>
      <c r="F4356">
        <v>8888110</v>
      </c>
    </row>
    <row r="4357" spans="1:6">
      <c r="A4357" s="32">
        <v>37328</v>
      </c>
      <c r="B4357">
        <v>0.19</v>
      </c>
      <c r="C4357">
        <v>0.19</v>
      </c>
      <c r="D4357">
        <v>0.19</v>
      </c>
      <c r="E4357">
        <v>0.19</v>
      </c>
      <c r="F4357">
        <v>7376965</v>
      </c>
    </row>
    <row r="4358" spans="1:6">
      <c r="A4358" s="32">
        <v>37327</v>
      </c>
      <c r="B4358">
        <v>0.19</v>
      </c>
      <c r="C4358">
        <v>0.19</v>
      </c>
      <c r="D4358">
        <v>0.19</v>
      </c>
      <c r="E4358">
        <v>0.19</v>
      </c>
      <c r="F4358">
        <v>32569644</v>
      </c>
    </row>
    <row r="4359" spans="1:6">
      <c r="A4359" s="32">
        <v>37326</v>
      </c>
      <c r="B4359">
        <v>0.19</v>
      </c>
      <c r="C4359">
        <v>0.19</v>
      </c>
      <c r="D4359">
        <v>0.19</v>
      </c>
      <c r="E4359">
        <v>0.19</v>
      </c>
      <c r="F4359">
        <v>6152667</v>
      </c>
    </row>
    <row r="4360" spans="1:6">
      <c r="A4360" s="32">
        <v>37323</v>
      </c>
      <c r="B4360">
        <v>0.19</v>
      </c>
      <c r="C4360">
        <v>0.19</v>
      </c>
      <c r="D4360">
        <v>0.19</v>
      </c>
      <c r="E4360">
        <v>0.19</v>
      </c>
      <c r="F4360">
        <v>49470768</v>
      </c>
    </row>
    <row r="4361" spans="1:6">
      <c r="A4361" s="32">
        <v>37322</v>
      </c>
      <c r="B4361">
        <v>0.19</v>
      </c>
      <c r="C4361">
        <v>0.19</v>
      </c>
      <c r="D4361">
        <v>0.18</v>
      </c>
      <c r="E4361">
        <v>0.19</v>
      </c>
      <c r="F4361">
        <v>39720040</v>
      </c>
    </row>
    <row r="4362" spans="1:6">
      <c r="A4362" s="32">
        <v>37321</v>
      </c>
      <c r="B4362">
        <v>0.19</v>
      </c>
      <c r="C4362">
        <v>0.19</v>
      </c>
      <c r="D4362">
        <v>0.18</v>
      </c>
      <c r="E4362">
        <v>0.19</v>
      </c>
      <c r="F4362">
        <v>44340776</v>
      </c>
    </row>
    <row r="4363" spans="1:6">
      <c r="A4363" s="32">
        <v>37320</v>
      </c>
      <c r="B4363">
        <v>0.19</v>
      </c>
      <c r="C4363">
        <v>0.19</v>
      </c>
      <c r="D4363">
        <v>0.19</v>
      </c>
      <c r="E4363">
        <v>0.19</v>
      </c>
      <c r="F4363">
        <v>25078356</v>
      </c>
    </row>
    <row r="4364" spans="1:6">
      <c r="A4364" s="32">
        <v>37319</v>
      </c>
      <c r="B4364">
        <v>0.19</v>
      </c>
      <c r="C4364">
        <v>0.2</v>
      </c>
      <c r="D4364">
        <v>0.19</v>
      </c>
      <c r="E4364">
        <v>0.19</v>
      </c>
      <c r="F4364">
        <v>78463136</v>
      </c>
    </row>
    <row r="4365" spans="1:6">
      <c r="A4365" s="32">
        <v>37316</v>
      </c>
      <c r="B4365">
        <v>0.19</v>
      </c>
      <c r="C4365">
        <v>0.19</v>
      </c>
      <c r="D4365">
        <v>0.19</v>
      </c>
      <c r="E4365">
        <v>0.19</v>
      </c>
      <c r="F4365">
        <v>46747800</v>
      </c>
    </row>
    <row r="4366" spans="1:6">
      <c r="A4366" s="32">
        <v>37315</v>
      </c>
      <c r="B4366">
        <v>0.19</v>
      </c>
      <c r="C4366">
        <v>0.19</v>
      </c>
      <c r="D4366">
        <v>0.19</v>
      </c>
      <c r="E4366">
        <v>0.19</v>
      </c>
      <c r="F4366">
        <v>92177760</v>
      </c>
    </row>
    <row r="4367" spans="1:6">
      <c r="A4367" s="32">
        <v>37314</v>
      </c>
      <c r="B4367">
        <v>0.18</v>
      </c>
      <c r="C4367">
        <v>0.19</v>
      </c>
      <c r="D4367">
        <v>0.18</v>
      </c>
      <c r="E4367">
        <v>0.19</v>
      </c>
      <c r="F4367">
        <v>21486528</v>
      </c>
    </row>
    <row r="4368" spans="1:6">
      <c r="A4368" s="32">
        <v>37312</v>
      </c>
      <c r="B4368">
        <v>0.18</v>
      </c>
      <c r="C4368">
        <v>0.19</v>
      </c>
      <c r="D4368">
        <v>0.18</v>
      </c>
      <c r="E4368">
        <v>0.18</v>
      </c>
      <c r="F4368">
        <v>32640316</v>
      </c>
    </row>
    <row r="4369" spans="1:6">
      <c r="A4369" s="32">
        <v>37309</v>
      </c>
      <c r="B4369">
        <v>0.2</v>
      </c>
      <c r="C4369">
        <v>0.2</v>
      </c>
      <c r="D4369">
        <v>0.18</v>
      </c>
      <c r="E4369">
        <v>0.18</v>
      </c>
      <c r="F4369">
        <v>125025936</v>
      </c>
    </row>
    <row r="4370" spans="1:6">
      <c r="A4370" s="32">
        <v>37308</v>
      </c>
      <c r="B4370">
        <v>0.19</v>
      </c>
      <c r="C4370">
        <v>0.2</v>
      </c>
      <c r="D4370">
        <v>0.19</v>
      </c>
      <c r="E4370">
        <v>0.2</v>
      </c>
      <c r="F4370">
        <v>370540224</v>
      </c>
    </row>
    <row r="4371" spans="1:6">
      <c r="A4371" s="32">
        <v>37307</v>
      </c>
      <c r="B4371">
        <v>0.19</v>
      </c>
      <c r="C4371">
        <v>0.19</v>
      </c>
      <c r="D4371">
        <v>0.19</v>
      </c>
      <c r="E4371">
        <v>0.19</v>
      </c>
      <c r="F4371">
        <v>145822368</v>
      </c>
    </row>
    <row r="4372" spans="1:6">
      <c r="A4372" s="32">
        <v>37306</v>
      </c>
      <c r="B4372">
        <v>0.18</v>
      </c>
      <c r="C4372">
        <v>0.19</v>
      </c>
      <c r="D4372">
        <v>0.18</v>
      </c>
      <c r="E4372">
        <v>0.19</v>
      </c>
      <c r="F4372">
        <v>179763888</v>
      </c>
    </row>
    <row r="4373" spans="1:6">
      <c r="A4373" s="32">
        <v>37305</v>
      </c>
      <c r="B4373">
        <v>0.18</v>
      </c>
      <c r="C4373">
        <v>0.18</v>
      </c>
      <c r="D4373">
        <v>0.18</v>
      </c>
      <c r="E4373">
        <v>0.18</v>
      </c>
      <c r="F4373">
        <v>49518576</v>
      </c>
    </row>
    <row r="4374" spans="1:6">
      <c r="A4374" s="32">
        <v>37302</v>
      </c>
      <c r="B4374">
        <v>0.18</v>
      </c>
      <c r="C4374">
        <v>0.19</v>
      </c>
      <c r="D4374">
        <v>0.18</v>
      </c>
      <c r="E4374">
        <v>0.18</v>
      </c>
      <c r="F4374">
        <v>65619444</v>
      </c>
    </row>
    <row r="4375" spans="1:6">
      <c r="A4375" s="32">
        <v>37301</v>
      </c>
      <c r="B4375">
        <v>0.18</v>
      </c>
      <c r="C4375">
        <v>0.19</v>
      </c>
      <c r="D4375">
        <v>0.18</v>
      </c>
      <c r="E4375">
        <v>0.18</v>
      </c>
      <c r="F4375">
        <v>82568376</v>
      </c>
    </row>
    <row r="4376" spans="1:6">
      <c r="A4376" s="32">
        <v>37300</v>
      </c>
      <c r="B4376">
        <v>0.18</v>
      </c>
      <c r="C4376">
        <v>0.18</v>
      </c>
      <c r="D4376">
        <v>0.18</v>
      </c>
      <c r="E4376">
        <v>0.18</v>
      </c>
      <c r="F4376">
        <v>94333280</v>
      </c>
    </row>
    <row r="4377" spans="1:6">
      <c r="A4377" s="32">
        <v>37299</v>
      </c>
      <c r="B4377">
        <v>0.18</v>
      </c>
      <c r="C4377">
        <v>0.18</v>
      </c>
      <c r="D4377">
        <v>0.18</v>
      </c>
      <c r="E4377">
        <v>0.18</v>
      </c>
      <c r="F4377">
        <v>48001196</v>
      </c>
    </row>
    <row r="4378" spans="1:6">
      <c r="A4378" s="32">
        <v>37298</v>
      </c>
      <c r="B4378">
        <v>0.18</v>
      </c>
      <c r="C4378">
        <v>0.18</v>
      </c>
      <c r="D4378">
        <v>0.18</v>
      </c>
      <c r="E4378">
        <v>0.18</v>
      </c>
      <c r="F4378">
        <v>94289624</v>
      </c>
    </row>
    <row r="4379" spans="1:6">
      <c r="A4379" s="32">
        <v>37295</v>
      </c>
      <c r="B4379">
        <v>0.19</v>
      </c>
      <c r="C4379">
        <v>0.19</v>
      </c>
      <c r="D4379">
        <v>0.18</v>
      </c>
      <c r="E4379">
        <v>0.18</v>
      </c>
      <c r="F4379">
        <v>157734848</v>
      </c>
    </row>
    <row r="4380" spans="1:6">
      <c r="A4380" s="32">
        <v>37294</v>
      </c>
      <c r="B4380">
        <v>0.19</v>
      </c>
      <c r="C4380">
        <v>0.19</v>
      </c>
      <c r="D4380">
        <v>0.19</v>
      </c>
      <c r="E4380">
        <v>0.19</v>
      </c>
      <c r="F4380">
        <v>15803625</v>
      </c>
    </row>
    <row r="4381" spans="1:6">
      <c r="A4381" s="32">
        <v>37293</v>
      </c>
      <c r="B4381">
        <v>0.19</v>
      </c>
      <c r="C4381">
        <v>0.19</v>
      </c>
      <c r="D4381">
        <v>0.19</v>
      </c>
      <c r="E4381">
        <v>0.19</v>
      </c>
      <c r="F4381">
        <v>14097091</v>
      </c>
    </row>
    <row r="4382" spans="1:6">
      <c r="A4382" s="32">
        <v>37292</v>
      </c>
      <c r="B4382">
        <v>0.19</v>
      </c>
      <c r="C4382">
        <v>0.19</v>
      </c>
      <c r="D4382">
        <v>0.19</v>
      </c>
      <c r="E4382">
        <v>0.19</v>
      </c>
      <c r="F4382">
        <v>22631838</v>
      </c>
    </row>
    <row r="4383" spans="1:6">
      <c r="A4383" s="32">
        <v>37291</v>
      </c>
      <c r="B4383">
        <v>0.19</v>
      </c>
      <c r="C4383">
        <v>0.19</v>
      </c>
      <c r="D4383">
        <v>0.19</v>
      </c>
      <c r="E4383">
        <v>0.19</v>
      </c>
      <c r="F4383">
        <v>10735989</v>
      </c>
    </row>
    <row r="4384" spans="1:6">
      <c r="A4384" s="32">
        <v>37288</v>
      </c>
      <c r="B4384">
        <v>0.19</v>
      </c>
      <c r="C4384">
        <v>0.19</v>
      </c>
      <c r="D4384">
        <v>0.19</v>
      </c>
      <c r="E4384">
        <v>0.19</v>
      </c>
      <c r="F4384">
        <v>9551184</v>
      </c>
    </row>
    <row r="4385" spans="1:6">
      <c r="A4385" s="32">
        <v>37287</v>
      </c>
      <c r="B4385">
        <v>0.19</v>
      </c>
      <c r="C4385">
        <v>0.19</v>
      </c>
      <c r="D4385">
        <v>0.19</v>
      </c>
      <c r="E4385">
        <v>0.19</v>
      </c>
      <c r="F4385">
        <v>11453107</v>
      </c>
    </row>
    <row r="4386" spans="1:6">
      <c r="A4386" s="32">
        <v>37286</v>
      </c>
      <c r="B4386">
        <v>0.19</v>
      </c>
      <c r="C4386">
        <v>0.19</v>
      </c>
      <c r="D4386">
        <v>0.19</v>
      </c>
      <c r="E4386">
        <v>0.19</v>
      </c>
      <c r="F4386">
        <v>21920956</v>
      </c>
    </row>
    <row r="4387" spans="1:6">
      <c r="A4387" s="32">
        <v>37285</v>
      </c>
      <c r="B4387">
        <v>0.19</v>
      </c>
      <c r="C4387">
        <v>0.19</v>
      </c>
      <c r="D4387">
        <v>0.19</v>
      </c>
      <c r="E4387">
        <v>0.19</v>
      </c>
      <c r="F4387">
        <v>22802284</v>
      </c>
    </row>
    <row r="4388" spans="1:6">
      <c r="A4388" s="32">
        <v>37284</v>
      </c>
      <c r="B4388">
        <v>0.2</v>
      </c>
      <c r="C4388">
        <v>0.2</v>
      </c>
      <c r="D4388">
        <v>0.19</v>
      </c>
      <c r="E4388">
        <v>0.19</v>
      </c>
      <c r="F4388">
        <v>54573744</v>
      </c>
    </row>
    <row r="4389" spans="1:6">
      <c r="A4389" s="32">
        <v>37281</v>
      </c>
      <c r="B4389">
        <v>0.18</v>
      </c>
      <c r="C4389">
        <v>0.19</v>
      </c>
      <c r="D4389">
        <v>0.18</v>
      </c>
      <c r="E4389">
        <v>0.19</v>
      </c>
      <c r="F4389">
        <v>64615476</v>
      </c>
    </row>
    <row r="4390" spans="1:6">
      <c r="A4390" s="32">
        <v>37280</v>
      </c>
      <c r="B4390">
        <v>0.18</v>
      </c>
      <c r="C4390">
        <v>0.19</v>
      </c>
      <c r="D4390">
        <v>0.18</v>
      </c>
      <c r="E4390">
        <v>0.18</v>
      </c>
      <c r="F4390">
        <v>89105584</v>
      </c>
    </row>
    <row r="4391" spans="1:6">
      <c r="A4391" s="32">
        <v>37279</v>
      </c>
      <c r="B4391">
        <v>0.18</v>
      </c>
      <c r="C4391">
        <v>0.18</v>
      </c>
      <c r="D4391">
        <v>0.18</v>
      </c>
      <c r="E4391">
        <v>0.18</v>
      </c>
      <c r="F4391">
        <v>44498752</v>
      </c>
    </row>
    <row r="4392" spans="1:6">
      <c r="A4392" s="32">
        <v>37278</v>
      </c>
      <c r="B4392">
        <v>0.18</v>
      </c>
      <c r="C4392">
        <v>0.18</v>
      </c>
      <c r="D4392">
        <v>0.18</v>
      </c>
      <c r="E4392">
        <v>0.18</v>
      </c>
      <c r="F4392">
        <v>6655689</v>
      </c>
    </row>
    <row r="4393" spans="1:6">
      <c r="A4393" s="32">
        <v>37277</v>
      </c>
      <c r="B4393">
        <v>0.18</v>
      </c>
      <c r="C4393">
        <v>0.18</v>
      </c>
      <c r="D4393">
        <v>0.17</v>
      </c>
      <c r="E4393">
        <v>0.18</v>
      </c>
      <c r="F4393">
        <v>814813</v>
      </c>
    </row>
    <row r="4394" spans="1:6">
      <c r="A4394" s="32">
        <v>37274</v>
      </c>
      <c r="B4394">
        <v>0.18</v>
      </c>
      <c r="C4394">
        <v>0.18</v>
      </c>
      <c r="D4394">
        <v>0.18</v>
      </c>
      <c r="E4394">
        <v>0.18</v>
      </c>
      <c r="F4394">
        <v>5813855</v>
      </c>
    </row>
    <row r="4395" spans="1:6">
      <c r="A4395" s="32">
        <v>37273</v>
      </c>
      <c r="B4395">
        <v>0.18</v>
      </c>
      <c r="C4395">
        <v>0.18</v>
      </c>
      <c r="D4395">
        <v>0.18</v>
      </c>
      <c r="E4395">
        <v>0.18</v>
      </c>
      <c r="F4395">
        <v>54794076</v>
      </c>
    </row>
    <row r="4396" spans="1:6">
      <c r="A4396" s="32">
        <v>37272</v>
      </c>
      <c r="B4396">
        <v>0.19</v>
      </c>
      <c r="C4396">
        <v>0.19</v>
      </c>
      <c r="D4396">
        <v>0.18</v>
      </c>
      <c r="E4396">
        <v>0.18</v>
      </c>
      <c r="F4396">
        <v>8195935</v>
      </c>
    </row>
    <row r="4397" spans="1:6">
      <c r="A4397" s="32">
        <v>37271</v>
      </c>
      <c r="B4397">
        <v>0.19</v>
      </c>
      <c r="C4397">
        <v>0.19</v>
      </c>
      <c r="D4397">
        <v>0.19</v>
      </c>
      <c r="E4397">
        <v>0.19</v>
      </c>
      <c r="F4397">
        <v>37774468</v>
      </c>
    </row>
    <row r="4398" spans="1:6">
      <c r="A4398" s="32">
        <v>37270</v>
      </c>
      <c r="B4398">
        <v>0.19</v>
      </c>
      <c r="C4398">
        <v>0.19</v>
      </c>
      <c r="D4398">
        <v>0.19</v>
      </c>
      <c r="E4398">
        <v>0.19</v>
      </c>
      <c r="F4398">
        <v>14807973</v>
      </c>
    </row>
    <row r="4399" spans="1:6">
      <c r="A4399" s="32">
        <v>37267</v>
      </c>
      <c r="B4399">
        <v>0.19</v>
      </c>
      <c r="C4399">
        <v>0.19</v>
      </c>
      <c r="D4399">
        <v>0.19</v>
      </c>
      <c r="E4399">
        <v>0.19</v>
      </c>
      <c r="F4399">
        <v>7189891</v>
      </c>
    </row>
    <row r="4400" spans="1:6">
      <c r="A4400" s="32">
        <v>37266</v>
      </c>
      <c r="B4400">
        <v>0.19</v>
      </c>
      <c r="C4400">
        <v>0.19</v>
      </c>
      <c r="D4400">
        <v>0.19</v>
      </c>
      <c r="E4400">
        <v>0.19</v>
      </c>
      <c r="F4400">
        <v>26315124</v>
      </c>
    </row>
    <row r="4401" spans="1:6">
      <c r="A4401" s="32">
        <v>37265</v>
      </c>
      <c r="B4401">
        <v>0.2</v>
      </c>
      <c r="C4401">
        <v>0.2</v>
      </c>
      <c r="D4401">
        <v>0.19</v>
      </c>
      <c r="E4401">
        <v>0.19</v>
      </c>
      <c r="F4401">
        <v>24914144</v>
      </c>
    </row>
    <row r="4402" spans="1:6">
      <c r="A4402" s="32">
        <v>37264</v>
      </c>
      <c r="B4402">
        <v>0.19</v>
      </c>
      <c r="C4402">
        <v>0.2</v>
      </c>
      <c r="D4402">
        <v>0.19</v>
      </c>
      <c r="E4402">
        <v>0.19</v>
      </c>
      <c r="F4402">
        <v>148266816</v>
      </c>
    </row>
    <row r="4403" spans="1:6">
      <c r="A4403" s="32">
        <v>37263</v>
      </c>
      <c r="B4403">
        <v>0.2</v>
      </c>
      <c r="C4403">
        <v>0.2</v>
      </c>
      <c r="D4403">
        <v>0.19</v>
      </c>
      <c r="E4403">
        <v>0.2</v>
      </c>
      <c r="F4403">
        <v>85243544</v>
      </c>
    </row>
    <row r="4404" spans="1:6">
      <c r="A4404" s="32">
        <v>37260</v>
      </c>
      <c r="B4404">
        <v>0.19</v>
      </c>
      <c r="C4404">
        <v>0.2</v>
      </c>
      <c r="D4404">
        <v>0.19</v>
      </c>
      <c r="E4404">
        <v>0.2</v>
      </c>
      <c r="F4404">
        <v>301225024</v>
      </c>
    </row>
    <row r="4405" spans="1:6">
      <c r="A4405" s="32">
        <v>37259</v>
      </c>
      <c r="B4405">
        <v>0.2</v>
      </c>
      <c r="C4405">
        <v>0.2</v>
      </c>
      <c r="D4405">
        <v>0.19</v>
      </c>
      <c r="E4405">
        <v>0.19</v>
      </c>
      <c r="F4405">
        <v>142968448</v>
      </c>
    </row>
    <row r="4406" spans="1:6">
      <c r="A4406" s="32">
        <v>37258</v>
      </c>
      <c r="B4406">
        <v>0.19</v>
      </c>
      <c r="C4406">
        <v>0.19</v>
      </c>
      <c r="D4406">
        <v>0.19</v>
      </c>
      <c r="E4406">
        <v>0.19</v>
      </c>
      <c r="F4406">
        <v>80462752</v>
      </c>
    </row>
    <row r="4407" spans="1:6">
      <c r="A4407" s="32">
        <v>37253</v>
      </c>
      <c r="B4407">
        <v>0.19</v>
      </c>
      <c r="C4407">
        <v>0.19</v>
      </c>
      <c r="D4407">
        <v>0.19</v>
      </c>
      <c r="E4407">
        <v>0.19</v>
      </c>
      <c r="F4407">
        <v>11411535</v>
      </c>
    </row>
    <row r="4408" spans="1:6">
      <c r="A4408" s="32">
        <v>37252</v>
      </c>
      <c r="B4408">
        <v>0.19</v>
      </c>
      <c r="C4408">
        <v>0.19</v>
      </c>
      <c r="D4408">
        <v>0.19</v>
      </c>
      <c r="E4408">
        <v>0.19</v>
      </c>
      <c r="F4408">
        <v>102298488</v>
      </c>
    </row>
    <row r="4409" spans="1:6">
      <c r="A4409" s="32">
        <v>37251</v>
      </c>
      <c r="B4409">
        <v>0.18</v>
      </c>
      <c r="C4409">
        <v>0.18</v>
      </c>
      <c r="D4409">
        <v>0.18</v>
      </c>
      <c r="E4409">
        <v>0.18</v>
      </c>
      <c r="F4409">
        <v>68872456</v>
      </c>
    </row>
    <row r="4410" spans="1:6">
      <c r="A4410" s="32">
        <v>37250</v>
      </c>
      <c r="B4410">
        <v>0.18</v>
      </c>
      <c r="C4410">
        <v>0.18</v>
      </c>
      <c r="D4410">
        <v>0.18</v>
      </c>
      <c r="E4410">
        <v>0.18</v>
      </c>
      <c r="F4410">
        <v>11141316</v>
      </c>
    </row>
    <row r="4411" spans="1:6">
      <c r="A4411" s="32">
        <v>37249</v>
      </c>
      <c r="B4411">
        <v>0.18</v>
      </c>
      <c r="C4411">
        <v>0.18</v>
      </c>
      <c r="D4411">
        <v>0.18</v>
      </c>
      <c r="E4411">
        <v>0.18</v>
      </c>
      <c r="F4411">
        <v>25313236</v>
      </c>
    </row>
    <row r="4412" spans="1:6">
      <c r="A4412" s="32">
        <v>37246</v>
      </c>
      <c r="B4412">
        <v>0.18</v>
      </c>
      <c r="C4412">
        <v>0.18</v>
      </c>
      <c r="D4412">
        <v>0.17</v>
      </c>
      <c r="E4412">
        <v>0.18</v>
      </c>
      <c r="F4412">
        <v>84800800</v>
      </c>
    </row>
    <row r="4413" spans="1:6">
      <c r="A4413" s="32">
        <v>37245</v>
      </c>
      <c r="B4413">
        <v>0.17</v>
      </c>
      <c r="C4413">
        <v>0.18</v>
      </c>
      <c r="D4413">
        <v>0.17</v>
      </c>
      <c r="E4413">
        <v>0.18</v>
      </c>
      <c r="F4413">
        <v>28027894</v>
      </c>
    </row>
    <row r="4414" spans="1:6">
      <c r="A4414" s="32">
        <v>37244</v>
      </c>
      <c r="B4414">
        <v>0.17</v>
      </c>
      <c r="C4414">
        <v>0.18</v>
      </c>
      <c r="D4414">
        <v>0.17</v>
      </c>
      <c r="E4414">
        <v>0.17</v>
      </c>
      <c r="F4414">
        <v>32309816</v>
      </c>
    </row>
    <row r="4415" spans="1:6">
      <c r="A4415" s="32">
        <v>37243</v>
      </c>
      <c r="B4415">
        <v>0.17</v>
      </c>
      <c r="C4415">
        <v>0.17</v>
      </c>
      <c r="D4415">
        <v>0.17</v>
      </c>
      <c r="E4415">
        <v>0.17</v>
      </c>
      <c r="F4415">
        <v>14313266</v>
      </c>
    </row>
    <row r="4416" spans="1:6">
      <c r="A4416" s="32">
        <v>37242</v>
      </c>
      <c r="B4416">
        <v>0.17</v>
      </c>
      <c r="C4416">
        <v>0.17</v>
      </c>
      <c r="D4416">
        <v>0.17</v>
      </c>
      <c r="E4416">
        <v>0.17</v>
      </c>
      <c r="F4416">
        <v>3263408</v>
      </c>
    </row>
    <row r="4417" spans="1:6">
      <c r="A4417" s="32">
        <v>37239</v>
      </c>
      <c r="B4417">
        <v>0.17</v>
      </c>
      <c r="C4417">
        <v>0.17</v>
      </c>
      <c r="D4417">
        <v>0.17</v>
      </c>
      <c r="E4417">
        <v>0.17</v>
      </c>
      <c r="F4417">
        <v>6271148</v>
      </c>
    </row>
    <row r="4418" spans="1:6">
      <c r="A4418" s="32">
        <v>37238</v>
      </c>
      <c r="B4418">
        <v>0.17</v>
      </c>
      <c r="C4418">
        <v>0.17</v>
      </c>
      <c r="D4418">
        <v>0.17</v>
      </c>
      <c r="E4418">
        <v>0.17</v>
      </c>
      <c r="F4418">
        <v>5522850</v>
      </c>
    </row>
    <row r="4419" spans="1:6">
      <c r="A4419" s="32">
        <v>37237</v>
      </c>
      <c r="B4419">
        <v>0.17</v>
      </c>
      <c r="C4419">
        <v>0.18</v>
      </c>
      <c r="D4419">
        <v>0.17</v>
      </c>
      <c r="E4419">
        <v>0.17</v>
      </c>
      <c r="F4419">
        <v>24427752</v>
      </c>
    </row>
    <row r="4420" spans="1:6">
      <c r="A4420" s="32">
        <v>37236</v>
      </c>
      <c r="B4420">
        <v>0.17</v>
      </c>
      <c r="C4420">
        <v>0.17</v>
      </c>
      <c r="D4420">
        <v>0.17</v>
      </c>
      <c r="E4420">
        <v>0.17</v>
      </c>
      <c r="F4420">
        <v>18707434</v>
      </c>
    </row>
    <row r="4421" spans="1:6">
      <c r="A4421" s="32">
        <v>37232</v>
      </c>
      <c r="B4421">
        <v>0.17</v>
      </c>
      <c r="C4421">
        <v>0.18</v>
      </c>
      <c r="D4421">
        <v>0.17</v>
      </c>
      <c r="E4421">
        <v>0.17</v>
      </c>
      <c r="F4421">
        <v>44164096</v>
      </c>
    </row>
    <row r="4422" spans="1:6">
      <c r="A4422" s="32">
        <v>37231</v>
      </c>
      <c r="B4422">
        <v>0.18</v>
      </c>
      <c r="C4422">
        <v>0.18</v>
      </c>
      <c r="D4422">
        <v>0.17</v>
      </c>
      <c r="E4422">
        <v>0.17</v>
      </c>
      <c r="F4422">
        <v>67801976</v>
      </c>
    </row>
    <row r="4423" spans="1:6">
      <c r="A4423" s="32">
        <v>37229</v>
      </c>
      <c r="B4423">
        <v>0.18</v>
      </c>
      <c r="C4423">
        <v>0.18</v>
      </c>
      <c r="D4423">
        <v>0.18</v>
      </c>
      <c r="E4423">
        <v>0.18</v>
      </c>
      <c r="F4423">
        <v>102194552</v>
      </c>
    </row>
    <row r="4424" spans="1:6">
      <c r="A4424" s="32">
        <v>37228</v>
      </c>
      <c r="B4424">
        <v>0.18</v>
      </c>
      <c r="C4424">
        <v>0.18</v>
      </c>
      <c r="D4424">
        <v>0.18</v>
      </c>
      <c r="E4424">
        <v>0.18</v>
      </c>
      <c r="F4424">
        <v>209265520</v>
      </c>
    </row>
    <row r="4425" spans="1:6">
      <c r="A4425" s="32">
        <v>37225</v>
      </c>
      <c r="B4425">
        <v>0.17</v>
      </c>
      <c r="C4425">
        <v>0.18</v>
      </c>
      <c r="D4425">
        <v>0.17</v>
      </c>
      <c r="E4425">
        <v>0.18</v>
      </c>
      <c r="F4425">
        <v>127453752</v>
      </c>
    </row>
    <row r="4426" spans="1:6">
      <c r="A4426" s="32">
        <v>37224</v>
      </c>
      <c r="B4426">
        <v>0.17</v>
      </c>
      <c r="C4426">
        <v>0.18</v>
      </c>
      <c r="D4426">
        <v>0.17</v>
      </c>
      <c r="E4426">
        <v>0.17</v>
      </c>
      <c r="F4426">
        <v>254803568</v>
      </c>
    </row>
    <row r="4427" spans="1:6">
      <c r="A4427" s="32">
        <v>37223</v>
      </c>
      <c r="B4427">
        <v>0.17</v>
      </c>
      <c r="C4427">
        <v>0.17</v>
      </c>
      <c r="D4427">
        <v>0.16</v>
      </c>
      <c r="E4427">
        <v>0.17</v>
      </c>
      <c r="F4427">
        <v>108463624</v>
      </c>
    </row>
    <row r="4428" spans="1:6">
      <c r="A4428" s="32">
        <v>37222</v>
      </c>
      <c r="B4428">
        <v>0.17</v>
      </c>
      <c r="C4428">
        <v>0.17</v>
      </c>
      <c r="D4428">
        <v>0.17</v>
      </c>
      <c r="E4428">
        <v>0.17</v>
      </c>
      <c r="F4428">
        <v>37643516</v>
      </c>
    </row>
    <row r="4429" spans="1:6">
      <c r="A4429" s="32">
        <v>37221</v>
      </c>
      <c r="B4429">
        <v>0.17</v>
      </c>
      <c r="C4429">
        <v>0.17</v>
      </c>
      <c r="D4429">
        <v>0.16</v>
      </c>
      <c r="E4429">
        <v>0.16</v>
      </c>
      <c r="F4429">
        <v>71797056</v>
      </c>
    </row>
    <row r="4430" spans="1:6">
      <c r="A4430" s="32">
        <v>37218</v>
      </c>
      <c r="B4430">
        <v>0.17</v>
      </c>
      <c r="C4430">
        <v>0.17</v>
      </c>
      <c r="D4430">
        <v>0.16</v>
      </c>
      <c r="E4430">
        <v>0.17</v>
      </c>
      <c r="F4430">
        <v>214183488</v>
      </c>
    </row>
    <row r="4431" spans="1:6">
      <c r="A4431" s="32">
        <v>37217</v>
      </c>
      <c r="B4431">
        <v>0.17</v>
      </c>
      <c r="C4431">
        <v>0.17</v>
      </c>
      <c r="D4431">
        <v>0.16</v>
      </c>
      <c r="E4431">
        <v>0.16</v>
      </c>
      <c r="F4431">
        <v>87062320</v>
      </c>
    </row>
    <row r="4432" spans="1:6">
      <c r="A4432" s="32">
        <v>37216</v>
      </c>
      <c r="B4432">
        <v>0.17</v>
      </c>
      <c r="C4432">
        <v>0.17</v>
      </c>
      <c r="D4432">
        <v>0.17</v>
      </c>
      <c r="E4432">
        <v>0.17</v>
      </c>
      <c r="F4432">
        <v>128185416</v>
      </c>
    </row>
    <row r="4433" spans="1:6">
      <c r="A4433" s="32">
        <v>37215</v>
      </c>
      <c r="B4433">
        <v>0.18</v>
      </c>
      <c r="C4433">
        <v>0.18</v>
      </c>
      <c r="D4433">
        <v>0.17</v>
      </c>
      <c r="E4433">
        <v>0.17</v>
      </c>
      <c r="F4433">
        <v>243250688</v>
      </c>
    </row>
    <row r="4434" spans="1:6">
      <c r="A4434" s="32">
        <v>37214</v>
      </c>
      <c r="B4434">
        <v>0.16</v>
      </c>
      <c r="C4434">
        <v>0.18</v>
      </c>
      <c r="D4434">
        <v>0.16</v>
      </c>
      <c r="E4434">
        <v>0.17</v>
      </c>
      <c r="F4434">
        <v>396610080</v>
      </c>
    </row>
    <row r="4435" spans="1:6">
      <c r="A4435" s="32">
        <v>37211</v>
      </c>
      <c r="B4435">
        <v>0.16</v>
      </c>
      <c r="C4435">
        <v>0.16</v>
      </c>
      <c r="D4435">
        <v>0.16</v>
      </c>
      <c r="E4435">
        <v>0.16</v>
      </c>
      <c r="F4435">
        <v>139480544</v>
      </c>
    </row>
    <row r="4436" spans="1:6">
      <c r="A4436" s="32">
        <v>37210</v>
      </c>
      <c r="B4436">
        <v>0.16</v>
      </c>
      <c r="C4436">
        <v>0.16</v>
      </c>
      <c r="D4436">
        <v>0.16</v>
      </c>
      <c r="E4436">
        <v>0.16</v>
      </c>
      <c r="F4436">
        <v>61362464</v>
      </c>
    </row>
    <row r="4437" spans="1:6">
      <c r="A4437" s="32">
        <v>37209</v>
      </c>
      <c r="B4437">
        <v>0.16</v>
      </c>
      <c r="C4437">
        <v>0.16</v>
      </c>
      <c r="D4437">
        <v>0.16</v>
      </c>
      <c r="E4437">
        <v>0.16</v>
      </c>
      <c r="F4437">
        <v>198334144</v>
      </c>
    </row>
    <row r="4438" spans="1:6">
      <c r="A4438" s="32">
        <v>37208</v>
      </c>
      <c r="B4438">
        <v>0.16</v>
      </c>
      <c r="C4438">
        <v>0.16</v>
      </c>
      <c r="D4438">
        <v>0.16</v>
      </c>
      <c r="E4438">
        <v>0.16</v>
      </c>
      <c r="F4438">
        <v>187537872</v>
      </c>
    </row>
    <row r="4439" spans="1:6">
      <c r="A4439" s="32">
        <v>37207</v>
      </c>
      <c r="B4439">
        <v>0.15</v>
      </c>
      <c r="C4439">
        <v>0.16</v>
      </c>
      <c r="D4439">
        <v>0.15</v>
      </c>
      <c r="E4439">
        <v>0.16</v>
      </c>
      <c r="F4439">
        <v>123132328</v>
      </c>
    </row>
    <row r="4440" spans="1:6">
      <c r="A4440" s="32">
        <v>37204</v>
      </c>
      <c r="B4440">
        <v>0.15</v>
      </c>
      <c r="C4440">
        <v>0.16</v>
      </c>
      <c r="D4440">
        <v>0.15</v>
      </c>
      <c r="E4440">
        <v>0.15</v>
      </c>
      <c r="F4440">
        <v>188884800</v>
      </c>
    </row>
    <row r="4441" spans="1:6">
      <c r="A4441" s="32">
        <v>37203</v>
      </c>
      <c r="B4441">
        <v>0.15</v>
      </c>
      <c r="C4441">
        <v>0.15</v>
      </c>
      <c r="D4441">
        <v>0.15</v>
      </c>
      <c r="E4441">
        <v>0.15</v>
      </c>
      <c r="F4441">
        <v>228712928</v>
      </c>
    </row>
    <row r="4442" spans="1:6">
      <c r="A4442" s="32">
        <v>37202</v>
      </c>
      <c r="B4442">
        <v>0.16</v>
      </c>
      <c r="C4442">
        <v>0.16</v>
      </c>
      <c r="D4442">
        <v>0.15</v>
      </c>
      <c r="E4442">
        <v>0.15</v>
      </c>
      <c r="F4442">
        <v>179953040</v>
      </c>
    </row>
    <row r="4443" spans="1:6">
      <c r="A4443" s="32">
        <v>37201</v>
      </c>
      <c r="B4443">
        <v>0.16</v>
      </c>
      <c r="C4443">
        <v>0.16</v>
      </c>
      <c r="D4443">
        <v>0.16</v>
      </c>
      <c r="E4443">
        <v>0.16</v>
      </c>
      <c r="F4443">
        <v>212946720</v>
      </c>
    </row>
    <row r="4444" spans="1:6">
      <c r="A4444" s="32">
        <v>37200</v>
      </c>
      <c r="B4444">
        <v>0.16</v>
      </c>
      <c r="C4444">
        <v>0.17</v>
      </c>
      <c r="D4444">
        <v>0.16</v>
      </c>
      <c r="E4444">
        <v>0.16</v>
      </c>
      <c r="F4444">
        <v>149628288</v>
      </c>
    </row>
    <row r="4445" spans="1:6">
      <c r="A4445" s="32">
        <v>37197</v>
      </c>
      <c r="B4445">
        <v>0.18</v>
      </c>
      <c r="C4445">
        <v>0.18</v>
      </c>
      <c r="D4445">
        <v>0.16</v>
      </c>
      <c r="E4445">
        <v>0.17</v>
      </c>
      <c r="F4445">
        <v>463387296</v>
      </c>
    </row>
    <row r="4446" spans="1:6">
      <c r="A4446" s="32">
        <v>37196</v>
      </c>
      <c r="B4446">
        <v>0.18</v>
      </c>
      <c r="C4446">
        <v>0.18</v>
      </c>
      <c r="D4446">
        <v>0.17</v>
      </c>
      <c r="E4446">
        <v>0.18</v>
      </c>
      <c r="F4446">
        <v>268825824</v>
      </c>
    </row>
    <row r="4447" spans="1:6">
      <c r="A4447" s="32">
        <v>37195</v>
      </c>
      <c r="B4447">
        <v>0.18</v>
      </c>
      <c r="C4447">
        <v>0.19</v>
      </c>
      <c r="D4447">
        <v>0.18</v>
      </c>
      <c r="E4447">
        <v>0.18</v>
      </c>
      <c r="F4447">
        <v>241172080</v>
      </c>
    </row>
    <row r="4448" spans="1:6">
      <c r="A4448" s="32">
        <v>37195</v>
      </c>
      <c r="B4448">
        <v>0.18</v>
      </c>
      <c r="C4448">
        <v>0.19</v>
      </c>
      <c r="D4448">
        <v>0.18</v>
      </c>
      <c r="E4448">
        <v>0.18</v>
      </c>
      <c r="F4448">
        <v>241172080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5C01A-6D35-4683-9EAA-A8785E39D16E}">
  <sheetPr codeName="Sheet1">
    <tabColor theme="1"/>
  </sheetPr>
  <dimension ref="A1:U59"/>
  <sheetViews>
    <sheetView workbookViewId="0">
      <selection activeCell="B21" sqref="B21"/>
    </sheetView>
  </sheetViews>
  <sheetFormatPr defaultRowHeight="15"/>
  <cols>
    <col min="1" max="1" width="44.140625" customWidth="1"/>
    <col min="2" max="9" width="11.140625" bestFit="1" customWidth="1"/>
    <col min="10" max="11" width="5" bestFit="1" customWidth="1"/>
    <col min="12" max="21" width="11.140625" bestFit="1" customWidth="1"/>
  </cols>
  <sheetData>
    <row r="1" spans="1:21">
      <c r="A1" t="s">
        <v>113</v>
      </c>
      <c r="B1">
        <v>2011</v>
      </c>
      <c r="C1">
        <v>2012</v>
      </c>
      <c r="D1">
        <v>2013</v>
      </c>
      <c r="E1">
        <v>2014</v>
      </c>
      <c r="F1">
        <v>2015</v>
      </c>
      <c r="G1">
        <v>2016</v>
      </c>
      <c r="H1">
        <v>2017</v>
      </c>
      <c r="I1">
        <v>2018</v>
      </c>
      <c r="J1">
        <v>2019</v>
      </c>
      <c r="K1">
        <v>2020</v>
      </c>
      <c r="L1" t="s">
        <v>0</v>
      </c>
      <c r="M1" t="s">
        <v>1</v>
      </c>
      <c r="N1" t="s">
        <v>2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</row>
    <row r="2" spans="1:21">
      <c r="A2" t="s">
        <v>10</v>
      </c>
      <c r="B2">
        <v>66.8</v>
      </c>
      <c r="C2">
        <v>89.6</v>
      </c>
      <c r="D2">
        <v>127.1</v>
      </c>
      <c r="E2">
        <v>209.8</v>
      </c>
      <c r="F2">
        <v>205.8</v>
      </c>
      <c r="G2">
        <v>202.8</v>
      </c>
      <c r="H2">
        <v>205</v>
      </c>
      <c r="I2">
        <v>160</v>
      </c>
      <c r="L2">
        <v>202.8</v>
      </c>
      <c r="M2">
        <v>217</v>
      </c>
      <c r="N2">
        <v>214.5</v>
      </c>
      <c r="O2">
        <v>205</v>
      </c>
      <c r="P2">
        <v>189.3</v>
      </c>
      <c r="Q2">
        <v>196.3</v>
      </c>
      <c r="R2">
        <v>187.5</v>
      </c>
      <c r="S2">
        <v>177.3</v>
      </c>
      <c r="T2">
        <v>152.80000000000001</v>
      </c>
      <c r="U2">
        <v>139</v>
      </c>
    </row>
    <row r="3" spans="1:21">
      <c r="A3" t="s">
        <v>11</v>
      </c>
      <c r="B3">
        <v>1.83</v>
      </c>
      <c r="C3">
        <v>2.95</v>
      </c>
      <c r="D3">
        <v>2.91</v>
      </c>
      <c r="E3">
        <v>3.15</v>
      </c>
      <c r="F3">
        <v>3.96</v>
      </c>
      <c r="G3">
        <v>4.18</v>
      </c>
      <c r="H3">
        <v>4.55</v>
      </c>
      <c r="I3">
        <v>4.79</v>
      </c>
      <c r="L3">
        <v>1.1100000000000001</v>
      </c>
      <c r="M3">
        <v>1.22</v>
      </c>
      <c r="N3">
        <v>1.07</v>
      </c>
      <c r="O3">
        <v>1.24</v>
      </c>
      <c r="P3">
        <v>1.1200000000000001</v>
      </c>
      <c r="Q3">
        <v>1.3</v>
      </c>
      <c r="R3">
        <v>1.1200000000000001</v>
      </c>
      <c r="S3">
        <v>1.25</v>
      </c>
      <c r="T3">
        <v>0.83</v>
      </c>
      <c r="U3">
        <v>1.22</v>
      </c>
    </row>
    <row r="4" spans="1:21">
      <c r="A4" t="s">
        <v>12</v>
      </c>
      <c r="B4">
        <v>15.5</v>
      </c>
      <c r="C4">
        <v>19.2</v>
      </c>
      <c r="D4">
        <v>20</v>
      </c>
      <c r="E4">
        <v>21.8</v>
      </c>
      <c r="F4">
        <v>24.5</v>
      </c>
      <c r="G4">
        <v>24.8</v>
      </c>
      <c r="H4">
        <v>25.1</v>
      </c>
      <c r="I4">
        <v>25.4</v>
      </c>
      <c r="L4">
        <v>6.05</v>
      </c>
      <c r="M4">
        <v>6.63</v>
      </c>
      <c r="N4">
        <v>6.31</v>
      </c>
      <c r="O4">
        <v>6.44</v>
      </c>
      <c r="P4">
        <v>5.91</v>
      </c>
      <c r="Q4">
        <v>6.53</v>
      </c>
      <c r="R4">
        <v>6.55</v>
      </c>
      <c r="S4">
        <v>6.49</v>
      </c>
      <c r="T4">
        <v>5.97</v>
      </c>
      <c r="U4">
        <v>6.59</v>
      </c>
    </row>
    <row r="5" spans="1:21">
      <c r="A5" t="s">
        <v>13</v>
      </c>
      <c r="B5">
        <v>1.1000000000000001</v>
      </c>
      <c r="C5">
        <v>1.8</v>
      </c>
      <c r="D5">
        <v>1.9</v>
      </c>
      <c r="E5">
        <v>1.95</v>
      </c>
      <c r="F5">
        <v>2.35</v>
      </c>
      <c r="G5">
        <v>2.5</v>
      </c>
      <c r="H5">
        <v>2.7</v>
      </c>
      <c r="I5">
        <v>2.9</v>
      </c>
      <c r="L5">
        <v>1</v>
      </c>
      <c r="M5">
        <v>0</v>
      </c>
      <c r="N5">
        <v>1.7</v>
      </c>
      <c r="P5">
        <v>1.1000000000000001</v>
      </c>
      <c r="Q5">
        <v>0</v>
      </c>
      <c r="R5">
        <v>1.8</v>
      </c>
      <c r="T5">
        <v>1.1499999999999999</v>
      </c>
      <c r="U5">
        <v>0</v>
      </c>
    </row>
    <row r="6" spans="1:21">
      <c r="A6" t="s">
        <v>14</v>
      </c>
      <c r="B6">
        <v>1.47</v>
      </c>
      <c r="C6">
        <v>1.35</v>
      </c>
      <c r="D6">
        <v>3.04</v>
      </c>
      <c r="E6">
        <v>1.7</v>
      </c>
      <c r="F6">
        <v>2.06</v>
      </c>
      <c r="G6">
        <v>3.05</v>
      </c>
      <c r="H6">
        <v>1.94</v>
      </c>
      <c r="I6">
        <v>0.7</v>
      </c>
      <c r="L6">
        <v>0.35</v>
      </c>
      <c r="M6">
        <v>0.51</v>
      </c>
      <c r="N6">
        <v>0.84</v>
      </c>
      <c r="O6">
        <v>0.2</v>
      </c>
      <c r="P6">
        <v>0.2</v>
      </c>
      <c r="Q6">
        <v>0.12</v>
      </c>
      <c r="R6">
        <v>0.19</v>
      </c>
      <c r="S6">
        <v>0.25</v>
      </c>
      <c r="T6">
        <v>0.4</v>
      </c>
      <c r="U6">
        <v>1.52</v>
      </c>
    </row>
    <row r="7" spans="1:21">
      <c r="A7" t="s">
        <v>15</v>
      </c>
      <c r="B7">
        <v>9.24</v>
      </c>
      <c r="C7">
        <v>11.7</v>
      </c>
      <c r="D7">
        <v>13.2</v>
      </c>
      <c r="E7">
        <v>14.9</v>
      </c>
      <c r="F7">
        <v>17.5</v>
      </c>
      <c r="G7">
        <v>19.899999999999999</v>
      </c>
      <c r="H7">
        <v>22.5</v>
      </c>
      <c r="I7">
        <v>25.3</v>
      </c>
      <c r="L7">
        <v>21</v>
      </c>
      <c r="M7">
        <v>21.4</v>
      </c>
      <c r="N7">
        <v>22.5</v>
      </c>
      <c r="O7">
        <v>24</v>
      </c>
      <c r="P7">
        <v>23.6</v>
      </c>
      <c r="Q7">
        <v>24</v>
      </c>
      <c r="R7">
        <v>25.3</v>
      </c>
      <c r="S7">
        <v>26.8</v>
      </c>
      <c r="T7">
        <v>25.9</v>
      </c>
      <c r="U7">
        <v>26.2</v>
      </c>
    </row>
    <row r="8" spans="1:21">
      <c r="A8" t="s">
        <v>16</v>
      </c>
      <c r="B8">
        <v>25</v>
      </c>
      <c r="C8">
        <v>29.7</v>
      </c>
      <c r="D8">
        <v>30.6</v>
      </c>
      <c r="E8">
        <v>49.4</v>
      </c>
      <c r="F8">
        <v>54.8</v>
      </c>
      <c r="G8">
        <v>42.1</v>
      </c>
      <c r="H8">
        <v>45.3</v>
      </c>
      <c r="I8">
        <v>38.9</v>
      </c>
      <c r="L8">
        <v>50.3</v>
      </c>
      <c r="M8">
        <v>44.9</v>
      </c>
      <c r="N8">
        <v>45.2</v>
      </c>
      <c r="O8">
        <v>41.5</v>
      </c>
      <c r="P8">
        <v>39</v>
      </c>
      <c r="Q8">
        <v>40.200000000000003</v>
      </c>
      <c r="R8">
        <v>39</v>
      </c>
      <c r="S8">
        <v>35</v>
      </c>
      <c r="T8">
        <v>30.8</v>
      </c>
      <c r="U8">
        <v>30.7</v>
      </c>
    </row>
    <row r="9" spans="1:21">
      <c r="A9" t="s">
        <v>17</v>
      </c>
      <c r="B9">
        <v>5.79</v>
      </c>
      <c r="C9">
        <v>7.34</v>
      </c>
      <c r="D9">
        <v>7.31</v>
      </c>
      <c r="E9">
        <v>10.199999999999999</v>
      </c>
      <c r="F9">
        <v>12.1</v>
      </c>
      <c r="G9">
        <v>9.2100000000000009</v>
      </c>
      <c r="H9">
        <v>9.4600000000000009</v>
      </c>
      <c r="I9">
        <v>7.09</v>
      </c>
      <c r="L9">
        <v>10.199999999999999</v>
      </c>
      <c r="M9">
        <v>8.84</v>
      </c>
      <c r="N9">
        <v>9.4600000000000009</v>
      </c>
      <c r="O9">
        <v>6.95</v>
      </c>
      <c r="P9">
        <v>7.88</v>
      </c>
      <c r="Q9">
        <v>7.83</v>
      </c>
      <c r="R9">
        <v>7.09</v>
      </c>
      <c r="S9">
        <v>6.31</v>
      </c>
      <c r="T9">
        <v>4.93</v>
      </c>
      <c r="U9">
        <v>5.61</v>
      </c>
    </row>
    <row r="10" spans="1:21">
      <c r="A10" t="s">
        <v>84</v>
      </c>
      <c r="B10" s="1">
        <v>13.8</v>
      </c>
      <c r="C10" s="1">
        <v>13.6</v>
      </c>
      <c r="D10" s="1">
        <v>14.9</v>
      </c>
      <c r="E10" s="1">
        <v>24.8</v>
      </c>
      <c r="F10" s="1">
        <v>29.3</v>
      </c>
      <c r="G10" s="1">
        <v>22.7</v>
      </c>
      <c r="H10" s="1">
        <v>22.6</v>
      </c>
      <c r="I10" s="1">
        <v>20.6</v>
      </c>
      <c r="L10" s="1">
        <v>21.3</v>
      </c>
      <c r="M10" s="1">
        <v>26.5</v>
      </c>
      <c r="N10" s="1">
        <v>22.6</v>
      </c>
      <c r="O10" s="1">
        <v>21.3</v>
      </c>
      <c r="P10" s="1">
        <v>20.399999999999999</v>
      </c>
      <c r="Q10" s="1">
        <v>21.5</v>
      </c>
      <c r="R10" s="1">
        <v>20.6</v>
      </c>
      <c r="S10" s="1">
        <v>19.7</v>
      </c>
      <c r="T10" s="1">
        <v>19.899999999999999</v>
      </c>
      <c r="U10" s="1">
        <v>14.1</v>
      </c>
    </row>
    <row r="11" spans="1:21">
      <c r="A11" t="s">
        <v>18</v>
      </c>
      <c r="B11" s="2">
        <v>0.60099999999999998</v>
      </c>
      <c r="C11" s="2">
        <v>0.61</v>
      </c>
      <c r="D11" s="2">
        <v>0.65300000000000002</v>
      </c>
      <c r="E11" s="2">
        <v>0.61899999999999999</v>
      </c>
      <c r="F11" s="2">
        <v>0.59299999999999997</v>
      </c>
      <c r="G11" s="2">
        <v>0.59799999999999998</v>
      </c>
      <c r="H11" s="2">
        <v>0.59299999999999997</v>
      </c>
      <c r="I11" s="2">
        <v>0.60499999999999998</v>
      </c>
      <c r="L11" s="2">
        <v>0.23100000000000001</v>
      </c>
      <c r="M11" s="2">
        <v>0</v>
      </c>
      <c r="N11" s="2">
        <v>0.373</v>
      </c>
      <c r="O11" s="2"/>
      <c r="P11" s="2">
        <v>0.23699999999999999</v>
      </c>
      <c r="Q11" s="2">
        <v>0</v>
      </c>
      <c r="R11" s="2">
        <v>0.377</v>
      </c>
      <c r="S11" s="2"/>
      <c r="T11" s="2">
        <v>0.25600000000000001</v>
      </c>
      <c r="U11" s="2">
        <v>0</v>
      </c>
    </row>
    <row r="12" spans="1:21">
      <c r="A12" t="s">
        <v>85</v>
      </c>
      <c r="B12" s="2">
        <v>728.4</v>
      </c>
      <c r="C12" s="2">
        <v>728.4</v>
      </c>
      <c r="D12" s="2">
        <v>728.6</v>
      </c>
      <c r="E12" s="2">
        <v>728.6</v>
      </c>
      <c r="F12" s="2">
        <v>728.6</v>
      </c>
      <c r="G12" s="2">
        <v>728.6</v>
      </c>
      <c r="H12" s="2">
        <v>728.7</v>
      </c>
      <c r="I12" s="2">
        <v>728.8</v>
      </c>
      <c r="L12" s="2">
        <v>728.7</v>
      </c>
      <c r="M12" s="2">
        <v>728.7</v>
      </c>
      <c r="N12" s="2">
        <v>728.7</v>
      </c>
      <c r="O12" s="2">
        <v>728.8</v>
      </c>
      <c r="P12" s="2">
        <v>728.8</v>
      </c>
      <c r="Q12" s="2">
        <v>728.8</v>
      </c>
      <c r="R12" s="2">
        <v>728.8</v>
      </c>
      <c r="S12" s="2">
        <v>728.8</v>
      </c>
      <c r="T12" s="2">
        <v>728.8</v>
      </c>
      <c r="U12" s="2">
        <v>728.8</v>
      </c>
    </row>
    <row r="13" spans="1:21">
      <c r="A13" t="s">
        <v>20</v>
      </c>
      <c r="B13" s="2">
        <v>11261</v>
      </c>
      <c r="C13" s="2">
        <v>13972</v>
      </c>
      <c r="D13" s="2">
        <v>14597</v>
      </c>
      <c r="E13" s="2">
        <v>15864</v>
      </c>
      <c r="F13" s="2">
        <v>17883</v>
      </c>
      <c r="G13" s="2">
        <v>18103</v>
      </c>
      <c r="H13" s="2">
        <v>18272</v>
      </c>
      <c r="I13" s="2">
        <v>18541</v>
      </c>
      <c r="L13" s="2">
        <v>4407</v>
      </c>
      <c r="M13" s="2">
        <v>4835</v>
      </c>
      <c r="N13" s="2">
        <v>4598</v>
      </c>
      <c r="O13" s="2">
        <v>4694</v>
      </c>
      <c r="P13" s="2">
        <v>4309</v>
      </c>
      <c r="Q13" s="2">
        <v>4761</v>
      </c>
      <c r="R13" s="2">
        <v>4777</v>
      </c>
      <c r="S13" s="2">
        <v>4733</v>
      </c>
      <c r="T13" s="2">
        <v>4348</v>
      </c>
      <c r="U13" s="2">
        <v>4801</v>
      </c>
    </row>
    <row r="14" spans="1:21">
      <c r="A14" t="s">
        <v>21</v>
      </c>
      <c r="B14" s="2">
        <v>7070</v>
      </c>
      <c r="C14" s="2">
        <v>8242</v>
      </c>
      <c r="D14" s="2">
        <v>8836</v>
      </c>
      <c r="E14" s="2">
        <v>9496</v>
      </c>
      <c r="F14" s="2">
        <v>10484</v>
      </c>
      <c r="G14" s="2">
        <v>10410</v>
      </c>
      <c r="H14" s="2">
        <v>10286</v>
      </c>
      <c r="I14" s="2">
        <v>10046</v>
      </c>
      <c r="L14" s="2">
        <v>2475</v>
      </c>
      <c r="M14" s="2">
        <v>2714</v>
      </c>
      <c r="N14" s="2">
        <v>2643</v>
      </c>
      <c r="O14" s="2">
        <v>2553</v>
      </c>
      <c r="P14" s="2">
        <v>2325</v>
      </c>
      <c r="Q14" s="2">
        <v>2501</v>
      </c>
      <c r="R14" s="2">
        <v>2668</v>
      </c>
      <c r="S14" s="2">
        <v>2495</v>
      </c>
      <c r="T14" s="2">
        <v>2508</v>
      </c>
      <c r="U14" s="2">
        <v>2567</v>
      </c>
    </row>
    <row r="15" spans="1:21">
      <c r="A15" t="s">
        <v>22</v>
      </c>
      <c r="B15" s="2">
        <v>4191</v>
      </c>
      <c r="C15" s="2">
        <v>5730</v>
      </c>
      <c r="D15" s="2">
        <v>5761</v>
      </c>
      <c r="E15" s="2">
        <v>6369</v>
      </c>
      <c r="F15" s="2">
        <v>7399</v>
      </c>
      <c r="G15" s="2">
        <v>7693</v>
      </c>
      <c r="H15" s="2">
        <v>7986</v>
      </c>
      <c r="I15" s="2">
        <v>8495</v>
      </c>
      <c r="L15" s="2">
        <v>1932</v>
      </c>
      <c r="M15" s="2">
        <v>2121</v>
      </c>
      <c r="N15" s="2">
        <v>1954</v>
      </c>
      <c r="O15" s="2">
        <v>2141</v>
      </c>
      <c r="P15" s="2">
        <v>1984</v>
      </c>
      <c r="Q15" s="2">
        <v>2261</v>
      </c>
      <c r="R15" s="2">
        <v>2109</v>
      </c>
      <c r="S15" s="2">
        <v>2238</v>
      </c>
      <c r="T15" s="2">
        <v>1841</v>
      </c>
      <c r="U15" s="2">
        <v>2234</v>
      </c>
    </row>
    <row r="16" spans="1:21">
      <c r="A16" t="s">
        <v>23</v>
      </c>
      <c r="B16" s="2">
        <v>2035</v>
      </c>
      <c r="C16" s="2">
        <v>2295</v>
      </c>
      <c r="D16" s="2">
        <v>2527</v>
      </c>
      <c r="E16" s="2">
        <v>2806</v>
      </c>
      <c r="F16" s="2">
        <v>3020</v>
      </c>
      <c r="G16" s="2">
        <v>3125</v>
      </c>
      <c r="H16" s="2">
        <v>3048</v>
      </c>
      <c r="I16" s="2">
        <v>3288</v>
      </c>
      <c r="L16" s="2">
        <v>715</v>
      </c>
      <c r="M16" s="2">
        <v>804.9</v>
      </c>
      <c r="N16" s="2">
        <v>808.4</v>
      </c>
      <c r="O16" s="2">
        <v>767.1</v>
      </c>
      <c r="P16" s="2">
        <v>758.4</v>
      </c>
      <c r="Q16" s="2">
        <v>859.1</v>
      </c>
      <c r="R16" s="2">
        <v>903.8</v>
      </c>
      <c r="S16" s="2">
        <v>880.1</v>
      </c>
      <c r="T16" s="2">
        <v>936.1</v>
      </c>
      <c r="U16" s="2">
        <v>922.7</v>
      </c>
    </row>
    <row r="17" spans="1:21">
      <c r="A17" t="s">
        <v>24</v>
      </c>
      <c r="B17" s="2">
        <v>2156</v>
      </c>
      <c r="C17" s="2">
        <v>3435</v>
      </c>
      <c r="D17" s="2">
        <v>3234</v>
      </c>
      <c r="E17" s="2">
        <v>3563</v>
      </c>
      <c r="F17" s="2">
        <v>4379</v>
      </c>
      <c r="G17" s="2">
        <v>4568</v>
      </c>
      <c r="H17" s="2">
        <v>4938</v>
      </c>
      <c r="I17" s="2">
        <v>5207</v>
      </c>
      <c r="L17" s="2">
        <v>1217</v>
      </c>
      <c r="M17" s="2">
        <v>1316</v>
      </c>
      <c r="N17" s="2">
        <v>1146</v>
      </c>
      <c r="O17" s="2">
        <v>1374</v>
      </c>
      <c r="P17" s="2">
        <v>1225</v>
      </c>
      <c r="Q17" s="2">
        <v>1402</v>
      </c>
      <c r="R17" s="2">
        <v>1206</v>
      </c>
      <c r="S17" s="2">
        <v>1357</v>
      </c>
      <c r="T17" s="2">
        <v>904.8</v>
      </c>
      <c r="U17" s="2">
        <v>1311</v>
      </c>
    </row>
    <row r="18" spans="1:21">
      <c r="A18" t="s">
        <v>25</v>
      </c>
      <c r="B18" s="2">
        <v>1588</v>
      </c>
      <c r="C18" s="2">
        <v>2558</v>
      </c>
      <c r="D18" s="2">
        <v>2521</v>
      </c>
      <c r="E18" s="2">
        <v>2730</v>
      </c>
      <c r="F18" s="2">
        <v>3436</v>
      </c>
      <c r="G18" s="2">
        <v>3626</v>
      </c>
      <c r="H18" s="2">
        <v>3944</v>
      </c>
      <c r="I18" s="2">
        <v>4152</v>
      </c>
      <c r="L18" s="2">
        <v>960</v>
      </c>
      <c r="M18" s="2">
        <v>1056</v>
      </c>
      <c r="N18" s="2">
        <v>923.1</v>
      </c>
      <c r="O18" s="2">
        <v>1079</v>
      </c>
      <c r="P18" s="2">
        <v>971.6</v>
      </c>
      <c r="Q18" s="2">
        <v>1129</v>
      </c>
      <c r="R18" s="2">
        <v>972.1</v>
      </c>
      <c r="S18" s="2">
        <v>1081</v>
      </c>
      <c r="T18" s="2">
        <v>725</v>
      </c>
      <c r="U18" s="2">
        <v>1055</v>
      </c>
    </row>
    <row r="19" spans="1:21">
      <c r="A19" t="s">
        <v>26</v>
      </c>
      <c r="B19" s="1">
        <v>2755</v>
      </c>
      <c r="C19" s="1">
        <v>4083</v>
      </c>
      <c r="D19" s="1">
        <v>4052</v>
      </c>
      <c r="E19" s="1">
        <v>4544</v>
      </c>
      <c r="F19" s="1">
        <v>5355</v>
      </c>
      <c r="G19" s="1">
        <v>5630</v>
      </c>
      <c r="H19" s="1">
        <v>6070</v>
      </c>
      <c r="I19" s="1">
        <v>6289</v>
      </c>
      <c r="L19" s="1">
        <v>1513</v>
      </c>
      <c r="M19" s="1">
        <v>1618</v>
      </c>
      <c r="N19" s="1">
        <v>1384</v>
      </c>
      <c r="O19" s="1">
        <v>1676</v>
      </c>
      <c r="P19" s="1">
        <v>1516</v>
      </c>
      <c r="Q19" s="1">
        <v>1689</v>
      </c>
      <c r="R19" s="1">
        <v>1408</v>
      </c>
      <c r="S19" s="1">
        <v>1655</v>
      </c>
      <c r="T19" s="1">
        <v>1215</v>
      </c>
      <c r="U19" s="1">
        <v>1619</v>
      </c>
    </row>
    <row r="20" spans="1:21">
      <c r="A20" t="s">
        <v>27</v>
      </c>
      <c r="B20" s="1">
        <v>0.372</v>
      </c>
      <c r="C20" s="1">
        <v>0.41</v>
      </c>
      <c r="D20" s="1">
        <v>0.39500000000000002</v>
      </c>
      <c r="E20" s="1">
        <v>0.40100000000000002</v>
      </c>
      <c r="F20" s="1">
        <v>0.41399999999999998</v>
      </c>
      <c r="G20" s="1">
        <v>0.42499999999999999</v>
      </c>
      <c r="H20" s="1">
        <v>0.437</v>
      </c>
      <c r="I20" s="1">
        <v>0.45800000000000002</v>
      </c>
      <c r="L20" s="1">
        <v>0.438</v>
      </c>
      <c r="M20" s="1">
        <v>0.439</v>
      </c>
      <c r="N20" s="1">
        <v>0.42499999999999999</v>
      </c>
      <c r="O20" s="1">
        <v>0.45600000000000002</v>
      </c>
      <c r="P20" s="1">
        <v>0.46</v>
      </c>
      <c r="Q20" s="1">
        <v>0.47499999999999998</v>
      </c>
      <c r="R20" s="1">
        <v>0.442</v>
      </c>
      <c r="S20" s="1">
        <v>0.47299999999999998</v>
      </c>
      <c r="T20" s="1">
        <v>0.42299999999999999</v>
      </c>
      <c r="U20" s="1">
        <v>0.46500000000000002</v>
      </c>
    </row>
    <row r="21" spans="1:21">
      <c r="A21" t="s">
        <v>28</v>
      </c>
      <c r="B21" s="1">
        <v>0.191</v>
      </c>
      <c r="C21" s="1">
        <v>0.246</v>
      </c>
      <c r="D21" s="1">
        <v>0.222</v>
      </c>
      <c r="E21" s="1">
        <v>0.22500000000000001</v>
      </c>
      <c r="F21" s="1">
        <v>0.245</v>
      </c>
      <c r="G21" s="1">
        <v>0.252</v>
      </c>
      <c r="H21" s="1">
        <v>0.27</v>
      </c>
      <c r="I21" s="1">
        <v>0.28100000000000003</v>
      </c>
      <c r="L21" s="1">
        <v>0.27600000000000002</v>
      </c>
      <c r="M21" s="1">
        <v>0.27200000000000002</v>
      </c>
      <c r="N21" s="1">
        <v>0.249</v>
      </c>
      <c r="O21" s="1">
        <v>0.29299999999999998</v>
      </c>
      <c r="P21" s="1">
        <v>0.28399999999999997</v>
      </c>
      <c r="Q21" s="1">
        <v>0.29399999999999998</v>
      </c>
      <c r="R21" s="1">
        <v>0.252</v>
      </c>
      <c r="S21" s="1">
        <v>0.28699999999999998</v>
      </c>
      <c r="T21" s="1">
        <v>0.20799999999999999</v>
      </c>
      <c r="U21" s="1">
        <v>0.27300000000000002</v>
      </c>
    </row>
    <row r="22" spans="1:21">
      <c r="A22" t="s">
        <v>29</v>
      </c>
      <c r="B22" s="1">
        <v>0.14099999999999999</v>
      </c>
      <c r="C22" s="1">
        <v>0.183</v>
      </c>
      <c r="D22" s="1">
        <v>0.17299999999999999</v>
      </c>
      <c r="E22" s="1">
        <v>0.17199999999999999</v>
      </c>
      <c r="F22" s="1">
        <v>0.192</v>
      </c>
      <c r="G22" s="1">
        <v>0.2</v>
      </c>
      <c r="H22" s="1">
        <v>0.216</v>
      </c>
      <c r="I22" s="1">
        <v>0.224</v>
      </c>
      <c r="L22" s="1">
        <v>0.218</v>
      </c>
      <c r="M22" s="1">
        <v>0.218</v>
      </c>
      <c r="N22" s="1">
        <v>0.20100000000000001</v>
      </c>
      <c r="O22" s="1">
        <v>0.23</v>
      </c>
      <c r="P22" s="1">
        <v>0.22500000000000001</v>
      </c>
      <c r="Q22" s="1">
        <v>0.23699999999999999</v>
      </c>
      <c r="R22" s="1">
        <v>0.20399999999999999</v>
      </c>
      <c r="S22" s="1">
        <v>0.22800000000000001</v>
      </c>
      <c r="T22" s="1">
        <v>0.16700000000000001</v>
      </c>
      <c r="U22" s="1">
        <v>0.22</v>
      </c>
    </row>
    <row r="23" spans="1:21">
      <c r="A23" t="s">
        <v>30</v>
      </c>
      <c r="B23" s="1">
        <v>0.14000000000000001</v>
      </c>
      <c r="C23" s="1">
        <v>0.17399999999999999</v>
      </c>
      <c r="D23" s="1">
        <v>0.152</v>
      </c>
      <c r="E23" s="1">
        <v>0.15</v>
      </c>
      <c r="F23" s="1">
        <v>0.17</v>
      </c>
      <c r="G23" s="1">
        <v>0.17</v>
      </c>
      <c r="H23" s="1">
        <v>0.17599999999999999</v>
      </c>
      <c r="I23" s="1">
        <v>0.17199999999999999</v>
      </c>
      <c r="L23" s="1">
        <v>0.16800000000000001</v>
      </c>
      <c r="M23" s="1">
        <v>0.17199999999999999</v>
      </c>
      <c r="N23" s="1">
        <v>0.17199999999999999</v>
      </c>
      <c r="O23" s="1">
        <v>0.16500000000000001</v>
      </c>
      <c r="P23" s="1">
        <v>0.16300000000000001</v>
      </c>
      <c r="Q23" s="1">
        <v>0.16900000000000001</v>
      </c>
      <c r="R23" s="1">
        <v>0.16900000000000001</v>
      </c>
      <c r="S23" s="1">
        <v>0.16400000000000001</v>
      </c>
      <c r="T23" s="1">
        <v>0.153</v>
      </c>
      <c r="U23" s="1">
        <v>0.152</v>
      </c>
    </row>
    <row r="24" spans="1:21">
      <c r="A24" t="s">
        <v>31</v>
      </c>
      <c r="B24" s="1">
        <v>0.23599999999999999</v>
      </c>
      <c r="C24" s="1">
        <v>0.30099999999999999</v>
      </c>
      <c r="D24" s="1">
        <v>0.26300000000000001</v>
      </c>
      <c r="E24" s="1">
        <v>0.251</v>
      </c>
      <c r="F24" s="1">
        <v>0.27</v>
      </c>
      <c r="G24" s="1">
        <v>0.251</v>
      </c>
      <c r="H24" s="1">
        <v>0.24</v>
      </c>
      <c r="I24" s="1">
        <v>0.22500000000000001</v>
      </c>
      <c r="L24" s="1">
        <v>6.3E-2</v>
      </c>
      <c r="M24" s="1">
        <v>6.8000000000000005E-2</v>
      </c>
      <c r="N24" s="1">
        <v>5.6000000000000001E-2</v>
      </c>
      <c r="O24" s="1">
        <v>6.2E-2</v>
      </c>
      <c r="P24" s="1">
        <v>5.7000000000000002E-2</v>
      </c>
      <c r="Q24" s="1">
        <v>6.5000000000000002E-2</v>
      </c>
      <c r="R24" s="1">
        <v>5.2999999999999999E-2</v>
      </c>
      <c r="S24" s="1">
        <v>5.5E-2</v>
      </c>
      <c r="T24" s="1">
        <v>3.7999999999999999E-2</v>
      </c>
      <c r="U24" s="1">
        <v>5.5E-2</v>
      </c>
    </row>
    <row r="25" spans="1:21">
      <c r="A25" t="s">
        <v>32</v>
      </c>
      <c r="B25" s="1">
        <v>0.13600000000000001</v>
      </c>
      <c r="C25" s="1">
        <v>0.19</v>
      </c>
      <c r="D25" s="1">
        <v>0.17100000000000001</v>
      </c>
      <c r="E25" s="1">
        <v>0.17</v>
      </c>
      <c r="F25" s="1">
        <v>0.21</v>
      </c>
      <c r="G25" s="1">
        <v>0.2</v>
      </c>
      <c r="H25" s="1">
        <v>0.20899999999999999</v>
      </c>
      <c r="I25" s="1">
        <v>0.19800000000000001</v>
      </c>
      <c r="L25" s="1">
        <v>0.19800000000000001</v>
      </c>
      <c r="M25" s="1">
        <v>0.2</v>
      </c>
      <c r="N25" s="1">
        <v>0.20899999999999999</v>
      </c>
      <c r="O25" s="1">
        <v>0.20100000000000001</v>
      </c>
      <c r="P25" s="1">
        <v>0.20399999999999999</v>
      </c>
      <c r="Q25" s="1">
        <v>0.20499999999999999</v>
      </c>
      <c r="R25" s="1">
        <v>0.19800000000000001</v>
      </c>
      <c r="S25" s="1">
        <v>0.189</v>
      </c>
      <c r="T25" s="1">
        <v>0.182</v>
      </c>
      <c r="U25" s="1">
        <v>0.17699999999999999</v>
      </c>
    </row>
    <row r="26" spans="1:21">
      <c r="A26" t="s">
        <v>33</v>
      </c>
      <c r="B26" s="2">
        <v>0.18099999999999999</v>
      </c>
      <c r="C26" s="2">
        <v>0.16400000000000001</v>
      </c>
      <c r="D26" s="2">
        <v>0.17299999999999999</v>
      </c>
      <c r="E26" s="2">
        <v>0.17699999999999999</v>
      </c>
      <c r="F26" s="2">
        <v>0.16900000000000001</v>
      </c>
      <c r="G26" s="2">
        <v>0.17299999999999999</v>
      </c>
      <c r="H26" s="2">
        <v>0.16700000000000001</v>
      </c>
      <c r="I26" s="2">
        <v>0.17699999999999999</v>
      </c>
      <c r="L26" s="2">
        <v>0.16200000000000001</v>
      </c>
      <c r="M26" s="2">
        <v>0.16600000000000001</v>
      </c>
      <c r="N26" s="2">
        <v>0.17599999999999999</v>
      </c>
      <c r="O26" s="2">
        <v>0.16300000000000001</v>
      </c>
      <c r="P26" s="2">
        <v>0.17599999999999999</v>
      </c>
      <c r="Q26" s="2">
        <v>0.18</v>
      </c>
      <c r="R26" s="2">
        <v>0.189</v>
      </c>
      <c r="S26" s="2">
        <v>0.186</v>
      </c>
      <c r="T26" s="2">
        <v>0.215</v>
      </c>
      <c r="U26" s="2">
        <v>0.192</v>
      </c>
    </row>
    <row r="27" spans="1:21">
      <c r="A27" t="s">
        <v>34</v>
      </c>
      <c r="B27" s="1">
        <v>599.20000000000005</v>
      </c>
      <c r="C27" s="1">
        <v>647.9</v>
      </c>
      <c r="D27" s="1">
        <v>818.2</v>
      </c>
      <c r="E27" s="1">
        <v>981.7</v>
      </c>
      <c r="F27" s="1">
        <v>976.4</v>
      </c>
      <c r="G27" s="1">
        <v>1061</v>
      </c>
      <c r="H27" s="1">
        <v>1132</v>
      </c>
      <c r="I27" s="1">
        <v>1083</v>
      </c>
      <c r="L27" s="1">
        <v>296.39999999999998</v>
      </c>
      <c r="M27" s="1">
        <v>301.8</v>
      </c>
      <c r="N27" s="1">
        <v>238.2</v>
      </c>
      <c r="O27" s="1">
        <v>301.60000000000002</v>
      </c>
      <c r="P27" s="1">
        <v>290.8</v>
      </c>
      <c r="Q27" s="1">
        <v>287.8</v>
      </c>
      <c r="R27" s="1">
        <v>202.4</v>
      </c>
      <c r="S27" s="1">
        <v>297.7</v>
      </c>
      <c r="T27" s="1">
        <v>309.8</v>
      </c>
      <c r="U27" s="1">
        <v>307.89999999999998</v>
      </c>
    </row>
    <row r="28" spans="1:21">
      <c r="A28" t="s">
        <v>35</v>
      </c>
      <c r="B28" s="1">
        <v>0.24199999999999999</v>
      </c>
      <c r="C28" s="1">
        <v>0.23799999999999999</v>
      </c>
      <c r="D28" s="1">
        <v>0.19900000000000001</v>
      </c>
      <c r="E28" s="1">
        <v>0.2</v>
      </c>
      <c r="F28" s="1">
        <v>0.19400000000000001</v>
      </c>
      <c r="G28" s="1">
        <v>0.17699999999999999</v>
      </c>
      <c r="H28" s="1">
        <v>0.17599999999999999</v>
      </c>
      <c r="I28" s="1">
        <v>0.17499999999999999</v>
      </c>
      <c r="L28" s="1">
        <v>0.184</v>
      </c>
      <c r="M28" s="1">
        <v>0.17399999999999999</v>
      </c>
      <c r="N28" s="1">
        <v>0.16400000000000001</v>
      </c>
      <c r="O28" s="1">
        <v>0.187</v>
      </c>
      <c r="P28" s="1">
        <v>0.17899999999999999</v>
      </c>
      <c r="Q28" s="1">
        <v>0.16800000000000001</v>
      </c>
      <c r="R28" s="1">
        <v>0.16500000000000001</v>
      </c>
      <c r="S28" s="1">
        <v>0.183</v>
      </c>
      <c r="T28" s="1">
        <v>0.161</v>
      </c>
      <c r="U28" s="1">
        <v>0.17</v>
      </c>
    </row>
    <row r="29" spans="1:21">
      <c r="A29" t="s">
        <v>36</v>
      </c>
      <c r="B29">
        <v>1.8</v>
      </c>
      <c r="C29">
        <v>3.59</v>
      </c>
      <c r="D29">
        <v>3.49</v>
      </c>
      <c r="E29">
        <v>3.66</v>
      </c>
      <c r="F29">
        <v>2.4900000000000002</v>
      </c>
      <c r="G29">
        <v>3.73</v>
      </c>
      <c r="H29">
        <v>2.89</v>
      </c>
      <c r="I29">
        <v>4.2</v>
      </c>
      <c r="L29">
        <v>4.1500000000000004</v>
      </c>
      <c r="M29">
        <v>4.1500000000000004</v>
      </c>
      <c r="N29">
        <v>2.89</v>
      </c>
      <c r="O29">
        <v>2.84</v>
      </c>
      <c r="P29">
        <v>3.23</v>
      </c>
      <c r="Q29">
        <v>3.29</v>
      </c>
      <c r="R29">
        <v>4.2</v>
      </c>
      <c r="S29">
        <v>3.72</v>
      </c>
      <c r="T29">
        <v>4.3</v>
      </c>
      <c r="U29">
        <v>3.94</v>
      </c>
    </row>
    <row r="30" spans="1:21">
      <c r="A30" t="s">
        <v>37</v>
      </c>
      <c r="B30">
        <v>0.74</v>
      </c>
      <c r="C30">
        <v>0.62</v>
      </c>
      <c r="D30">
        <v>1.85</v>
      </c>
      <c r="E30">
        <v>1.48</v>
      </c>
      <c r="F30">
        <v>1.1399999999999999</v>
      </c>
      <c r="G30">
        <v>1.36</v>
      </c>
      <c r="H30">
        <v>2.09</v>
      </c>
      <c r="I30">
        <v>3.14</v>
      </c>
      <c r="L30">
        <v>2.06</v>
      </c>
      <c r="M30">
        <v>3.1</v>
      </c>
      <c r="N30">
        <v>2.09</v>
      </c>
      <c r="O30">
        <v>1.7</v>
      </c>
      <c r="P30">
        <v>2.1800000000000002</v>
      </c>
      <c r="Q30">
        <v>2.59</v>
      </c>
      <c r="R30">
        <v>3.14</v>
      </c>
      <c r="S30">
        <v>2.93</v>
      </c>
      <c r="T30">
        <v>3.2</v>
      </c>
      <c r="U30">
        <v>2.92</v>
      </c>
    </row>
    <row r="31" spans="1:21">
      <c r="A31" t="s">
        <v>38</v>
      </c>
      <c r="B31">
        <v>12.5</v>
      </c>
      <c r="C31">
        <v>11.1</v>
      </c>
      <c r="D31">
        <v>11.1</v>
      </c>
      <c r="E31">
        <v>11.5</v>
      </c>
      <c r="F31">
        <v>10.5</v>
      </c>
      <c r="G31">
        <v>10.9</v>
      </c>
      <c r="H31">
        <v>11</v>
      </c>
      <c r="I31">
        <v>12.7</v>
      </c>
      <c r="L31">
        <v>10.4</v>
      </c>
      <c r="M31">
        <v>10.6</v>
      </c>
      <c r="N31">
        <v>10.6</v>
      </c>
      <c r="O31">
        <v>14.4</v>
      </c>
      <c r="P31">
        <v>15.9</v>
      </c>
      <c r="Q31">
        <v>14</v>
      </c>
      <c r="R31">
        <v>14.2</v>
      </c>
      <c r="S31">
        <v>13.4</v>
      </c>
      <c r="T31">
        <v>11.8</v>
      </c>
      <c r="U31">
        <v>11.1</v>
      </c>
    </row>
    <row r="32" spans="1:21">
      <c r="A32" t="s">
        <v>39</v>
      </c>
      <c r="B32">
        <v>36.200000000000003</v>
      </c>
      <c r="C32">
        <v>34.4</v>
      </c>
      <c r="D32">
        <v>32.200000000000003</v>
      </c>
      <c r="E32">
        <v>34.9</v>
      </c>
      <c r="F32">
        <v>47.2</v>
      </c>
      <c r="G32">
        <v>34.200000000000003</v>
      </c>
      <c r="H32">
        <v>36.299999999999997</v>
      </c>
      <c r="I32">
        <v>50.4</v>
      </c>
      <c r="L32">
        <v>29.6</v>
      </c>
      <c r="M32">
        <v>32.5</v>
      </c>
      <c r="N32">
        <v>36.299999999999997</v>
      </c>
      <c r="O32">
        <v>37.200000000000003</v>
      </c>
      <c r="P32">
        <v>41.1</v>
      </c>
      <c r="Q32">
        <v>45.1</v>
      </c>
      <c r="R32">
        <v>50.4</v>
      </c>
      <c r="S32">
        <v>48.2</v>
      </c>
      <c r="T32">
        <v>47.7</v>
      </c>
      <c r="U32">
        <v>44.2</v>
      </c>
    </row>
    <row r="33" spans="1:21">
      <c r="A33" t="s">
        <v>40</v>
      </c>
      <c r="B33">
        <v>28.5</v>
      </c>
      <c r="C33">
        <v>26.7</v>
      </c>
      <c r="D33">
        <v>27.8</v>
      </c>
      <c r="E33">
        <v>27.8</v>
      </c>
      <c r="F33">
        <v>26.3</v>
      </c>
      <c r="G33">
        <v>26.1</v>
      </c>
      <c r="H33">
        <v>26.5</v>
      </c>
      <c r="I33">
        <v>28</v>
      </c>
      <c r="L33">
        <v>25.6</v>
      </c>
      <c r="M33">
        <v>26.3</v>
      </c>
      <c r="N33">
        <v>26.5</v>
      </c>
      <c r="O33">
        <v>29.9</v>
      </c>
      <c r="P33">
        <v>27.3</v>
      </c>
      <c r="Q33">
        <v>23.2</v>
      </c>
      <c r="R33">
        <v>26.8</v>
      </c>
      <c r="S33">
        <v>26.4</v>
      </c>
      <c r="T33">
        <v>23.6</v>
      </c>
      <c r="U33">
        <v>24</v>
      </c>
    </row>
    <row r="34" spans="1:21">
      <c r="A34" t="s">
        <v>41</v>
      </c>
      <c r="B34">
        <v>18</v>
      </c>
      <c r="C34">
        <v>16.2</v>
      </c>
      <c r="D34">
        <v>15.7</v>
      </c>
      <c r="E34">
        <v>15.2</v>
      </c>
      <c r="F34">
        <v>23.8</v>
      </c>
      <c r="G34">
        <v>25.9</v>
      </c>
      <c r="H34">
        <v>19.600000000000001</v>
      </c>
      <c r="I34">
        <v>27.8</v>
      </c>
      <c r="L34">
        <v>13.6</v>
      </c>
      <c r="M34">
        <v>15.4</v>
      </c>
      <c r="N34">
        <v>18.3</v>
      </c>
      <c r="O34">
        <v>18.100000000000001</v>
      </c>
      <c r="P34">
        <v>34.700000000000003</v>
      </c>
      <c r="Q34">
        <v>32.5</v>
      </c>
      <c r="R34">
        <v>33.700000000000003</v>
      </c>
      <c r="S34">
        <v>39.1</v>
      </c>
      <c r="T34">
        <v>36.700000000000003</v>
      </c>
      <c r="U34">
        <v>32.9</v>
      </c>
    </row>
    <row r="35" spans="1:21">
      <c r="A35" t="s">
        <v>42</v>
      </c>
      <c r="B35">
        <v>0.5</v>
      </c>
      <c r="C35">
        <v>0.47</v>
      </c>
      <c r="D35">
        <v>0.44</v>
      </c>
      <c r="E35">
        <v>0.41</v>
      </c>
      <c r="F35">
        <v>0.38</v>
      </c>
      <c r="G35">
        <v>0.31</v>
      </c>
      <c r="H35">
        <v>0.28999999999999998</v>
      </c>
      <c r="I35">
        <v>0.24</v>
      </c>
      <c r="L35">
        <v>0.3</v>
      </c>
      <c r="M35">
        <v>0.28999999999999998</v>
      </c>
      <c r="N35">
        <v>0.28999999999999998</v>
      </c>
      <c r="O35">
        <v>0.3</v>
      </c>
      <c r="P35">
        <v>0.28000000000000003</v>
      </c>
      <c r="Q35">
        <v>0.28000000000000003</v>
      </c>
      <c r="R35">
        <v>0.24</v>
      </c>
      <c r="S35">
        <v>0.24</v>
      </c>
      <c r="T35">
        <v>0.24</v>
      </c>
      <c r="U35">
        <v>0.23</v>
      </c>
    </row>
    <row r="36" spans="1:21">
      <c r="A36" t="s">
        <v>43</v>
      </c>
      <c r="B36">
        <v>1</v>
      </c>
      <c r="C36">
        <v>0.88</v>
      </c>
      <c r="D36">
        <v>0.8</v>
      </c>
      <c r="E36">
        <v>0.72</v>
      </c>
      <c r="F36">
        <v>0.64</v>
      </c>
      <c r="G36">
        <v>0.45</v>
      </c>
      <c r="H36">
        <v>0.41</v>
      </c>
      <c r="I36" s="2">
        <v>0.33</v>
      </c>
      <c r="L36">
        <v>0.43</v>
      </c>
      <c r="M36">
        <v>0.42</v>
      </c>
      <c r="N36">
        <v>0.41</v>
      </c>
      <c r="O36">
        <v>0.43</v>
      </c>
      <c r="P36" s="2">
        <v>0.39</v>
      </c>
      <c r="Q36">
        <v>0.39</v>
      </c>
      <c r="R36">
        <v>0.33</v>
      </c>
      <c r="S36">
        <v>0.32</v>
      </c>
      <c r="T36">
        <v>0.32</v>
      </c>
      <c r="U36">
        <v>0.31</v>
      </c>
    </row>
    <row r="37" spans="1:21">
      <c r="A37" t="s">
        <v>44</v>
      </c>
      <c r="B37" s="2">
        <v>11.4</v>
      </c>
      <c r="C37" s="2">
        <v>14.3</v>
      </c>
      <c r="D37" s="2">
        <v>21.9</v>
      </c>
      <c r="E37" s="2">
        <v>19.2</v>
      </c>
      <c r="F37" s="2">
        <v>23.5</v>
      </c>
      <c r="G37" s="2">
        <v>21.2</v>
      </c>
      <c r="H37" s="2">
        <v>33</v>
      </c>
      <c r="I37" s="2">
        <v>31.5</v>
      </c>
      <c r="L37" s="2">
        <v>31.4</v>
      </c>
      <c r="M37" s="2">
        <v>36.200000000000003</v>
      </c>
      <c r="N37" s="2">
        <v>32.700000000000003</v>
      </c>
      <c r="O37" s="2">
        <v>35.6</v>
      </c>
      <c r="P37" s="2">
        <v>29.9</v>
      </c>
      <c r="Q37" s="2">
        <v>32.799999999999997</v>
      </c>
      <c r="R37" s="2">
        <v>28.1</v>
      </c>
      <c r="S37" s="2">
        <v>43.2</v>
      </c>
      <c r="T37" s="2">
        <v>28.6</v>
      </c>
      <c r="U37" s="2">
        <v>41</v>
      </c>
    </row>
    <row r="38" spans="1:21">
      <c r="A38" t="s">
        <v>45</v>
      </c>
      <c r="B38" s="2">
        <v>1261</v>
      </c>
      <c r="C38" s="2">
        <v>6034</v>
      </c>
      <c r="D38" s="2">
        <v>5857</v>
      </c>
      <c r="E38" s="2">
        <v>6598</v>
      </c>
      <c r="F38" s="2">
        <v>7360</v>
      </c>
      <c r="G38" s="2">
        <v>6677</v>
      </c>
      <c r="H38" s="2">
        <v>8268</v>
      </c>
      <c r="I38" s="2">
        <v>9007</v>
      </c>
      <c r="L38" s="2">
        <v>7816</v>
      </c>
      <c r="M38" s="2">
        <v>7915</v>
      </c>
      <c r="N38" s="2">
        <v>8268</v>
      </c>
      <c r="O38" s="2">
        <v>9642</v>
      </c>
      <c r="P38" s="2">
        <v>8679</v>
      </c>
      <c r="Q38" s="2">
        <v>9026</v>
      </c>
      <c r="R38" s="2">
        <v>9007</v>
      </c>
      <c r="S38" s="2">
        <v>8459</v>
      </c>
      <c r="T38" s="2">
        <v>8427</v>
      </c>
      <c r="U38" s="2">
        <v>7490</v>
      </c>
    </row>
    <row r="39" spans="1:21">
      <c r="A39" t="s">
        <v>46</v>
      </c>
      <c r="B39" s="2">
        <v>1116</v>
      </c>
      <c r="C39" s="2">
        <v>1319</v>
      </c>
      <c r="D39" s="2">
        <v>1287</v>
      </c>
      <c r="E39" s="2">
        <v>1518</v>
      </c>
      <c r="F39" s="2">
        <v>2312</v>
      </c>
      <c r="G39" s="2">
        <v>1695</v>
      </c>
      <c r="H39" s="2">
        <v>1819</v>
      </c>
      <c r="I39" s="2">
        <v>2561</v>
      </c>
      <c r="L39" s="2">
        <v>1449</v>
      </c>
      <c r="M39" s="2">
        <v>1607</v>
      </c>
      <c r="N39" s="2">
        <v>1819</v>
      </c>
      <c r="O39" s="2">
        <v>1887</v>
      </c>
      <c r="P39" s="2">
        <v>2074</v>
      </c>
      <c r="Q39" s="2">
        <v>2268</v>
      </c>
      <c r="R39" s="2">
        <v>2561</v>
      </c>
      <c r="S39" s="2">
        <v>2456</v>
      </c>
      <c r="T39" s="2">
        <v>2433</v>
      </c>
      <c r="U39" s="2">
        <v>2258</v>
      </c>
    </row>
    <row r="40" spans="1:21">
      <c r="A40" t="s">
        <v>47</v>
      </c>
      <c r="B40" s="2">
        <v>265.7</v>
      </c>
      <c r="C40" s="2">
        <v>233.8</v>
      </c>
      <c r="D40" s="2">
        <v>304.5</v>
      </c>
      <c r="E40" s="2">
        <v>291.89999999999998</v>
      </c>
      <c r="F40" s="2">
        <v>309.10000000000002</v>
      </c>
      <c r="G40" s="2">
        <v>310</v>
      </c>
      <c r="H40" s="2">
        <v>307.8</v>
      </c>
      <c r="I40" s="2">
        <v>391.8</v>
      </c>
      <c r="L40" s="2">
        <v>306</v>
      </c>
      <c r="M40" s="2">
        <v>286.89999999999998</v>
      </c>
      <c r="N40" s="2">
        <v>307.8</v>
      </c>
      <c r="O40" s="2">
        <v>511.1</v>
      </c>
      <c r="P40" s="2">
        <v>383.3</v>
      </c>
      <c r="Q40" s="2">
        <v>387.2</v>
      </c>
      <c r="R40" s="2">
        <v>391.8</v>
      </c>
      <c r="S40" s="2">
        <v>340.8</v>
      </c>
      <c r="T40" s="2">
        <v>314.2</v>
      </c>
      <c r="U40" s="2">
        <v>306.3</v>
      </c>
    </row>
    <row r="41" spans="1:21">
      <c r="A41" t="s">
        <v>48</v>
      </c>
      <c r="B41" s="2">
        <v>2704</v>
      </c>
      <c r="C41" s="2">
        <v>7670</v>
      </c>
      <c r="D41" s="2">
        <v>7552</v>
      </c>
      <c r="E41" s="2">
        <v>8499</v>
      </c>
      <c r="F41" s="2">
        <v>10088</v>
      </c>
      <c r="G41" s="2">
        <v>8803</v>
      </c>
      <c r="H41" s="2">
        <v>10550</v>
      </c>
      <c r="I41" s="2">
        <v>12101</v>
      </c>
      <c r="L41" s="2">
        <v>9715</v>
      </c>
      <c r="M41" s="2">
        <v>9941</v>
      </c>
      <c r="N41" s="2">
        <v>10550</v>
      </c>
      <c r="O41" s="2">
        <v>12214</v>
      </c>
      <c r="P41" s="2">
        <v>11304</v>
      </c>
      <c r="Q41" s="2">
        <v>11814</v>
      </c>
      <c r="R41" s="2">
        <v>12101</v>
      </c>
      <c r="S41" s="2">
        <v>11482</v>
      </c>
      <c r="T41" s="2">
        <v>11413</v>
      </c>
      <c r="U41" s="2">
        <v>10243</v>
      </c>
    </row>
    <row r="42" spans="1:21">
      <c r="A42" t="s">
        <v>49</v>
      </c>
      <c r="B42" s="2">
        <v>6242</v>
      </c>
      <c r="C42" s="2">
        <v>7683</v>
      </c>
      <c r="D42" s="2">
        <v>9096</v>
      </c>
      <c r="E42" s="2">
        <v>9948</v>
      </c>
      <c r="F42" s="2">
        <v>10472</v>
      </c>
      <c r="G42" s="2">
        <v>11579</v>
      </c>
      <c r="H42" s="2">
        <v>11784</v>
      </c>
      <c r="I42" s="2">
        <v>11256</v>
      </c>
      <c r="L42" s="2">
        <v>11455</v>
      </c>
      <c r="M42" s="2">
        <v>11513</v>
      </c>
      <c r="N42" s="2">
        <v>11784</v>
      </c>
      <c r="O42" s="2">
        <v>11625</v>
      </c>
      <c r="P42" s="2">
        <v>11492</v>
      </c>
      <c r="Q42" s="2">
        <v>11361</v>
      </c>
      <c r="R42" s="2">
        <v>11256</v>
      </c>
      <c r="S42" s="2">
        <v>11168</v>
      </c>
      <c r="T42" s="2">
        <v>11136</v>
      </c>
      <c r="U42" s="2">
        <v>11978</v>
      </c>
    </row>
    <row r="43" spans="1:21">
      <c r="A43" t="s">
        <v>50</v>
      </c>
      <c r="B43" s="2">
        <v>13473</v>
      </c>
      <c r="C43" s="2">
        <v>15985</v>
      </c>
      <c r="D43" s="2">
        <v>17252</v>
      </c>
      <c r="E43" s="2">
        <v>19145</v>
      </c>
      <c r="F43" s="2">
        <v>21298</v>
      </c>
      <c r="G43" s="2">
        <v>21333</v>
      </c>
      <c r="H43" s="2">
        <v>23484</v>
      </c>
      <c r="I43" s="2">
        <v>24749</v>
      </c>
      <c r="L43" s="2">
        <v>22160</v>
      </c>
      <c r="M43" s="2">
        <v>22497</v>
      </c>
      <c r="N43" s="2">
        <v>23484</v>
      </c>
      <c r="O43" s="2">
        <v>25203</v>
      </c>
      <c r="P43" s="2">
        <v>24165</v>
      </c>
      <c r="Q43" s="2">
        <v>24528</v>
      </c>
      <c r="R43" s="2">
        <v>24749</v>
      </c>
      <c r="S43" s="2">
        <v>26030</v>
      </c>
      <c r="T43" s="2">
        <v>25157</v>
      </c>
      <c r="U43" s="2">
        <v>25319</v>
      </c>
    </row>
    <row r="44" spans="1:21">
      <c r="A44" t="s">
        <v>51</v>
      </c>
      <c r="B44" s="2">
        <v>548.6</v>
      </c>
      <c r="C44" s="2">
        <v>655.8</v>
      </c>
      <c r="D44" s="2">
        <v>692.2</v>
      </c>
      <c r="E44" s="2">
        <v>753.8</v>
      </c>
      <c r="F44" s="2">
        <v>754.4</v>
      </c>
      <c r="G44" s="2">
        <v>735.8</v>
      </c>
      <c r="H44" s="2">
        <v>755.6</v>
      </c>
      <c r="I44" s="2">
        <v>786.2</v>
      </c>
      <c r="L44" s="2">
        <v>734.9</v>
      </c>
      <c r="M44" s="2">
        <v>737.7</v>
      </c>
      <c r="N44" s="2">
        <v>755.6</v>
      </c>
      <c r="O44" s="2">
        <v>943.5</v>
      </c>
      <c r="P44" s="2">
        <v>585.29999999999995</v>
      </c>
      <c r="Q44" s="2">
        <v>691.3</v>
      </c>
      <c r="R44" s="2">
        <v>786.2</v>
      </c>
      <c r="S44" s="2">
        <v>661.5</v>
      </c>
      <c r="T44" s="2">
        <v>655.8</v>
      </c>
      <c r="U44" s="2">
        <v>690.9</v>
      </c>
    </row>
    <row r="45" spans="1:21">
      <c r="A45" t="s">
        <v>52</v>
      </c>
      <c r="B45" s="2">
        <v>723.2</v>
      </c>
      <c r="C45" s="2">
        <v>896.9</v>
      </c>
      <c r="D45" s="2">
        <v>910.5</v>
      </c>
      <c r="E45" s="2">
        <v>1025</v>
      </c>
      <c r="F45" s="2">
        <v>1291</v>
      </c>
      <c r="G45" s="2">
        <v>1044</v>
      </c>
      <c r="H45" s="2">
        <v>1134</v>
      </c>
      <c r="I45" s="2">
        <v>1258</v>
      </c>
      <c r="L45" s="2">
        <v>962.7</v>
      </c>
      <c r="M45" s="2">
        <v>1202</v>
      </c>
      <c r="N45" s="2">
        <v>1134</v>
      </c>
      <c r="O45" s="2">
        <v>1163</v>
      </c>
      <c r="P45" s="2">
        <v>1089</v>
      </c>
      <c r="Q45" s="2">
        <v>1268</v>
      </c>
      <c r="R45" s="2">
        <v>1258</v>
      </c>
      <c r="S45" s="2">
        <v>1346</v>
      </c>
      <c r="T45" s="2">
        <v>1227</v>
      </c>
      <c r="U45" s="2">
        <v>1313</v>
      </c>
    </row>
    <row r="46" spans="1:21">
      <c r="A46" t="s">
        <v>53</v>
      </c>
      <c r="B46" s="2">
        <v>0</v>
      </c>
      <c r="C46" s="2">
        <v>0</v>
      </c>
      <c r="D46" s="2">
        <v>0</v>
      </c>
      <c r="E46" s="2">
        <v>0</v>
      </c>
      <c r="F46" s="2">
        <v>1497</v>
      </c>
      <c r="G46" s="2">
        <v>0</v>
      </c>
      <c r="H46" s="2">
        <v>1186</v>
      </c>
      <c r="I46" s="2">
        <v>168.2</v>
      </c>
      <c r="L46" s="2">
        <v>0</v>
      </c>
      <c r="M46" s="2">
        <v>0</v>
      </c>
      <c r="N46" s="2">
        <v>1186</v>
      </c>
      <c r="O46" s="2">
        <v>1166</v>
      </c>
      <c r="P46" s="2">
        <v>1166</v>
      </c>
      <c r="Q46" s="2">
        <v>1167</v>
      </c>
      <c r="R46" s="2">
        <v>168.2</v>
      </c>
      <c r="S46" s="2">
        <v>168.3</v>
      </c>
      <c r="T46" s="2">
        <v>168.3</v>
      </c>
      <c r="U46" s="2">
        <v>168.3</v>
      </c>
    </row>
    <row r="47" spans="1:21">
      <c r="A47" t="s">
        <v>54</v>
      </c>
      <c r="B47" s="2">
        <v>1506</v>
      </c>
      <c r="C47" s="2">
        <v>2138</v>
      </c>
      <c r="D47" s="2">
        <v>2163</v>
      </c>
      <c r="E47" s="2">
        <v>2322</v>
      </c>
      <c r="F47" s="2">
        <v>4056</v>
      </c>
      <c r="G47" s="2">
        <v>2358</v>
      </c>
      <c r="H47" s="2">
        <v>3647</v>
      </c>
      <c r="I47" s="2">
        <v>2878</v>
      </c>
      <c r="L47" s="2">
        <v>2339</v>
      </c>
      <c r="M47" s="2">
        <v>2397</v>
      </c>
      <c r="N47" s="2">
        <v>3647</v>
      </c>
      <c r="O47" s="2">
        <v>4293</v>
      </c>
      <c r="P47" s="2">
        <v>3497</v>
      </c>
      <c r="Q47" s="2">
        <v>3592</v>
      </c>
      <c r="R47" s="2">
        <v>2878</v>
      </c>
      <c r="S47" s="2">
        <v>3087</v>
      </c>
      <c r="T47" s="2">
        <v>2656</v>
      </c>
      <c r="U47" s="2">
        <v>2600</v>
      </c>
    </row>
    <row r="48" spans="1:21">
      <c r="A48" t="s">
        <v>55</v>
      </c>
      <c r="B48" s="2">
        <v>4955</v>
      </c>
      <c r="C48" s="2">
        <v>4960</v>
      </c>
      <c r="D48" s="2">
        <v>5142</v>
      </c>
      <c r="E48" s="2">
        <v>5152</v>
      </c>
      <c r="F48" s="2">
        <v>3664</v>
      </c>
      <c r="G48" s="2">
        <v>3689</v>
      </c>
      <c r="H48" s="2">
        <v>2508</v>
      </c>
      <c r="I48" s="2">
        <v>2512</v>
      </c>
      <c r="L48" s="2">
        <v>3692</v>
      </c>
      <c r="M48" s="2">
        <v>3693</v>
      </c>
      <c r="N48" s="2">
        <v>2508</v>
      </c>
      <c r="O48" s="2">
        <v>2508</v>
      </c>
      <c r="P48" s="2">
        <v>2509</v>
      </c>
      <c r="Q48" s="2">
        <v>2510</v>
      </c>
      <c r="R48" s="2">
        <v>2512</v>
      </c>
      <c r="S48" s="2">
        <v>2512</v>
      </c>
      <c r="T48" s="2">
        <v>2512</v>
      </c>
      <c r="U48" s="2">
        <v>2513</v>
      </c>
    </row>
    <row r="49" spans="1:21">
      <c r="A49" t="s">
        <v>56</v>
      </c>
      <c r="B49" s="2">
        <v>6739</v>
      </c>
      <c r="C49" s="2">
        <v>7474</v>
      </c>
      <c r="D49" s="2">
        <v>7655</v>
      </c>
      <c r="E49" s="2">
        <v>7885</v>
      </c>
      <c r="F49" s="2">
        <v>8197</v>
      </c>
      <c r="G49" s="2">
        <v>6545</v>
      </c>
      <c r="H49" s="2">
        <v>6779</v>
      </c>
      <c r="I49" s="2">
        <v>6004</v>
      </c>
      <c r="L49" s="2">
        <v>6559</v>
      </c>
      <c r="M49" s="2">
        <v>6618</v>
      </c>
      <c r="N49" s="2">
        <v>6779</v>
      </c>
      <c r="O49" s="2">
        <v>7443</v>
      </c>
      <c r="P49" s="2">
        <v>6664</v>
      </c>
      <c r="Q49" s="2">
        <v>6778</v>
      </c>
      <c r="R49" s="2">
        <v>6004</v>
      </c>
      <c r="S49" s="2">
        <v>6217</v>
      </c>
      <c r="T49" s="2">
        <v>5961</v>
      </c>
      <c r="U49" s="2">
        <v>5915</v>
      </c>
    </row>
    <row r="50" spans="1:21">
      <c r="A50" t="s">
        <v>19</v>
      </c>
      <c r="B50" s="2">
        <v>728.4</v>
      </c>
      <c r="C50" s="2">
        <v>728.4</v>
      </c>
      <c r="D50" s="2">
        <v>728.6</v>
      </c>
      <c r="E50" s="2">
        <v>728.6</v>
      </c>
      <c r="F50" s="2">
        <v>728.6</v>
      </c>
      <c r="G50" s="2">
        <v>728.6</v>
      </c>
      <c r="H50" s="2">
        <v>728.7</v>
      </c>
      <c r="I50" s="2">
        <v>728.8</v>
      </c>
      <c r="L50" s="2">
        <v>728.7</v>
      </c>
      <c r="M50" s="2">
        <v>728.7</v>
      </c>
      <c r="N50" s="2">
        <v>728.7</v>
      </c>
      <c r="O50" s="2">
        <v>728.8</v>
      </c>
      <c r="P50" s="2">
        <v>728.8</v>
      </c>
      <c r="Q50" s="2">
        <v>728.8</v>
      </c>
      <c r="R50" s="2">
        <v>728.8</v>
      </c>
      <c r="S50" s="2">
        <v>728.8</v>
      </c>
      <c r="T50" s="2">
        <v>728.8</v>
      </c>
      <c r="U50" s="2">
        <v>728.8</v>
      </c>
    </row>
    <row r="51" spans="1:21">
      <c r="A51" t="s">
        <v>86</v>
      </c>
      <c r="B51" s="2">
        <v>537.70000000000005</v>
      </c>
      <c r="C51" s="2">
        <v>537.70000000000005</v>
      </c>
      <c r="D51" s="2">
        <v>537.70000000000005</v>
      </c>
      <c r="E51" s="2">
        <v>537.70000000000005</v>
      </c>
      <c r="F51" s="2">
        <v>285.60000000000002</v>
      </c>
      <c r="G51" s="2">
        <v>285.60000000000002</v>
      </c>
      <c r="H51" s="2">
        <v>285.60000000000002</v>
      </c>
      <c r="I51" s="2">
        <v>285.60000000000002</v>
      </c>
      <c r="L51" s="2">
        <v>537.70000000000005</v>
      </c>
      <c r="M51" s="2">
        <v>285.60000000000002</v>
      </c>
      <c r="N51" s="2">
        <v>285.60000000000002</v>
      </c>
      <c r="O51" s="2">
        <v>285.60000000000002</v>
      </c>
      <c r="P51" s="2">
        <v>285.60000000000002</v>
      </c>
      <c r="Q51" s="2">
        <v>285.60000000000002</v>
      </c>
      <c r="R51" s="2">
        <v>285.60000000000002</v>
      </c>
      <c r="S51" s="2">
        <v>285.60000000000002</v>
      </c>
      <c r="T51" s="2">
        <v>285.60000000000002</v>
      </c>
      <c r="U51" s="2">
        <v>285.60000000000002</v>
      </c>
    </row>
    <row r="52" spans="1:21">
      <c r="A52" t="s">
        <v>87</v>
      </c>
      <c r="B52" s="2">
        <v>5115</v>
      </c>
      <c r="C52" s="2">
        <v>6701</v>
      </c>
      <c r="D52" s="2">
        <v>7787</v>
      </c>
      <c r="E52" s="2">
        <v>9084</v>
      </c>
      <c r="F52" s="2">
        <v>10891</v>
      </c>
      <c r="G52" s="2">
        <v>12750</v>
      </c>
      <c r="H52" s="2">
        <v>14757</v>
      </c>
      <c r="I52" s="2">
        <v>16882</v>
      </c>
      <c r="L52" s="2">
        <v>13568</v>
      </c>
      <c r="M52" s="2">
        <v>13885</v>
      </c>
      <c r="N52" s="2">
        <v>14757</v>
      </c>
      <c r="O52" s="2">
        <v>15828</v>
      </c>
      <c r="P52" s="2">
        <v>15551</v>
      </c>
      <c r="Q52" s="2">
        <v>15869</v>
      </c>
      <c r="R52" s="2">
        <v>16882</v>
      </c>
      <c r="S52" s="2">
        <v>17955</v>
      </c>
      <c r="T52" s="2">
        <v>17358</v>
      </c>
      <c r="U52" s="2">
        <v>17566</v>
      </c>
    </row>
    <row r="53" spans="1:21">
      <c r="A53" t="s">
        <v>57</v>
      </c>
      <c r="B53" s="2">
        <v>6730</v>
      </c>
      <c r="C53" s="2">
        <v>8509</v>
      </c>
      <c r="D53" s="2">
        <v>9595</v>
      </c>
      <c r="E53" s="2">
        <v>10882</v>
      </c>
      <c r="F53" s="2">
        <v>12734</v>
      </c>
      <c r="G53" s="2">
        <v>14472</v>
      </c>
      <c r="H53" s="2">
        <v>16401</v>
      </c>
      <c r="I53" s="2">
        <v>18453</v>
      </c>
      <c r="L53" s="2">
        <v>15289</v>
      </c>
      <c r="M53" s="2">
        <v>15576</v>
      </c>
      <c r="N53" s="2">
        <v>16401</v>
      </c>
      <c r="O53" s="2">
        <v>17458</v>
      </c>
      <c r="P53" s="2">
        <v>17194</v>
      </c>
      <c r="Q53" s="2">
        <v>17457</v>
      </c>
      <c r="R53" s="2">
        <v>18453</v>
      </c>
      <c r="S53" s="2">
        <v>19521</v>
      </c>
      <c r="T53" s="2">
        <v>18907</v>
      </c>
      <c r="U53" s="2">
        <v>19111</v>
      </c>
    </row>
    <row r="54" spans="1:21">
      <c r="A54" t="s">
        <v>58</v>
      </c>
      <c r="B54" s="2">
        <v>2061</v>
      </c>
      <c r="C54" s="2">
        <v>3025</v>
      </c>
      <c r="D54" s="2">
        <v>3274</v>
      </c>
      <c r="E54" s="2">
        <v>3890</v>
      </c>
      <c r="F54" s="2">
        <v>3987</v>
      </c>
      <c r="G54" s="2">
        <v>5174</v>
      </c>
      <c r="H54" s="2">
        <v>5243</v>
      </c>
      <c r="I54" s="2">
        <v>4734</v>
      </c>
      <c r="L54" s="2">
        <v>1117</v>
      </c>
      <c r="M54" s="2">
        <v>1271</v>
      </c>
      <c r="N54" s="2">
        <v>1163</v>
      </c>
      <c r="O54" s="2">
        <v>1523</v>
      </c>
      <c r="P54" s="2">
        <v>654.6</v>
      </c>
      <c r="Q54" s="2">
        <v>1295</v>
      </c>
      <c r="R54" s="2">
        <v>1262</v>
      </c>
      <c r="S54" s="2">
        <v>1663</v>
      </c>
      <c r="T54" s="2">
        <v>807.7</v>
      </c>
      <c r="U54" s="2">
        <v>1533</v>
      </c>
    </row>
    <row r="55" spans="1:21">
      <c r="A55" t="s">
        <v>59</v>
      </c>
      <c r="B55" s="2">
        <v>-3945</v>
      </c>
      <c r="C55" s="2">
        <v>2931</v>
      </c>
      <c r="D55" s="2">
        <v>-4785</v>
      </c>
      <c r="E55" s="2">
        <v>-700.7</v>
      </c>
      <c r="F55" s="2">
        <v>-1785</v>
      </c>
      <c r="G55" s="2">
        <v>-1556</v>
      </c>
      <c r="H55" s="2">
        <v>-5868</v>
      </c>
      <c r="I55" s="2">
        <v>-1431</v>
      </c>
      <c r="L55" s="2">
        <v>189.3</v>
      </c>
      <c r="M55" s="2">
        <v>-2863</v>
      </c>
      <c r="N55" s="2">
        <v>-706.1</v>
      </c>
      <c r="O55" s="2">
        <v>232</v>
      </c>
      <c r="P55" s="2">
        <v>-403.1</v>
      </c>
      <c r="Q55" s="2">
        <v>-1601</v>
      </c>
      <c r="R55" s="2">
        <v>341.4</v>
      </c>
      <c r="S55" s="2">
        <v>-2294</v>
      </c>
      <c r="T55" s="2">
        <v>1036</v>
      </c>
      <c r="U55" s="2">
        <v>-876.7</v>
      </c>
    </row>
    <row r="56" spans="1:21">
      <c r="A56" t="s">
        <v>60</v>
      </c>
      <c r="B56" s="2">
        <v>2518</v>
      </c>
      <c r="C56" s="2">
        <v>-1179</v>
      </c>
      <c r="D56" s="2">
        <v>-1383</v>
      </c>
      <c r="E56" s="2">
        <v>-1650</v>
      </c>
      <c r="F56" s="2">
        <v>-1833</v>
      </c>
      <c r="G56" s="2">
        <v>-3496</v>
      </c>
      <c r="H56" s="2">
        <v>-2061</v>
      </c>
      <c r="I56" s="2">
        <v>-3245</v>
      </c>
      <c r="L56" s="2">
        <v>-1214</v>
      </c>
      <c r="M56" s="2">
        <v>-745.1</v>
      </c>
      <c r="N56" s="2">
        <v>-85.6</v>
      </c>
      <c r="O56" s="2">
        <v>-16.399999999999999</v>
      </c>
      <c r="P56" s="2">
        <v>-1324</v>
      </c>
      <c r="Q56" s="2">
        <v>-818</v>
      </c>
      <c r="R56" s="2">
        <v>-1086</v>
      </c>
      <c r="S56" s="2">
        <v>-16.399999999999999</v>
      </c>
      <c r="T56" s="2">
        <v>-1374</v>
      </c>
      <c r="U56" s="2">
        <v>-854.4</v>
      </c>
    </row>
    <row r="57" spans="1:21">
      <c r="A57" t="s">
        <v>61</v>
      </c>
      <c r="B57" s="2">
        <v>633.20000000000005</v>
      </c>
      <c r="C57" s="2">
        <v>4773</v>
      </c>
      <c r="D57" s="2">
        <v>-2895</v>
      </c>
      <c r="E57" s="2">
        <v>1536</v>
      </c>
      <c r="F57" s="2">
        <v>378.4</v>
      </c>
      <c r="G57" s="2">
        <v>100</v>
      </c>
      <c r="H57" s="2">
        <v>-2684</v>
      </c>
      <c r="I57" s="2">
        <v>58.3</v>
      </c>
      <c r="L57" s="2">
        <v>95.6</v>
      </c>
      <c r="M57" s="2">
        <v>-2341</v>
      </c>
      <c r="N57" s="2">
        <v>372.2</v>
      </c>
      <c r="O57" s="2">
        <v>1739</v>
      </c>
      <c r="P57" s="2">
        <v>-1075</v>
      </c>
      <c r="Q57" s="2">
        <v>-1126</v>
      </c>
      <c r="R57" s="2">
        <v>520.5</v>
      </c>
      <c r="S57" s="2">
        <v>-648.29999999999995</v>
      </c>
      <c r="T57" s="2">
        <v>468.5</v>
      </c>
      <c r="U57" s="2">
        <v>-201.8</v>
      </c>
    </row>
    <row r="58" spans="1:21">
      <c r="A58" t="s">
        <v>88</v>
      </c>
      <c r="B58" s="2">
        <v>990.1</v>
      </c>
      <c r="C58" s="2">
        <v>2042</v>
      </c>
      <c r="D58" s="2">
        <v>1056</v>
      </c>
      <c r="E58" s="2">
        <v>2650</v>
      </c>
      <c r="F58" s="2">
        <v>2489</v>
      </c>
      <c r="G58" s="2">
        <v>2950</v>
      </c>
      <c r="H58" s="2">
        <v>3832</v>
      </c>
      <c r="I58" s="2">
        <v>4226</v>
      </c>
      <c r="L58" s="2">
        <v>858.1</v>
      </c>
      <c r="M58" s="2">
        <v>903</v>
      </c>
      <c r="N58" s="2">
        <v>551.70000000000005</v>
      </c>
      <c r="O58" s="2">
        <v>1380</v>
      </c>
      <c r="P58" s="2">
        <v>512.1</v>
      </c>
      <c r="Q58" s="2">
        <v>1207</v>
      </c>
      <c r="R58" s="2">
        <v>1127</v>
      </c>
      <c r="S58" s="2">
        <v>1479</v>
      </c>
      <c r="T58" s="2">
        <v>513.1</v>
      </c>
      <c r="U58" s="2">
        <v>427.4</v>
      </c>
    </row>
    <row r="59" spans="1:21">
      <c r="A59" t="s">
        <v>89</v>
      </c>
      <c r="B59">
        <v>1.36</v>
      </c>
      <c r="C59">
        <v>2.8</v>
      </c>
      <c r="D59">
        <v>1.45</v>
      </c>
      <c r="E59">
        <v>3.64</v>
      </c>
      <c r="F59">
        <v>3.42</v>
      </c>
      <c r="G59">
        <v>4.05</v>
      </c>
      <c r="H59">
        <v>5.26</v>
      </c>
      <c r="I59">
        <v>5.8</v>
      </c>
      <c r="L59">
        <v>1.18</v>
      </c>
      <c r="M59">
        <v>1.24</v>
      </c>
      <c r="N59">
        <v>0.76</v>
      </c>
      <c r="O59">
        <v>1.89</v>
      </c>
      <c r="P59">
        <v>0.7</v>
      </c>
      <c r="Q59">
        <v>1.66</v>
      </c>
      <c r="R59">
        <v>1.55</v>
      </c>
      <c r="S59">
        <v>2.0299999999999998</v>
      </c>
      <c r="T59">
        <v>0.7</v>
      </c>
      <c r="U59">
        <v>0.59</v>
      </c>
    </row>
  </sheetData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C17FC3FA-E5ED-4DEB-BC73-4B44CEAAA67F}">
          <xm:f>#REF!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10BF-9917-4AE6-B393-A165192D5467}">
  <sheetPr codeName="Sheet3">
    <tabColor theme="1"/>
  </sheetPr>
  <dimension ref="A1:V74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defaultRowHeight="15"/>
  <cols>
    <col min="1" max="1" width="44.28515625" style="26" bestFit="1" customWidth="1"/>
    <col min="2" max="11" width="8.7109375" customWidth="1"/>
    <col min="12" max="12" width="4.7109375" style="41" customWidth="1"/>
    <col min="13" max="22" width="8.7109375" customWidth="1"/>
  </cols>
  <sheetData>
    <row r="1" spans="1:22">
      <c r="A1" s="25" t="str">
        <f>Jitta!A1</f>
        <v>BH</v>
      </c>
      <c r="B1" s="7">
        <f>Jitta!B1</f>
        <v>2011</v>
      </c>
      <c r="C1" s="7">
        <f>Jitta!C1</f>
        <v>2012</v>
      </c>
      <c r="D1" s="7">
        <f>Jitta!D1</f>
        <v>2013</v>
      </c>
      <c r="E1" s="7">
        <f>Jitta!E1</f>
        <v>2014</v>
      </c>
      <c r="F1" s="7">
        <f>Jitta!F1</f>
        <v>2015</v>
      </c>
      <c r="G1" s="7">
        <f>Jitta!G1</f>
        <v>2016</v>
      </c>
      <c r="H1" s="7">
        <f>Jitta!H1</f>
        <v>2017</v>
      </c>
      <c r="I1" s="7">
        <f>Jitta!I1</f>
        <v>2018</v>
      </c>
      <c r="J1" s="7">
        <f>Jitta!J1</f>
        <v>2019</v>
      </c>
      <c r="K1" s="7">
        <f>Jitta!K1</f>
        <v>2020</v>
      </c>
      <c r="L1" s="7"/>
      <c r="M1" s="7" t="str">
        <f>Jitta!L1</f>
        <v>2017-6</v>
      </c>
      <c r="N1" s="7" t="str">
        <f>Jitta!M1</f>
        <v>2017-9</v>
      </c>
      <c r="O1" s="7" t="str">
        <f>Jitta!N1</f>
        <v>2017-12</v>
      </c>
      <c r="P1" s="7" t="str">
        <f>Jitta!O1</f>
        <v>2018-3</v>
      </c>
      <c r="Q1" s="7" t="str">
        <f>Jitta!P1</f>
        <v>2018-6</v>
      </c>
      <c r="R1" s="7" t="str">
        <f>Jitta!Q1</f>
        <v>2018-9</v>
      </c>
      <c r="S1" s="7" t="str">
        <f>Jitta!R1</f>
        <v>2018-12</v>
      </c>
      <c r="T1" s="7" t="str">
        <f>Jitta!S1</f>
        <v>2019-3</v>
      </c>
      <c r="U1" s="7" t="str">
        <f>Jitta!T1</f>
        <v>2019-6</v>
      </c>
      <c r="V1" s="7" t="str">
        <f>Jitta!U1</f>
        <v>2019-9</v>
      </c>
    </row>
    <row r="2" spans="1:22">
      <c r="A2" s="26" t="str">
        <f>Jitta!A2</f>
        <v>Price Average</v>
      </c>
      <c r="B2" s="28">
        <f>Jitta!B2</f>
        <v>66.8</v>
      </c>
      <c r="C2" s="28">
        <f>Jitta!C2</f>
        <v>89.6</v>
      </c>
      <c r="D2" s="28">
        <f>Jitta!D2</f>
        <v>127.1</v>
      </c>
      <c r="E2" s="28">
        <f>Jitta!E2</f>
        <v>209.8</v>
      </c>
      <c r="F2" s="28">
        <f>Jitta!F2</f>
        <v>205.8</v>
      </c>
      <c r="G2" s="28">
        <f>Jitta!G2</f>
        <v>202.8</v>
      </c>
      <c r="H2" s="28">
        <f>Jitta!H2</f>
        <v>205</v>
      </c>
      <c r="I2" s="28">
        <f>Jitta!I2</f>
        <v>160</v>
      </c>
      <c r="J2" s="28">
        <f>Jitta!J2</f>
        <v>0</v>
      </c>
      <c r="K2" s="28">
        <f>Jitta!K2</f>
        <v>0</v>
      </c>
      <c r="L2" s="33"/>
      <c r="M2" s="28">
        <f>Jitta!L2</f>
        <v>202.8</v>
      </c>
      <c r="N2" s="28">
        <f>Jitta!M2</f>
        <v>217</v>
      </c>
      <c r="O2" s="28">
        <f>Jitta!N2</f>
        <v>214.5</v>
      </c>
      <c r="P2" s="28">
        <f>Jitta!O2</f>
        <v>205</v>
      </c>
      <c r="Q2" s="28">
        <f>Jitta!P2</f>
        <v>189.3</v>
      </c>
      <c r="R2" s="28">
        <f>Jitta!Q2</f>
        <v>196.3</v>
      </c>
      <c r="S2" s="28">
        <f>Jitta!R2</f>
        <v>187.5</v>
      </c>
      <c r="T2" s="28">
        <f>Jitta!S2</f>
        <v>177.3</v>
      </c>
      <c r="U2" s="28">
        <f>Jitta!T2</f>
        <v>152.80000000000001</v>
      </c>
      <c r="V2" s="28">
        <f>Jitta!U2</f>
        <v>139</v>
      </c>
    </row>
    <row r="3" spans="1:22" ht="9.9499999999999993" customHeight="1">
      <c r="A3" s="37"/>
      <c r="B3" s="28"/>
      <c r="C3" s="28"/>
      <c r="D3" s="28"/>
      <c r="E3" s="28"/>
      <c r="F3" s="28"/>
      <c r="G3" s="28"/>
      <c r="H3" s="28"/>
      <c r="I3" s="28"/>
      <c r="J3" s="28"/>
      <c r="K3" s="28"/>
      <c r="L3" s="33"/>
      <c r="M3" s="28"/>
      <c r="N3" s="28"/>
      <c r="O3" s="28"/>
      <c r="P3" s="28"/>
      <c r="Q3" s="28"/>
      <c r="R3" s="28"/>
      <c r="S3" s="28"/>
      <c r="T3" s="28"/>
      <c r="U3" s="28"/>
      <c r="V3" s="28"/>
    </row>
    <row r="4" spans="1:22">
      <c r="A4" s="37" t="str">
        <f>Jitta!A3</f>
        <v>Earnings per Share</v>
      </c>
      <c r="B4" s="29">
        <f>Jitta!B3</f>
        <v>1.83</v>
      </c>
      <c r="C4" s="29">
        <f>Jitta!C3</f>
        <v>2.95</v>
      </c>
      <c r="D4" s="29">
        <f>Jitta!D3</f>
        <v>2.91</v>
      </c>
      <c r="E4" s="29">
        <f>Jitta!E3</f>
        <v>3.15</v>
      </c>
      <c r="F4" s="29">
        <f>Jitta!F3</f>
        <v>3.96</v>
      </c>
      <c r="G4" s="29">
        <f>Jitta!G3</f>
        <v>4.18</v>
      </c>
      <c r="H4" s="29">
        <f>Jitta!H3</f>
        <v>4.55</v>
      </c>
      <c r="I4" s="29">
        <f>Jitta!I3</f>
        <v>4.79</v>
      </c>
      <c r="J4" s="29">
        <f>Jitta!J3</f>
        <v>0</v>
      </c>
      <c r="K4" s="29">
        <f>Jitta!K3</f>
        <v>0</v>
      </c>
      <c r="L4" s="34"/>
      <c r="M4" s="29">
        <f>Jitta!L3</f>
        <v>1.1100000000000001</v>
      </c>
      <c r="N4" s="29">
        <f>Jitta!M3</f>
        <v>1.22</v>
      </c>
      <c r="O4" s="29">
        <f>Jitta!N3</f>
        <v>1.07</v>
      </c>
      <c r="P4" s="29">
        <f>Jitta!O3</f>
        <v>1.24</v>
      </c>
      <c r="Q4" s="29">
        <f>Jitta!P3</f>
        <v>1.1200000000000001</v>
      </c>
      <c r="R4" s="29">
        <f>Jitta!Q3</f>
        <v>1.3</v>
      </c>
      <c r="S4" s="29">
        <f>Jitta!R3</f>
        <v>1.1200000000000001</v>
      </c>
      <c r="T4" s="29">
        <f>Jitta!S3</f>
        <v>1.25</v>
      </c>
      <c r="U4" s="29">
        <f>Jitta!T3</f>
        <v>0.83</v>
      </c>
      <c r="V4" s="29">
        <f>Jitta!U3</f>
        <v>1.22</v>
      </c>
    </row>
    <row r="5" spans="1:22">
      <c r="A5" s="37" t="str">
        <f>Jitta!A4</f>
        <v>Revenue per Share</v>
      </c>
      <c r="B5" s="28">
        <f>Jitta!B4</f>
        <v>15.5</v>
      </c>
      <c r="C5" s="28">
        <f>Jitta!C4</f>
        <v>19.2</v>
      </c>
      <c r="D5" s="28">
        <f>Jitta!D4</f>
        <v>20</v>
      </c>
      <c r="E5" s="28">
        <f>Jitta!E4</f>
        <v>21.8</v>
      </c>
      <c r="F5" s="28">
        <f>Jitta!F4</f>
        <v>24.5</v>
      </c>
      <c r="G5" s="28">
        <f>Jitta!G4</f>
        <v>24.8</v>
      </c>
      <c r="H5" s="28">
        <f>Jitta!H4</f>
        <v>25.1</v>
      </c>
      <c r="I5" s="28">
        <f>Jitta!I4</f>
        <v>25.4</v>
      </c>
      <c r="J5" s="28">
        <f>Jitta!J4</f>
        <v>0</v>
      </c>
      <c r="K5" s="28">
        <f>Jitta!K4</f>
        <v>0</v>
      </c>
      <c r="L5" s="33"/>
      <c r="M5" s="28">
        <f>Jitta!L4</f>
        <v>6.05</v>
      </c>
      <c r="N5" s="28">
        <f>Jitta!M4</f>
        <v>6.63</v>
      </c>
      <c r="O5" s="28">
        <f>Jitta!N4</f>
        <v>6.31</v>
      </c>
      <c r="P5" s="28">
        <f>Jitta!O4</f>
        <v>6.44</v>
      </c>
      <c r="Q5" s="28">
        <f>Jitta!P4</f>
        <v>5.91</v>
      </c>
      <c r="R5" s="28">
        <f>Jitta!Q4</f>
        <v>6.53</v>
      </c>
      <c r="S5" s="28">
        <f>Jitta!R4</f>
        <v>6.55</v>
      </c>
      <c r="T5" s="28">
        <f>Jitta!S4</f>
        <v>6.49</v>
      </c>
      <c r="U5" s="28">
        <f>Jitta!T4</f>
        <v>5.97</v>
      </c>
      <c r="V5" s="28">
        <f>Jitta!U4</f>
        <v>6.59</v>
      </c>
    </row>
    <row r="6" spans="1:22">
      <c r="A6" s="37" t="str">
        <f>Jitta!A5</f>
        <v>Dividend per Share</v>
      </c>
      <c r="B6" s="29">
        <f>Jitta!B5</f>
        <v>1.1000000000000001</v>
      </c>
      <c r="C6" s="29">
        <f>Jitta!C5</f>
        <v>1.8</v>
      </c>
      <c r="D6" s="29">
        <f>Jitta!D5</f>
        <v>1.9</v>
      </c>
      <c r="E6" s="29">
        <f>Jitta!E5</f>
        <v>1.95</v>
      </c>
      <c r="F6" s="29">
        <f>Jitta!F5</f>
        <v>2.35</v>
      </c>
      <c r="G6" s="29">
        <f>Jitta!G5</f>
        <v>2.5</v>
      </c>
      <c r="H6" s="29">
        <f>Jitta!H5</f>
        <v>2.7</v>
      </c>
      <c r="I6" s="29">
        <f>Jitta!I5</f>
        <v>2.9</v>
      </c>
      <c r="J6" s="29">
        <f>Jitta!J5</f>
        <v>0</v>
      </c>
      <c r="K6" s="29">
        <f>Jitta!K5</f>
        <v>0</v>
      </c>
      <c r="L6" s="34"/>
      <c r="M6" s="29">
        <f>Jitta!L5</f>
        <v>1</v>
      </c>
      <c r="N6" s="29">
        <f>Jitta!M5</f>
        <v>0</v>
      </c>
      <c r="O6" s="29">
        <f>Jitta!N5</f>
        <v>1.7</v>
      </c>
      <c r="P6" s="29">
        <f>Jitta!O5</f>
        <v>0</v>
      </c>
      <c r="Q6" s="29">
        <f>Jitta!P5</f>
        <v>1.1000000000000001</v>
      </c>
      <c r="R6" s="29">
        <f>Jitta!Q5</f>
        <v>0</v>
      </c>
      <c r="S6" s="29">
        <f>Jitta!R5</f>
        <v>1.8</v>
      </c>
      <c r="T6" s="29">
        <f>Jitta!S5</f>
        <v>0</v>
      </c>
      <c r="U6" s="29">
        <f>Jitta!T5</f>
        <v>1.1499999999999999</v>
      </c>
      <c r="V6" s="29">
        <f>Jitta!U5</f>
        <v>0</v>
      </c>
    </row>
    <row r="7" spans="1:22">
      <c r="A7" s="37" t="str">
        <f>Jitta!A6</f>
        <v>Capital Expenditures per Share</v>
      </c>
      <c r="B7" s="29">
        <f>Jitta!B6</f>
        <v>1.47</v>
      </c>
      <c r="C7" s="29">
        <f>Jitta!C6</f>
        <v>1.35</v>
      </c>
      <c r="D7" s="29">
        <f>Jitta!D6</f>
        <v>3.04</v>
      </c>
      <c r="E7" s="29">
        <f>Jitta!E6</f>
        <v>1.7</v>
      </c>
      <c r="F7" s="29">
        <f>Jitta!F6</f>
        <v>2.06</v>
      </c>
      <c r="G7" s="29">
        <f>Jitta!G6</f>
        <v>3.05</v>
      </c>
      <c r="H7" s="29">
        <f>Jitta!H6</f>
        <v>1.94</v>
      </c>
      <c r="I7" s="29">
        <f>Jitta!I6</f>
        <v>0.7</v>
      </c>
      <c r="J7" s="29">
        <f>Jitta!J6</f>
        <v>0</v>
      </c>
      <c r="K7" s="29">
        <f>Jitta!K6</f>
        <v>0</v>
      </c>
      <c r="L7" s="34"/>
      <c r="M7" s="29">
        <f>Jitta!L6</f>
        <v>0.35</v>
      </c>
      <c r="N7" s="29">
        <f>Jitta!M6</f>
        <v>0.51</v>
      </c>
      <c r="O7" s="29">
        <f>Jitta!N6</f>
        <v>0.84</v>
      </c>
      <c r="P7" s="29">
        <f>Jitta!O6</f>
        <v>0.2</v>
      </c>
      <c r="Q7" s="29">
        <f>Jitta!P6</f>
        <v>0.2</v>
      </c>
      <c r="R7" s="29">
        <f>Jitta!Q6</f>
        <v>0.12</v>
      </c>
      <c r="S7" s="29">
        <f>Jitta!R6</f>
        <v>0.19</v>
      </c>
      <c r="T7" s="29">
        <f>Jitta!S6</f>
        <v>0.25</v>
      </c>
      <c r="U7" s="29">
        <f>Jitta!T6</f>
        <v>0.4</v>
      </c>
      <c r="V7" s="29">
        <f>Jitta!U6</f>
        <v>1.52</v>
      </c>
    </row>
    <row r="8" spans="1:22" ht="9.9499999999999993" customHeight="1">
      <c r="A8" s="37"/>
      <c r="B8" s="29"/>
      <c r="C8" s="29"/>
      <c r="D8" s="29"/>
      <c r="E8" s="29"/>
      <c r="F8" s="29"/>
      <c r="G8" s="29"/>
      <c r="H8" s="29"/>
      <c r="I8" s="29"/>
      <c r="J8" s="29"/>
      <c r="K8" s="29"/>
      <c r="L8" s="34"/>
      <c r="M8" s="29"/>
      <c r="N8" s="29"/>
      <c r="O8" s="29"/>
      <c r="P8" s="29"/>
      <c r="Q8" s="29"/>
      <c r="R8" s="29"/>
      <c r="S8" s="29"/>
      <c r="T8" s="29"/>
      <c r="U8" s="29"/>
      <c r="V8" s="29"/>
    </row>
    <row r="9" spans="1:22">
      <c r="A9" s="39" t="str">
        <f>Jitta!A7</f>
        <v>Book Value per Share</v>
      </c>
      <c r="B9" s="28">
        <f>Jitta!B7</f>
        <v>9.24</v>
      </c>
      <c r="C9" s="28">
        <f>Jitta!C7</f>
        <v>11.7</v>
      </c>
      <c r="D9" s="28">
        <f>Jitta!D7</f>
        <v>13.2</v>
      </c>
      <c r="E9" s="28">
        <f>Jitta!E7</f>
        <v>14.9</v>
      </c>
      <c r="F9" s="28">
        <f>Jitta!F7</f>
        <v>17.5</v>
      </c>
      <c r="G9" s="28">
        <f>Jitta!G7</f>
        <v>19.899999999999999</v>
      </c>
      <c r="H9" s="28">
        <f>Jitta!H7</f>
        <v>22.5</v>
      </c>
      <c r="I9" s="28">
        <f>Jitta!I7</f>
        <v>25.3</v>
      </c>
      <c r="J9" s="28">
        <f>Jitta!J7</f>
        <v>0</v>
      </c>
      <c r="K9" s="28">
        <f>Jitta!K7</f>
        <v>0</v>
      </c>
      <c r="L9" s="33"/>
      <c r="M9" s="28">
        <f>Jitta!L7</f>
        <v>21</v>
      </c>
      <c r="N9" s="28">
        <f>Jitta!M7</f>
        <v>21.4</v>
      </c>
      <c r="O9" s="28">
        <f>Jitta!N7</f>
        <v>22.5</v>
      </c>
      <c r="P9" s="28">
        <f>Jitta!O7</f>
        <v>24</v>
      </c>
      <c r="Q9" s="28">
        <f>Jitta!P7</f>
        <v>23.6</v>
      </c>
      <c r="R9" s="28">
        <f>Jitta!Q7</f>
        <v>24</v>
      </c>
      <c r="S9" s="28">
        <f>Jitta!R7</f>
        <v>25.3</v>
      </c>
      <c r="T9" s="28">
        <f>Jitta!S7</f>
        <v>26.8</v>
      </c>
      <c r="U9" s="28">
        <f>Jitta!T7</f>
        <v>25.9</v>
      </c>
      <c r="V9" s="28">
        <f>Jitta!U7</f>
        <v>26.2</v>
      </c>
    </row>
    <row r="10" spans="1:22">
      <c r="A10" s="39" t="str">
        <f>Jitta!A8</f>
        <v>Price to Earnings Ratio</v>
      </c>
      <c r="B10" s="28">
        <f>Jitta!B8</f>
        <v>25</v>
      </c>
      <c r="C10" s="28">
        <f>Jitta!C8</f>
        <v>29.7</v>
      </c>
      <c r="D10" s="28">
        <f>Jitta!D8</f>
        <v>30.6</v>
      </c>
      <c r="E10" s="28">
        <f>Jitta!E8</f>
        <v>49.4</v>
      </c>
      <c r="F10" s="28">
        <f>Jitta!F8</f>
        <v>54.8</v>
      </c>
      <c r="G10" s="28">
        <f>Jitta!G8</f>
        <v>42.1</v>
      </c>
      <c r="H10" s="28">
        <f>Jitta!H8</f>
        <v>45.3</v>
      </c>
      <c r="I10" s="28">
        <f>Jitta!I8</f>
        <v>38.9</v>
      </c>
      <c r="J10" s="28">
        <f>Jitta!J8</f>
        <v>0</v>
      </c>
      <c r="K10" s="28">
        <f>Jitta!K8</f>
        <v>0</v>
      </c>
      <c r="L10" s="33"/>
      <c r="M10" s="28">
        <f>Jitta!L8</f>
        <v>50.3</v>
      </c>
      <c r="N10" s="28">
        <f>Jitta!M8</f>
        <v>44.9</v>
      </c>
      <c r="O10" s="28">
        <f>Jitta!N8</f>
        <v>45.2</v>
      </c>
      <c r="P10" s="28">
        <f>Jitta!O8</f>
        <v>41.5</v>
      </c>
      <c r="Q10" s="28">
        <f>Jitta!P8</f>
        <v>39</v>
      </c>
      <c r="R10" s="28">
        <f>Jitta!Q8</f>
        <v>40.200000000000003</v>
      </c>
      <c r="S10" s="28">
        <f>Jitta!R8</f>
        <v>39</v>
      </c>
      <c r="T10" s="28">
        <f>Jitta!S8</f>
        <v>35</v>
      </c>
      <c r="U10" s="28">
        <f>Jitta!T8</f>
        <v>30.8</v>
      </c>
      <c r="V10" s="28">
        <f>Jitta!U8</f>
        <v>30.7</v>
      </c>
    </row>
    <row r="11" spans="1:22">
      <c r="A11" s="39" t="str">
        <f>Jitta!A9</f>
        <v>Price to Book Value Ratio</v>
      </c>
      <c r="B11" s="28">
        <f>Jitta!B9</f>
        <v>5.79</v>
      </c>
      <c r="C11" s="28">
        <f>Jitta!C9</f>
        <v>7.34</v>
      </c>
      <c r="D11" s="28">
        <f>Jitta!D9</f>
        <v>7.31</v>
      </c>
      <c r="E11" s="28">
        <f>Jitta!E9</f>
        <v>10.199999999999999</v>
      </c>
      <c r="F11" s="28">
        <f>Jitta!F9</f>
        <v>12.1</v>
      </c>
      <c r="G11" s="28">
        <f>Jitta!G9</f>
        <v>9.2100000000000009</v>
      </c>
      <c r="H11" s="28">
        <f>Jitta!H9</f>
        <v>9.4600000000000009</v>
      </c>
      <c r="I11" s="28">
        <f>Jitta!I9</f>
        <v>7.09</v>
      </c>
      <c r="J11" s="28">
        <f>Jitta!J9</f>
        <v>0</v>
      </c>
      <c r="K11" s="28">
        <f>Jitta!K9</f>
        <v>0</v>
      </c>
      <c r="L11" s="33"/>
      <c r="M11" s="28">
        <f>Jitta!L9</f>
        <v>10.199999999999999</v>
      </c>
      <c r="N11" s="28">
        <f>Jitta!M9</f>
        <v>8.84</v>
      </c>
      <c r="O11" s="28">
        <f>Jitta!N9</f>
        <v>9.4600000000000009</v>
      </c>
      <c r="P11" s="28">
        <f>Jitta!O9</f>
        <v>6.95</v>
      </c>
      <c r="Q11" s="28">
        <f>Jitta!P9</f>
        <v>7.88</v>
      </c>
      <c r="R11" s="28">
        <f>Jitta!Q9</f>
        <v>7.83</v>
      </c>
      <c r="S11" s="28">
        <f>Jitta!R9</f>
        <v>7.09</v>
      </c>
      <c r="T11" s="28">
        <f>Jitta!S9</f>
        <v>6.31</v>
      </c>
      <c r="U11" s="28">
        <f>Jitta!T9</f>
        <v>4.93</v>
      </c>
      <c r="V11" s="28">
        <f>Jitta!U9</f>
        <v>5.61</v>
      </c>
    </row>
    <row r="12" spans="1:22">
      <c r="A12" s="39" t="str">
        <f>Jitta!A10</f>
        <v>EV to EBITDA</v>
      </c>
      <c r="B12" s="28">
        <f>Jitta!B10</f>
        <v>13.8</v>
      </c>
      <c r="C12" s="28">
        <f>Jitta!C10</f>
        <v>13.6</v>
      </c>
      <c r="D12" s="28">
        <f>Jitta!D10</f>
        <v>14.9</v>
      </c>
      <c r="E12" s="28">
        <f>Jitta!E10</f>
        <v>24.8</v>
      </c>
      <c r="F12" s="28">
        <f>Jitta!F10</f>
        <v>29.3</v>
      </c>
      <c r="G12" s="28">
        <f>Jitta!G10</f>
        <v>22.7</v>
      </c>
      <c r="H12" s="28">
        <f>Jitta!H10</f>
        <v>22.6</v>
      </c>
      <c r="I12" s="28">
        <f>Jitta!I10</f>
        <v>20.6</v>
      </c>
      <c r="J12" s="28">
        <f>Jitta!J10</f>
        <v>0</v>
      </c>
      <c r="K12" s="28">
        <f>Jitta!K10</f>
        <v>0</v>
      </c>
      <c r="L12" s="33"/>
      <c r="M12" s="28">
        <f>Jitta!L10</f>
        <v>21.3</v>
      </c>
      <c r="N12" s="28">
        <f>Jitta!M10</f>
        <v>26.5</v>
      </c>
      <c r="O12" s="28">
        <f>Jitta!N10</f>
        <v>22.6</v>
      </c>
      <c r="P12" s="28">
        <f>Jitta!O10</f>
        <v>21.3</v>
      </c>
      <c r="Q12" s="28">
        <f>Jitta!P10</f>
        <v>20.399999999999999</v>
      </c>
      <c r="R12" s="28">
        <f>Jitta!Q10</f>
        <v>21.5</v>
      </c>
      <c r="S12" s="28">
        <f>Jitta!R10</f>
        <v>20.6</v>
      </c>
      <c r="T12" s="28">
        <f>Jitta!S10</f>
        <v>19.7</v>
      </c>
      <c r="U12" s="28">
        <f>Jitta!T10</f>
        <v>19.899999999999999</v>
      </c>
      <c r="V12" s="28">
        <f>Jitta!U10</f>
        <v>14.1</v>
      </c>
    </row>
    <row r="13" spans="1:22" ht="9.9499999999999993" customHeight="1">
      <c r="A13" s="3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33"/>
      <c r="M13" s="28"/>
      <c r="N13" s="28"/>
      <c r="O13" s="28"/>
      <c r="P13" s="28"/>
      <c r="Q13" s="28"/>
      <c r="R13" s="28"/>
      <c r="S13" s="28"/>
      <c r="T13" s="28"/>
      <c r="U13" s="28"/>
      <c r="V13" s="28"/>
    </row>
    <row r="14" spans="1:22">
      <c r="A14" s="38" t="str">
        <f>Jitta!A11</f>
        <v>Dividend Payout Ratio</v>
      </c>
      <c r="B14" s="30">
        <f>Jitta!B11</f>
        <v>0.60099999999999998</v>
      </c>
      <c r="C14" s="30">
        <f>Jitta!C11</f>
        <v>0.61</v>
      </c>
      <c r="D14" s="30">
        <f>Jitta!D11</f>
        <v>0.65300000000000002</v>
      </c>
      <c r="E14" s="30">
        <f>Jitta!E11</f>
        <v>0.61899999999999999</v>
      </c>
      <c r="F14" s="30">
        <f>Jitta!F11</f>
        <v>0.59299999999999997</v>
      </c>
      <c r="G14" s="30">
        <f>Jitta!G11</f>
        <v>0.59799999999999998</v>
      </c>
      <c r="H14" s="30">
        <f>Jitta!H11</f>
        <v>0.59299999999999997</v>
      </c>
      <c r="I14" s="30">
        <f>Jitta!I11</f>
        <v>0.60499999999999998</v>
      </c>
      <c r="J14" s="30">
        <f>Jitta!J11</f>
        <v>0</v>
      </c>
      <c r="K14" s="30">
        <f>Jitta!K11</f>
        <v>0</v>
      </c>
      <c r="L14" s="35"/>
      <c r="M14" s="30">
        <f>Jitta!L11</f>
        <v>0.23100000000000001</v>
      </c>
      <c r="N14" s="30">
        <f>Jitta!M11</f>
        <v>0</v>
      </c>
      <c r="O14" s="30">
        <f>Jitta!N11</f>
        <v>0.373</v>
      </c>
      <c r="P14" s="30">
        <f>Jitta!O11</f>
        <v>0</v>
      </c>
      <c r="Q14" s="30">
        <f>Jitta!P11</f>
        <v>0.23699999999999999</v>
      </c>
      <c r="R14" s="30">
        <f>Jitta!Q11</f>
        <v>0</v>
      </c>
      <c r="S14" s="30">
        <f>Jitta!R11</f>
        <v>0.377</v>
      </c>
      <c r="T14" s="30">
        <f>Jitta!S11</f>
        <v>0</v>
      </c>
      <c r="U14" s="30">
        <f>Jitta!T11</f>
        <v>0.25600000000000001</v>
      </c>
      <c r="V14" s="30">
        <f>Jitta!U11</f>
        <v>0</v>
      </c>
    </row>
    <row r="15" spans="1:22">
      <c r="A15" s="38" t="str">
        <f>Jitta!A12</f>
        <v>Common Shares Outstanding</v>
      </c>
      <c r="B15" s="31">
        <f>Jitta!B12</f>
        <v>728.4</v>
      </c>
      <c r="C15" s="31">
        <f>Jitta!C12</f>
        <v>728.4</v>
      </c>
      <c r="D15" s="31">
        <f>Jitta!D12</f>
        <v>728.6</v>
      </c>
      <c r="E15" s="31">
        <f>Jitta!E12</f>
        <v>728.6</v>
      </c>
      <c r="F15" s="31">
        <f>Jitta!F12</f>
        <v>728.6</v>
      </c>
      <c r="G15" s="31">
        <f>Jitta!G12</f>
        <v>728.6</v>
      </c>
      <c r="H15" s="31">
        <f>Jitta!H12</f>
        <v>728.7</v>
      </c>
      <c r="I15" s="31">
        <f>Jitta!I12</f>
        <v>728.8</v>
      </c>
      <c r="J15" s="31">
        <f>Jitta!J12</f>
        <v>0</v>
      </c>
      <c r="K15" s="31">
        <f>Jitta!K12</f>
        <v>0</v>
      </c>
      <c r="L15" s="36"/>
      <c r="M15" s="31">
        <f>Jitta!L12</f>
        <v>728.7</v>
      </c>
      <c r="N15" s="31">
        <f>Jitta!M12</f>
        <v>728.7</v>
      </c>
      <c r="O15" s="31">
        <f>Jitta!N12</f>
        <v>728.7</v>
      </c>
      <c r="P15" s="31">
        <f>Jitta!O12</f>
        <v>728.8</v>
      </c>
      <c r="Q15" s="31">
        <f>Jitta!P12</f>
        <v>728.8</v>
      </c>
      <c r="R15" s="31">
        <f>Jitta!Q12</f>
        <v>728.8</v>
      </c>
      <c r="S15" s="31">
        <f>Jitta!R12</f>
        <v>728.8</v>
      </c>
      <c r="T15" s="31">
        <f>Jitta!S12</f>
        <v>728.8</v>
      </c>
      <c r="U15" s="31">
        <f>Jitta!T12</f>
        <v>728.8</v>
      </c>
      <c r="V15" s="31">
        <f>Jitta!U12</f>
        <v>728.8</v>
      </c>
    </row>
    <row r="16" spans="1:22" ht="9.9499999999999993" customHeight="1">
      <c r="A16" s="27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</row>
    <row r="17" spans="1:22">
      <c r="A17" s="37" t="str">
        <f>Jitta!A13</f>
        <v>Total Revenue</v>
      </c>
      <c r="B17" s="31">
        <f>Jitta!B13</f>
        <v>11261</v>
      </c>
      <c r="C17" s="31">
        <f>Jitta!C13</f>
        <v>13972</v>
      </c>
      <c r="D17" s="31">
        <f>Jitta!D13</f>
        <v>14597</v>
      </c>
      <c r="E17" s="31">
        <f>Jitta!E13</f>
        <v>15864</v>
      </c>
      <c r="F17" s="31">
        <f>Jitta!F13</f>
        <v>17883</v>
      </c>
      <c r="G17" s="31">
        <f>Jitta!G13</f>
        <v>18103</v>
      </c>
      <c r="H17" s="31">
        <f>Jitta!H13</f>
        <v>18272</v>
      </c>
      <c r="I17" s="31">
        <f>Jitta!I13</f>
        <v>18541</v>
      </c>
      <c r="J17" s="31">
        <f>Jitta!J13</f>
        <v>0</v>
      </c>
      <c r="K17" s="31">
        <f>Jitta!K13</f>
        <v>0</v>
      </c>
      <c r="L17" s="36"/>
      <c r="M17" s="31">
        <f>Jitta!L13</f>
        <v>4407</v>
      </c>
      <c r="N17" s="31">
        <f>Jitta!M13</f>
        <v>4835</v>
      </c>
      <c r="O17" s="31">
        <f>Jitta!N13</f>
        <v>4598</v>
      </c>
      <c r="P17" s="31">
        <f>Jitta!O13</f>
        <v>4694</v>
      </c>
      <c r="Q17" s="31">
        <f>Jitta!P13</f>
        <v>4309</v>
      </c>
      <c r="R17" s="31">
        <f>Jitta!Q13</f>
        <v>4761</v>
      </c>
      <c r="S17" s="31">
        <f>Jitta!R13</f>
        <v>4777</v>
      </c>
      <c r="T17" s="31">
        <f>Jitta!S13</f>
        <v>4733</v>
      </c>
      <c r="U17" s="31">
        <f>Jitta!T13</f>
        <v>4348</v>
      </c>
      <c r="V17" s="31">
        <f>Jitta!U13</f>
        <v>4801</v>
      </c>
    </row>
    <row r="18" spans="1:22">
      <c r="A18" s="37" t="str">
        <f>Jitta!A14</f>
        <v>Cost of Revenue, Total</v>
      </c>
      <c r="B18" s="31">
        <f>Jitta!B14</f>
        <v>7070</v>
      </c>
      <c r="C18" s="31">
        <f>Jitta!C14</f>
        <v>8242</v>
      </c>
      <c r="D18" s="31">
        <f>Jitta!D14</f>
        <v>8836</v>
      </c>
      <c r="E18" s="31">
        <f>Jitta!E14</f>
        <v>9496</v>
      </c>
      <c r="F18" s="31">
        <f>Jitta!F14</f>
        <v>10484</v>
      </c>
      <c r="G18" s="31">
        <f>Jitta!G14</f>
        <v>10410</v>
      </c>
      <c r="H18" s="31">
        <f>Jitta!H14</f>
        <v>10286</v>
      </c>
      <c r="I18" s="31">
        <f>Jitta!I14</f>
        <v>10046</v>
      </c>
      <c r="J18" s="31">
        <f>Jitta!J14</f>
        <v>0</v>
      </c>
      <c r="K18" s="31">
        <f>Jitta!K14</f>
        <v>0</v>
      </c>
      <c r="L18" s="36"/>
      <c r="M18" s="31">
        <f>Jitta!L14</f>
        <v>2475</v>
      </c>
      <c r="N18" s="31">
        <f>Jitta!M14</f>
        <v>2714</v>
      </c>
      <c r="O18" s="31">
        <f>Jitta!N14</f>
        <v>2643</v>
      </c>
      <c r="P18" s="31">
        <f>Jitta!O14</f>
        <v>2553</v>
      </c>
      <c r="Q18" s="31">
        <f>Jitta!P14</f>
        <v>2325</v>
      </c>
      <c r="R18" s="31">
        <f>Jitta!Q14</f>
        <v>2501</v>
      </c>
      <c r="S18" s="31">
        <f>Jitta!R14</f>
        <v>2668</v>
      </c>
      <c r="T18" s="31">
        <f>Jitta!S14</f>
        <v>2495</v>
      </c>
      <c r="U18" s="31">
        <f>Jitta!T14</f>
        <v>2508</v>
      </c>
      <c r="V18" s="31">
        <f>Jitta!U14</f>
        <v>2567</v>
      </c>
    </row>
    <row r="19" spans="1:22">
      <c r="A19" s="37" t="str">
        <f>Jitta!A15</f>
        <v>Gross Profit</v>
      </c>
      <c r="B19" s="31">
        <f>Jitta!B15</f>
        <v>4191</v>
      </c>
      <c r="C19" s="31">
        <f>Jitta!C15</f>
        <v>5730</v>
      </c>
      <c r="D19" s="31">
        <f>Jitta!D15</f>
        <v>5761</v>
      </c>
      <c r="E19" s="31">
        <f>Jitta!E15</f>
        <v>6369</v>
      </c>
      <c r="F19" s="31">
        <f>Jitta!F15</f>
        <v>7399</v>
      </c>
      <c r="G19" s="31">
        <f>Jitta!G15</f>
        <v>7693</v>
      </c>
      <c r="H19" s="31">
        <f>Jitta!H15</f>
        <v>7986</v>
      </c>
      <c r="I19" s="31">
        <f>Jitta!I15</f>
        <v>8495</v>
      </c>
      <c r="J19" s="31">
        <f>Jitta!J15</f>
        <v>0</v>
      </c>
      <c r="K19" s="31">
        <f>Jitta!K15</f>
        <v>0</v>
      </c>
      <c r="L19" s="36"/>
      <c r="M19" s="31">
        <f>Jitta!L15</f>
        <v>1932</v>
      </c>
      <c r="N19" s="31">
        <f>Jitta!M15</f>
        <v>2121</v>
      </c>
      <c r="O19" s="31">
        <f>Jitta!N15</f>
        <v>1954</v>
      </c>
      <c r="P19" s="31">
        <f>Jitta!O15</f>
        <v>2141</v>
      </c>
      <c r="Q19" s="31">
        <f>Jitta!P15</f>
        <v>1984</v>
      </c>
      <c r="R19" s="31">
        <f>Jitta!Q15</f>
        <v>2261</v>
      </c>
      <c r="S19" s="31">
        <f>Jitta!R15</f>
        <v>2109</v>
      </c>
      <c r="T19" s="31">
        <f>Jitta!S15</f>
        <v>2238</v>
      </c>
      <c r="U19" s="31">
        <f>Jitta!T15</f>
        <v>1841</v>
      </c>
      <c r="V19" s="31">
        <f>Jitta!U15</f>
        <v>2234</v>
      </c>
    </row>
    <row r="20" spans="1:22">
      <c r="A20" s="37" t="str">
        <f>Jitta!A16</f>
        <v>Selling/General/Administrative Expenses, Total</v>
      </c>
      <c r="B20" s="31">
        <f>Jitta!B16</f>
        <v>2035</v>
      </c>
      <c r="C20" s="31">
        <f>Jitta!C16</f>
        <v>2295</v>
      </c>
      <c r="D20" s="31">
        <f>Jitta!D16</f>
        <v>2527</v>
      </c>
      <c r="E20" s="31">
        <f>Jitta!E16</f>
        <v>2806</v>
      </c>
      <c r="F20" s="31">
        <f>Jitta!F16</f>
        <v>3020</v>
      </c>
      <c r="G20" s="31">
        <f>Jitta!G16</f>
        <v>3125</v>
      </c>
      <c r="H20" s="31">
        <f>Jitta!H16</f>
        <v>3048</v>
      </c>
      <c r="I20" s="31">
        <f>Jitta!I16</f>
        <v>3288</v>
      </c>
      <c r="J20" s="31">
        <f>Jitta!J16</f>
        <v>0</v>
      </c>
      <c r="K20" s="31">
        <f>Jitta!K16</f>
        <v>0</v>
      </c>
      <c r="L20" s="36"/>
      <c r="M20" s="31">
        <f>Jitta!L16</f>
        <v>715</v>
      </c>
      <c r="N20" s="31">
        <f>Jitta!M16</f>
        <v>804.9</v>
      </c>
      <c r="O20" s="31">
        <f>Jitta!N16</f>
        <v>808.4</v>
      </c>
      <c r="P20" s="31">
        <f>Jitta!O16</f>
        <v>767.1</v>
      </c>
      <c r="Q20" s="31">
        <f>Jitta!P16</f>
        <v>758.4</v>
      </c>
      <c r="R20" s="31">
        <f>Jitta!Q16</f>
        <v>859.1</v>
      </c>
      <c r="S20" s="31">
        <f>Jitta!R16</f>
        <v>903.8</v>
      </c>
      <c r="T20" s="31">
        <f>Jitta!S16</f>
        <v>880.1</v>
      </c>
      <c r="U20" s="31">
        <f>Jitta!T16</f>
        <v>936.1</v>
      </c>
      <c r="V20" s="31">
        <f>Jitta!U16</f>
        <v>922.7</v>
      </c>
    </row>
    <row r="21" spans="1:22">
      <c r="A21" s="37" t="str">
        <f>Jitta!A17</f>
        <v>Operating Income</v>
      </c>
      <c r="B21" s="31">
        <f>Jitta!B17</f>
        <v>2156</v>
      </c>
      <c r="C21" s="31">
        <f>Jitta!C17</f>
        <v>3435</v>
      </c>
      <c r="D21" s="31">
        <f>Jitta!D17</f>
        <v>3234</v>
      </c>
      <c r="E21" s="31">
        <f>Jitta!E17</f>
        <v>3563</v>
      </c>
      <c r="F21" s="31">
        <f>Jitta!F17</f>
        <v>4379</v>
      </c>
      <c r="G21" s="31">
        <f>Jitta!G17</f>
        <v>4568</v>
      </c>
      <c r="H21" s="31">
        <f>Jitta!H17</f>
        <v>4938</v>
      </c>
      <c r="I21" s="31">
        <f>Jitta!I17</f>
        <v>5207</v>
      </c>
      <c r="J21" s="31">
        <f>Jitta!J17</f>
        <v>0</v>
      </c>
      <c r="K21" s="31">
        <f>Jitta!K17</f>
        <v>0</v>
      </c>
      <c r="L21" s="36"/>
      <c r="M21" s="31">
        <f>Jitta!L17</f>
        <v>1217</v>
      </c>
      <c r="N21" s="31">
        <f>Jitta!M17</f>
        <v>1316</v>
      </c>
      <c r="O21" s="31">
        <f>Jitta!N17</f>
        <v>1146</v>
      </c>
      <c r="P21" s="31">
        <f>Jitta!O17</f>
        <v>1374</v>
      </c>
      <c r="Q21" s="31">
        <f>Jitta!P17</f>
        <v>1225</v>
      </c>
      <c r="R21" s="31">
        <f>Jitta!Q17</f>
        <v>1402</v>
      </c>
      <c r="S21" s="31">
        <f>Jitta!R17</f>
        <v>1206</v>
      </c>
      <c r="T21" s="31">
        <f>Jitta!S17</f>
        <v>1357</v>
      </c>
      <c r="U21" s="31">
        <f>Jitta!T17</f>
        <v>904.8</v>
      </c>
      <c r="V21" s="31">
        <f>Jitta!U17</f>
        <v>1311</v>
      </c>
    </row>
    <row r="22" spans="1:22">
      <c r="A22" s="37" t="str">
        <f>Jitta!A18</f>
        <v>Net Income</v>
      </c>
      <c r="B22" s="31">
        <f>Jitta!B18</f>
        <v>1588</v>
      </c>
      <c r="C22" s="31">
        <f>Jitta!C18</f>
        <v>2558</v>
      </c>
      <c r="D22" s="31">
        <f>Jitta!D18</f>
        <v>2521</v>
      </c>
      <c r="E22" s="31">
        <f>Jitta!E18</f>
        <v>2730</v>
      </c>
      <c r="F22" s="31">
        <f>Jitta!F18</f>
        <v>3436</v>
      </c>
      <c r="G22" s="31">
        <f>Jitta!G18</f>
        <v>3626</v>
      </c>
      <c r="H22" s="31">
        <f>Jitta!H18</f>
        <v>3944</v>
      </c>
      <c r="I22" s="31">
        <f>Jitta!I18</f>
        <v>4152</v>
      </c>
      <c r="J22" s="31">
        <f>Jitta!J18</f>
        <v>0</v>
      </c>
      <c r="K22" s="31">
        <f>Jitta!K18</f>
        <v>0</v>
      </c>
      <c r="L22" s="36"/>
      <c r="M22" s="31">
        <f>Jitta!L18</f>
        <v>960</v>
      </c>
      <c r="N22" s="31">
        <f>Jitta!M18</f>
        <v>1056</v>
      </c>
      <c r="O22" s="31">
        <f>Jitta!N18</f>
        <v>923.1</v>
      </c>
      <c r="P22" s="31">
        <f>Jitta!O18</f>
        <v>1079</v>
      </c>
      <c r="Q22" s="31">
        <f>Jitta!P18</f>
        <v>971.6</v>
      </c>
      <c r="R22" s="31">
        <f>Jitta!Q18</f>
        <v>1129</v>
      </c>
      <c r="S22" s="31">
        <f>Jitta!R18</f>
        <v>972.1</v>
      </c>
      <c r="T22" s="31">
        <f>Jitta!S18</f>
        <v>1081</v>
      </c>
      <c r="U22" s="31">
        <f>Jitta!T18</f>
        <v>725</v>
      </c>
      <c r="V22" s="31">
        <f>Jitta!U18</f>
        <v>1055</v>
      </c>
    </row>
    <row r="23" spans="1:22">
      <c r="A23" s="37" t="str">
        <f>Jitta!A19</f>
        <v>EBITDA</v>
      </c>
      <c r="B23" s="31">
        <f>Jitta!B19</f>
        <v>2755</v>
      </c>
      <c r="C23" s="31">
        <f>Jitta!C19</f>
        <v>4083</v>
      </c>
      <c r="D23" s="31">
        <f>Jitta!D19</f>
        <v>4052</v>
      </c>
      <c r="E23" s="31">
        <f>Jitta!E19</f>
        <v>4544</v>
      </c>
      <c r="F23" s="31">
        <f>Jitta!F19</f>
        <v>5355</v>
      </c>
      <c r="G23" s="31">
        <f>Jitta!G19</f>
        <v>5630</v>
      </c>
      <c r="H23" s="31">
        <f>Jitta!H19</f>
        <v>6070</v>
      </c>
      <c r="I23" s="31">
        <f>Jitta!I19</f>
        <v>6289</v>
      </c>
      <c r="J23" s="31">
        <f>Jitta!J19</f>
        <v>0</v>
      </c>
      <c r="K23" s="31">
        <f>Jitta!K19</f>
        <v>0</v>
      </c>
      <c r="L23" s="36"/>
      <c r="M23" s="31">
        <f>Jitta!L19</f>
        <v>1513</v>
      </c>
      <c r="N23" s="31">
        <f>Jitta!M19</f>
        <v>1618</v>
      </c>
      <c r="O23" s="31">
        <f>Jitta!N19</f>
        <v>1384</v>
      </c>
      <c r="P23" s="31">
        <f>Jitta!O19</f>
        <v>1676</v>
      </c>
      <c r="Q23" s="31">
        <f>Jitta!P19</f>
        <v>1516</v>
      </c>
      <c r="R23" s="31">
        <f>Jitta!Q19</f>
        <v>1689</v>
      </c>
      <c r="S23" s="31">
        <f>Jitta!R19</f>
        <v>1408</v>
      </c>
      <c r="T23" s="31">
        <f>Jitta!S19</f>
        <v>1655</v>
      </c>
      <c r="U23" s="31">
        <f>Jitta!T19</f>
        <v>1215</v>
      </c>
      <c r="V23" s="31">
        <f>Jitta!U19</f>
        <v>1619</v>
      </c>
    </row>
    <row r="24" spans="1:22" ht="9.9499999999999993" customHeight="1">
      <c r="A24" s="27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</row>
    <row r="25" spans="1:22">
      <c r="A25" s="39" t="str">
        <f>Jitta!A20</f>
        <v>Gross Profit Margin</v>
      </c>
      <c r="B25" s="30">
        <f>Jitta!B20</f>
        <v>0.372</v>
      </c>
      <c r="C25" s="30">
        <f>Jitta!C20</f>
        <v>0.41</v>
      </c>
      <c r="D25" s="30">
        <f>Jitta!D20</f>
        <v>0.39500000000000002</v>
      </c>
      <c r="E25" s="30">
        <f>Jitta!E20</f>
        <v>0.40100000000000002</v>
      </c>
      <c r="F25" s="30">
        <f>Jitta!F20</f>
        <v>0.41399999999999998</v>
      </c>
      <c r="G25" s="30">
        <f>Jitta!G20</f>
        <v>0.42499999999999999</v>
      </c>
      <c r="H25" s="30">
        <f>Jitta!H20</f>
        <v>0.437</v>
      </c>
      <c r="I25" s="30">
        <f>Jitta!I20</f>
        <v>0.45800000000000002</v>
      </c>
      <c r="J25" s="30">
        <f>Jitta!J20</f>
        <v>0</v>
      </c>
      <c r="K25" s="30">
        <f>Jitta!K20</f>
        <v>0</v>
      </c>
      <c r="L25" s="35"/>
      <c r="M25" s="30">
        <f>Jitta!L20</f>
        <v>0.438</v>
      </c>
      <c r="N25" s="30">
        <f>Jitta!M20</f>
        <v>0.439</v>
      </c>
      <c r="O25" s="30">
        <f>Jitta!N20</f>
        <v>0.42499999999999999</v>
      </c>
      <c r="P25" s="30">
        <f>Jitta!O20</f>
        <v>0.45600000000000002</v>
      </c>
      <c r="Q25" s="30">
        <f>Jitta!P20</f>
        <v>0.46</v>
      </c>
      <c r="R25" s="30">
        <f>Jitta!Q20</f>
        <v>0.47499999999999998</v>
      </c>
      <c r="S25" s="30">
        <f>Jitta!R20</f>
        <v>0.442</v>
      </c>
      <c r="T25" s="30">
        <f>Jitta!S20</f>
        <v>0.47299999999999998</v>
      </c>
      <c r="U25" s="30">
        <f>Jitta!T20</f>
        <v>0.42299999999999999</v>
      </c>
      <c r="V25" s="30">
        <f>Jitta!U20</f>
        <v>0.46500000000000002</v>
      </c>
    </row>
    <row r="26" spans="1:22">
      <c r="A26" s="39" t="str">
        <f>Jitta!A21</f>
        <v>Operating Margin</v>
      </c>
      <c r="B26" s="30">
        <f>Jitta!B21</f>
        <v>0.191</v>
      </c>
      <c r="C26" s="30">
        <f>Jitta!C21</f>
        <v>0.246</v>
      </c>
      <c r="D26" s="30">
        <f>Jitta!D21</f>
        <v>0.222</v>
      </c>
      <c r="E26" s="30">
        <f>Jitta!E21</f>
        <v>0.22500000000000001</v>
      </c>
      <c r="F26" s="30">
        <f>Jitta!F21</f>
        <v>0.245</v>
      </c>
      <c r="G26" s="30">
        <f>Jitta!G21</f>
        <v>0.252</v>
      </c>
      <c r="H26" s="30">
        <f>Jitta!H21</f>
        <v>0.27</v>
      </c>
      <c r="I26" s="30">
        <f>Jitta!I21</f>
        <v>0.28100000000000003</v>
      </c>
      <c r="J26" s="30">
        <f>Jitta!J21</f>
        <v>0</v>
      </c>
      <c r="K26" s="30">
        <f>Jitta!K21</f>
        <v>0</v>
      </c>
      <c r="L26" s="35"/>
      <c r="M26" s="30">
        <f>Jitta!L21</f>
        <v>0.27600000000000002</v>
      </c>
      <c r="N26" s="30">
        <f>Jitta!M21</f>
        <v>0.27200000000000002</v>
      </c>
      <c r="O26" s="30">
        <f>Jitta!N21</f>
        <v>0.249</v>
      </c>
      <c r="P26" s="30">
        <f>Jitta!O21</f>
        <v>0.29299999999999998</v>
      </c>
      <c r="Q26" s="30">
        <f>Jitta!P21</f>
        <v>0.28399999999999997</v>
      </c>
      <c r="R26" s="30">
        <f>Jitta!Q21</f>
        <v>0.29399999999999998</v>
      </c>
      <c r="S26" s="30">
        <f>Jitta!R21</f>
        <v>0.252</v>
      </c>
      <c r="T26" s="30">
        <f>Jitta!S21</f>
        <v>0.28699999999999998</v>
      </c>
      <c r="U26" s="30">
        <f>Jitta!T21</f>
        <v>0.20799999999999999</v>
      </c>
      <c r="V26" s="30">
        <f>Jitta!U21</f>
        <v>0.27300000000000002</v>
      </c>
    </row>
    <row r="27" spans="1:22">
      <c r="A27" s="39" t="str">
        <f>Jitta!A22</f>
        <v>Net Profit Margin</v>
      </c>
      <c r="B27" s="30">
        <f>Jitta!B22</f>
        <v>0.14099999999999999</v>
      </c>
      <c r="C27" s="30">
        <f>Jitta!C22</f>
        <v>0.183</v>
      </c>
      <c r="D27" s="30">
        <f>Jitta!D22</f>
        <v>0.17299999999999999</v>
      </c>
      <c r="E27" s="30">
        <f>Jitta!E22</f>
        <v>0.17199999999999999</v>
      </c>
      <c r="F27" s="30">
        <f>Jitta!F22</f>
        <v>0.192</v>
      </c>
      <c r="G27" s="30">
        <f>Jitta!G22</f>
        <v>0.2</v>
      </c>
      <c r="H27" s="30">
        <f>Jitta!H22</f>
        <v>0.216</v>
      </c>
      <c r="I27" s="30">
        <f>Jitta!I22</f>
        <v>0.224</v>
      </c>
      <c r="J27" s="30">
        <f>Jitta!J22</f>
        <v>0</v>
      </c>
      <c r="K27" s="30">
        <f>Jitta!K22</f>
        <v>0</v>
      </c>
      <c r="L27" s="35"/>
      <c r="M27" s="30">
        <f>Jitta!L22</f>
        <v>0.218</v>
      </c>
      <c r="N27" s="30">
        <f>Jitta!M22</f>
        <v>0.218</v>
      </c>
      <c r="O27" s="30">
        <f>Jitta!N22</f>
        <v>0.20100000000000001</v>
      </c>
      <c r="P27" s="30">
        <f>Jitta!O22</f>
        <v>0.23</v>
      </c>
      <c r="Q27" s="30">
        <f>Jitta!P22</f>
        <v>0.22500000000000001</v>
      </c>
      <c r="R27" s="30">
        <f>Jitta!Q22</f>
        <v>0.23699999999999999</v>
      </c>
      <c r="S27" s="30">
        <f>Jitta!R22</f>
        <v>0.20399999999999999</v>
      </c>
      <c r="T27" s="30">
        <f>Jitta!S22</f>
        <v>0.22800000000000001</v>
      </c>
      <c r="U27" s="30">
        <f>Jitta!T22</f>
        <v>0.16700000000000001</v>
      </c>
      <c r="V27" s="30">
        <f>Jitta!U22</f>
        <v>0.22</v>
      </c>
    </row>
    <row r="28" spans="1:22" ht="9.9499999999999993" customHeight="1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5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2">
      <c r="A29" s="38" t="str">
        <f>Jitta!A23</f>
        <v>Return on Assets</v>
      </c>
      <c r="B29" s="30">
        <f>Jitta!B23</f>
        <v>0.14000000000000001</v>
      </c>
      <c r="C29" s="30">
        <f>Jitta!C23</f>
        <v>0.17399999999999999</v>
      </c>
      <c r="D29" s="30">
        <f>Jitta!D23</f>
        <v>0.152</v>
      </c>
      <c r="E29" s="30">
        <f>Jitta!E23</f>
        <v>0.15</v>
      </c>
      <c r="F29" s="30">
        <f>Jitta!F23</f>
        <v>0.17</v>
      </c>
      <c r="G29" s="30">
        <f>Jitta!G23</f>
        <v>0.17</v>
      </c>
      <c r="H29" s="30">
        <f>Jitta!H23</f>
        <v>0.17599999999999999</v>
      </c>
      <c r="I29" s="30">
        <f>Jitta!I23</f>
        <v>0.17199999999999999</v>
      </c>
      <c r="J29" s="30">
        <f>Jitta!J23</f>
        <v>0</v>
      </c>
      <c r="K29" s="30">
        <f>Jitta!K23</f>
        <v>0</v>
      </c>
      <c r="L29" s="35"/>
      <c r="M29" s="30">
        <f>Jitta!L23</f>
        <v>0.16800000000000001</v>
      </c>
      <c r="N29" s="30">
        <f>Jitta!M23</f>
        <v>0.17199999999999999</v>
      </c>
      <c r="O29" s="30">
        <f>Jitta!N23</f>
        <v>0.17199999999999999</v>
      </c>
      <c r="P29" s="30">
        <f>Jitta!O23</f>
        <v>0.16500000000000001</v>
      </c>
      <c r="Q29" s="30">
        <f>Jitta!P23</f>
        <v>0.16300000000000001</v>
      </c>
      <c r="R29" s="30">
        <f>Jitta!Q23</f>
        <v>0.16900000000000001</v>
      </c>
      <c r="S29" s="30">
        <f>Jitta!R23</f>
        <v>0.16900000000000001</v>
      </c>
      <c r="T29" s="30">
        <f>Jitta!S23</f>
        <v>0.16400000000000001</v>
      </c>
      <c r="U29" s="30">
        <f>Jitta!T23</f>
        <v>0.153</v>
      </c>
      <c r="V29" s="30">
        <f>Jitta!U23</f>
        <v>0.152</v>
      </c>
    </row>
    <row r="30" spans="1:22">
      <c r="A30" s="38" t="str">
        <f>Jitta!A24</f>
        <v>Return on Equity</v>
      </c>
      <c r="B30" s="30">
        <f>Jitta!B24</f>
        <v>0.23599999999999999</v>
      </c>
      <c r="C30" s="30">
        <f>Jitta!C24</f>
        <v>0.30099999999999999</v>
      </c>
      <c r="D30" s="30">
        <f>Jitta!D24</f>
        <v>0.26300000000000001</v>
      </c>
      <c r="E30" s="30">
        <f>Jitta!E24</f>
        <v>0.251</v>
      </c>
      <c r="F30" s="30">
        <f>Jitta!F24</f>
        <v>0.27</v>
      </c>
      <c r="G30" s="30">
        <f>Jitta!G24</f>
        <v>0.251</v>
      </c>
      <c r="H30" s="30">
        <f>Jitta!H24</f>
        <v>0.24</v>
      </c>
      <c r="I30" s="30">
        <f>Jitta!I24</f>
        <v>0.22500000000000001</v>
      </c>
      <c r="J30" s="30">
        <f>Jitta!J24</f>
        <v>0</v>
      </c>
      <c r="K30" s="30">
        <f>Jitta!K24</f>
        <v>0</v>
      </c>
      <c r="L30" s="35"/>
      <c r="M30" s="30">
        <f>Jitta!L24</f>
        <v>6.3E-2</v>
      </c>
      <c r="N30" s="30">
        <f>Jitta!M24</f>
        <v>6.8000000000000005E-2</v>
      </c>
      <c r="O30" s="30">
        <f>Jitta!N24</f>
        <v>5.6000000000000001E-2</v>
      </c>
      <c r="P30" s="30">
        <f>Jitta!O24</f>
        <v>6.2E-2</v>
      </c>
      <c r="Q30" s="30">
        <f>Jitta!P24</f>
        <v>5.7000000000000002E-2</v>
      </c>
      <c r="R30" s="30">
        <f>Jitta!Q24</f>
        <v>6.5000000000000002E-2</v>
      </c>
      <c r="S30" s="30">
        <f>Jitta!R24</f>
        <v>5.2999999999999999E-2</v>
      </c>
      <c r="T30" s="30">
        <f>Jitta!S24</f>
        <v>5.5E-2</v>
      </c>
      <c r="U30" s="30">
        <f>Jitta!T24</f>
        <v>3.7999999999999999E-2</v>
      </c>
      <c r="V30" s="30">
        <f>Jitta!U24</f>
        <v>5.5E-2</v>
      </c>
    </row>
    <row r="31" spans="1:22">
      <c r="A31" s="38" t="str">
        <f>Jitta!A25</f>
        <v>Return on Total Capital</v>
      </c>
      <c r="B31" s="30">
        <f>Jitta!B25</f>
        <v>0.13600000000000001</v>
      </c>
      <c r="C31" s="30">
        <f>Jitta!C25</f>
        <v>0.19</v>
      </c>
      <c r="D31" s="30">
        <f>Jitta!D25</f>
        <v>0.17100000000000001</v>
      </c>
      <c r="E31" s="30">
        <f>Jitta!E25</f>
        <v>0.17</v>
      </c>
      <c r="F31" s="30">
        <f>Jitta!F25</f>
        <v>0.21</v>
      </c>
      <c r="G31" s="30">
        <f>Jitta!G25</f>
        <v>0.2</v>
      </c>
      <c r="H31" s="30">
        <f>Jitta!H25</f>
        <v>0.20899999999999999</v>
      </c>
      <c r="I31" s="30">
        <f>Jitta!I25</f>
        <v>0.19800000000000001</v>
      </c>
      <c r="J31" s="30">
        <f>Jitta!J25</f>
        <v>0</v>
      </c>
      <c r="K31" s="30">
        <f>Jitta!K25</f>
        <v>0</v>
      </c>
      <c r="L31" s="35"/>
      <c r="M31" s="30">
        <f>Jitta!L25</f>
        <v>0.19800000000000001</v>
      </c>
      <c r="N31" s="30">
        <f>Jitta!M25</f>
        <v>0.2</v>
      </c>
      <c r="O31" s="30">
        <f>Jitta!N25</f>
        <v>0.20899999999999999</v>
      </c>
      <c r="P31" s="30">
        <f>Jitta!O25</f>
        <v>0.20100000000000001</v>
      </c>
      <c r="Q31" s="30">
        <f>Jitta!P25</f>
        <v>0.20399999999999999</v>
      </c>
      <c r="R31" s="30">
        <f>Jitta!Q25</f>
        <v>0.20499999999999999</v>
      </c>
      <c r="S31" s="30">
        <f>Jitta!R25</f>
        <v>0.19800000000000001</v>
      </c>
      <c r="T31" s="30">
        <f>Jitta!S25</f>
        <v>0.189</v>
      </c>
      <c r="U31" s="30">
        <f>Jitta!T25</f>
        <v>0.182</v>
      </c>
      <c r="V31" s="30">
        <f>Jitta!U25</f>
        <v>0.17699999999999999</v>
      </c>
    </row>
    <row r="32" spans="1:22" ht="9.9499999999999993" customHeight="1">
      <c r="A32" s="27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</row>
    <row r="33" spans="1:22">
      <c r="A33" s="26" t="str">
        <f>Jitta!A26</f>
        <v>SG&amp;A to Sale</v>
      </c>
      <c r="B33" s="30">
        <f>Jitta!B26</f>
        <v>0.18099999999999999</v>
      </c>
      <c r="C33" s="30">
        <f>Jitta!C26</f>
        <v>0.16400000000000001</v>
      </c>
      <c r="D33" s="30">
        <f>Jitta!D26</f>
        <v>0.17299999999999999</v>
      </c>
      <c r="E33" s="30">
        <f>Jitta!E26</f>
        <v>0.17699999999999999</v>
      </c>
      <c r="F33" s="30">
        <f>Jitta!F26</f>
        <v>0.16900000000000001</v>
      </c>
      <c r="G33" s="30">
        <f>Jitta!G26</f>
        <v>0.17299999999999999</v>
      </c>
      <c r="H33" s="30">
        <f>Jitta!H26</f>
        <v>0.16700000000000001</v>
      </c>
      <c r="I33" s="30">
        <f>Jitta!I26</f>
        <v>0.17699999999999999</v>
      </c>
      <c r="J33" s="30">
        <f>Jitta!J26</f>
        <v>0</v>
      </c>
      <c r="K33" s="30">
        <f>Jitta!K26</f>
        <v>0</v>
      </c>
      <c r="L33" s="35"/>
      <c r="M33" s="30">
        <f>Jitta!L26</f>
        <v>0.16200000000000001</v>
      </c>
      <c r="N33" s="30">
        <f>Jitta!M26</f>
        <v>0.16600000000000001</v>
      </c>
      <c r="O33" s="30">
        <f>Jitta!N26</f>
        <v>0.17599999999999999</v>
      </c>
      <c r="P33" s="30">
        <f>Jitta!O26</f>
        <v>0.16300000000000001</v>
      </c>
      <c r="Q33" s="30">
        <f>Jitta!P26</f>
        <v>0.17599999999999999</v>
      </c>
      <c r="R33" s="30">
        <f>Jitta!Q26</f>
        <v>0.18</v>
      </c>
      <c r="S33" s="30">
        <f>Jitta!R26</f>
        <v>0.189</v>
      </c>
      <c r="T33" s="30">
        <f>Jitta!S26</f>
        <v>0.186</v>
      </c>
      <c r="U33" s="30">
        <f>Jitta!T26</f>
        <v>0.215</v>
      </c>
      <c r="V33" s="30">
        <f>Jitta!U26</f>
        <v>0.192</v>
      </c>
    </row>
    <row r="34" spans="1:22">
      <c r="A34" s="26" t="str">
        <f>Jitta!A27</f>
        <v>Depreciation &amp; Amortisation</v>
      </c>
      <c r="B34" s="31">
        <f>Jitta!B27</f>
        <v>599.20000000000005</v>
      </c>
      <c r="C34" s="31">
        <f>Jitta!C27</f>
        <v>647.9</v>
      </c>
      <c r="D34" s="31">
        <f>Jitta!D27</f>
        <v>818.2</v>
      </c>
      <c r="E34" s="31">
        <f>Jitta!E27</f>
        <v>981.7</v>
      </c>
      <c r="F34" s="31">
        <f>Jitta!F27</f>
        <v>976.4</v>
      </c>
      <c r="G34" s="31">
        <f>Jitta!G27</f>
        <v>1061</v>
      </c>
      <c r="H34" s="31">
        <f>Jitta!H27</f>
        <v>1132</v>
      </c>
      <c r="I34" s="31">
        <f>Jitta!I27</f>
        <v>1083</v>
      </c>
      <c r="J34" s="31">
        <f>Jitta!J27</f>
        <v>0</v>
      </c>
      <c r="K34" s="31">
        <f>Jitta!K27</f>
        <v>0</v>
      </c>
      <c r="L34" s="36"/>
      <c r="M34" s="31">
        <f>Jitta!L27</f>
        <v>296.39999999999998</v>
      </c>
      <c r="N34" s="31">
        <f>Jitta!M27</f>
        <v>301.8</v>
      </c>
      <c r="O34" s="31">
        <f>Jitta!N27</f>
        <v>238.2</v>
      </c>
      <c r="P34" s="31">
        <f>Jitta!O27</f>
        <v>301.60000000000002</v>
      </c>
      <c r="Q34" s="31">
        <f>Jitta!P27</f>
        <v>290.8</v>
      </c>
      <c r="R34" s="31">
        <f>Jitta!Q27</f>
        <v>287.8</v>
      </c>
      <c r="S34" s="31">
        <f>Jitta!R27</f>
        <v>202.4</v>
      </c>
      <c r="T34" s="31">
        <f>Jitta!S27</f>
        <v>297.7</v>
      </c>
      <c r="U34" s="31">
        <f>Jitta!T27</f>
        <v>309.8</v>
      </c>
      <c r="V34" s="31">
        <f>Jitta!U27</f>
        <v>307.89999999999998</v>
      </c>
    </row>
    <row r="35" spans="1:22">
      <c r="A35" s="26" t="str">
        <f>Jitta!A28</f>
        <v>Tax Rate</v>
      </c>
      <c r="B35" s="30">
        <f>Jitta!B28</f>
        <v>0.24199999999999999</v>
      </c>
      <c r="C35" s="30">
        <f>Jitta!C28</f>
        <v>0.23799999999999999</v>
      </c>
      <c r="D35" s="30">
        <f>Jitta!D28</f>
        <v>0.19900000000000001</v>
      </c>
      <c r="E35" s="30">
        <f>Jitta!E28</f>
        <v>0.2</v>
      </c>
      <c r="F35" s="30">
        <f>Jitta!F28</f>
        <v>0.19400000000000001</v>
      </c>
      <c r="G35" s="30">
        <f>Jitta!G28</f>
        <v>0.17699999999999999</v>
      </c>
      <c r="H35" s="30">
        <f>Jitta!H28</f>
        <v>0.17599999999999999</v>
      </c>
      <c r="I35" s="30">
        <f>Jitta!I28</f>
        <v>0.17499999999999999</v>
      </c>
      <c r="J35" s="30">
        <f>Jitta!J28</f>
        <v>0</v>
      </c>
      <c r="K35" s="30">
        <f>Jitta!K28</f>
        <v>0</v>
      </c>
      <c r="L35" s="35"/>
      <c r="M35" s="30">
        <f>Jitta!L28</f>
        <v>0.184</v>
      </c>
      <c r="N35" s="30">
        <f>Jitta!M28</f>
        <v>0.17399999999999999</v>
      </c>
      <c r="O35" s="30">
        <f>Jitta!N28</f>
        <v>0.16400000000000001</v>
      </c>
      <c r="P35" s="30">
        <f>Jitta!O28</f>
        <v>0.187</v>
      </c>
      <c r="Q35" s="30">
        <f>Jitta!P28</f>
        <v>0.17899999999999999</v>
      </c>
      <c r="R35" s="30">
        <f>Jitta!Q28</f>
        <v>0.16800000000000001</v>
      </c>
      <c r="S35" s="30">
        <f>Jitta!R28</f>
        <v>0.16500000000000001</v>
      </c>
      <c r="T35" s="30">
        <f>Jitta!S28</f>
        <v>0.183</v>
      </c>
      <c r="U35" s="30">
        <f>Jitta!T28</f>
        <v>0.161</v>
      </c>
      <c r="V35" s="30">
        <f>Jitta!U28</f>
        <v>0.17</v>
      </c>
    </row>
    <row r="36" spans="1:22" ht="9.9499999999999993" customHeight="1">
      <c r="A36" s="27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</row>
    <row r="37" spans="1:22">
      <c r="A37" s="37" t="str">
        <f>Jitta!A29</f>
        <v>Current Ratio</v>
      </c>
      <c r="B37" s="28">
        <f>Jitta!B29</f>
        <v>1.8</v>
      </c>
      <c r="C37" s="28">
        <f>Jitta!C29</f>
        <v>3.59</v>
      </c>
      <c r="D37" s="28">
        <f>Jitta!D29</f>
        <v>3.49</v>
      </c>
      <c r="E37" s="28">
        <f>Jitta!E29</f>
        <v>3.66</v>
      </c>
      <c r="F37" s="28">
        <f>Jitta!F29</f>
        <v>2.4900000000000002</v>
      </c>
      <c r="G37" s="28">
        <f>Jitta!G29</f>
        <v>3.73</v>
      </c>
      <c r="H37" s="28">
        <f>Jitta!H29</f>
        <v>2.89</v>
      </c>
      <c r="I37" s="28">
        <f>Jitta!I29</f>
        <v>4.2</v>
      </c>
      <c r="J37" s="28">
        <f>Jitta!J29</f>
        <v>0</v>
      </c>
      <c r="K37" s="28">
        <f>Jitta!K29</f>
        <v>0</v>
      </c>
      <c r="L37" s="33"/>
      <c r="M37" s="28">
        <f>Jitta!L29</f>
        <v>4.1500000000000004</v>
      </c>
      <c r="N37" s="28">
        <f>Jitta!M29</f>
        <v>4.1500000000000004</v>
      </c>
      <c r="O37" s="28">
        <f>Jitta!N29</f>
        <v>2.89</v>
      </c>
      <c r="P37" s="28">
        <f>Jitta!O29</f>
        <v>2.84</v>
      </c>
      <c r="Q37" s="28">
        <f>Jitta!P29</f>
        <v>3.23</v>
      </c>
      <c r="R37" s="28">
        <f>Jitta!Q29</f>
        <v>3.29</v>
      </c>
      <c r="S37" s="28">
        <f>Jitta!R29</f>
        <v>4.2</v>
      </c>
      <c r="T37" s="28">
        <f>Jitta!S29</f>
        <v>3.72</v>
      </c>
      <c r="U37" s="28">
        <f>Jitta!T29</f>
        <v>4.3</v>
      </c>
      <c r="V37" s="28">
        <f>Jitta!U29</f>
        <v>3.94</v>
      </c>
    </row>
    <row r="38" spans="1:22">
      <c r="A38" s="37" t="str">
        <f>Jitta!A30</f>
        <v>Quick Ratio</v>
      </c>
      <c r="B38" s="28">
        <f>Jitta!B30</f>
        <v>0.74</v>
      </c>
      <c r="C38" s="28">
        <f>Jitta!C30</f>
        <v>0.62</v>
      </c>
      <c r="D38" s="28">
        <f>Jitta!D30</f>
        <v>1.85</v>
      </c>
      <c r="E38" s="28">
        <f>Jitta!E30</f>
        <v>1.48</v>
      </c>
      <c r="F38" s="28">
        <f>Jitta!F30</f>
        <v>1.1399999999999999</v>
      </c>
      <c r="G38" s="28">
        <f>Jitta!G30</f>
        <v>1.36</v>
      </c>
      <c r="H38" s="28">
        <f>Jitta!H30</f>
        <v>2.09</v>
      </c>
      <c r="I38" s="28">
        <f>Jitta!I30</f>
        <v>3.14</v>
      </c>
      <c r="J38" s="28">
        <f>Jitta!J30</f>
        <v>0</v>
      </c>
      <c r="K38" s="28">
        <f>Jitta!K30</f>
        <v>0</v>
      </c>
      <c r="L38" s="33"/>
      <c r="M38" s="28">
        <f>Jitta!L30</f>
        <v>2.06</v>
      </c>
      <c r="N38" s="28">
        <f>Jitta!M30</f>
        <v>3.1</v>
      </c>
      <c r="O38" s="28">
        <f>Jitta!N30</f>
        <v>2.09</v>
      </c>
      <c r="P38" s="28">
        <f>Jitta!O30</f>
        <v>1.7</v>
      </c>
      <c r="Q38" s="28">
        <f>Jitta!P30</f>
        <v>2.1800000000000002</v>
      </c>
      <c r="R38" s="28">
        <f>Jitta!Q30</f>
        <v>2.59</v>
      </c>
      <c r="S38" s="28">
        <f>Jitta!R30</f>
        <v>3.14</v>
      </c>
      <c r="T38" s="28">
        <f>Jitta!S30</f>
        <v>2.93</v>
      </c>
      <c r="U38" s="28">
        <f>Jitta!T30</f>
        <v>3.2</v>
      </c>
      <c r="V38" s="28">
        <f>Jitta!U30</f>
        <v>2.92</v>
      </c>
    </row>
    <row r="39" spans="1:22">
      <c r="A39" s="37" t="str">
        <f>Jitta!A31</f>
        <v>Days Inventory Outstanding</v>
      </c>
      <c r="B39" s="28">
        <f>Jitta!B31</f>
        <v>12.5</v>
      </c>
      <c r="C39" s="28">
        <f>Jitta!C31</f>
        <v>11.1</v>
      </c>
      <c r="D39" s="28">
        <f>Jitta!D31</f>
        <v>11.1</v>
      </c>
      <c r="E39" s="28">
        <f>Jitta!E31</f>
        <v>11.5</v>
      </c>
      <c r="F39" s="28">
        <f>Jitta!F31</f>
        <v>10.5</v>
      </c>
      <c r="G39" s="28">
        <f>Jitta!G31</f>
        <v>10.9</v>
      </c>
      <c r="H39" s="28">
        <f>Jitta!H31</f>
        <v>11</v>
      </c>
      <c r="I39" s="28">
        <f>Jitta!I31</f>
        <v>12.7</v>
      </c>
      <c r="J39" s="28">
        <f>Jitta!J31</f>
        <v>0</v>
      </c>
      <c r="K39" s="28">
        <f>Jitta!K31</f>
        <v>0</v>
      </c>
      <c r="L39" s="33"/>
      <c r="M39" s="28">
        <f>Jitta!L31</f>
        <v>10.4</v>
      </c>
      <c r="N39" s="28">
        <f>Jitta!M31</f>
        <v>10.6</v>
      </c>
      <c r="O39" s="28">
        <f>Jitta!N31</f>
        <v>10.6</v>
      </c>
      <c r="P39" s="28">
        <f>Jitta!O31</f>
        <v>14.4</v>
      </c>
      <c r="Q39" s="28">
        <f>Jitta!P31</f>
        <v>15.9</v>
      </c>
      <c r="R39" s="28">
        <f>Jitta!Q31</f>
        <v>14</v>
      </c>
      <c r="S39" s="28">
        <f>Jitta!R31</f>
        <v>14.2</v>
      </c>
      <c r="T39" s="28">
        <f>Jitta!S31</f>
        <v>13.4</v>
      </c>
      <c r="U39" s="28">
        <f>Jitta!T31</f>
        <v>11.8</v>
      </c>
      <c r="V39" s="28">
        <f>Jitta!U31</f>
        <v>11.1</v>
      </c>
    </row>
    <row r="40" spans="1:22">
      <c r="A40" s="37" t="str">
        <f>Jitta!A32</f>
        <v>Days Sale Outstanding</v>
      </c>
      <c r="B40" s="28">
        <f>Jitta!B32</f>
        <v>36.200000000000003</v>
      </c>
      <c r="C40" s="28">
        <f>Jitta!C32</f>
        <v>34.4</v>
      </c>
      <c r="D40" s="28">
        <f>Jitta!D32</f>
        <v>32.200000000000003</v>
      </c>
      <c r="E40" s="28">
        <f>Jitta!E32</f>
        <v>34.9</v>
      </c>
      <c r="F40" s="28">
        <f>Jitta!F32</f>
        <v>47.2</v>
      </c>
      <c r="G40" s="28">
        <f>Jitta!G32</f>
        <v>34.200000000000003</v>
      </c>
      <c r="H40" s="28">
        <f>Jitta!H32</f>
        <v>36.299999999999997</v>
      </c>
      <c r="I40" s="28">
        <f>Jitta!I32</f>
        <v>50.4</v>
      </c>
      <c r="J40" s="28">
        <f>Jitta!J32</f>
        <v>0</v>
      </c>
      <c r="K40" s="28">
        <f>Jitta!K32</f>
        <v>0</v>
      </c>
      <c r="L40" s="33"/>
      <c r="M40" s="28">
        <f>Jitta!L32</f>
        <v>29.6</v>
      </c>
      <c r="N40" s="28">
        <f>Jitta!M32</f>
        <v>32.5</v>
      </c>
      <c r="O40" s="28">
        <f>Jitta!N32</f>
        <v>36.299999999999997</v>
      </c>
      <c r="P40" s="28">
        <f>Jitta!O32</f>
        <v>37.200000000000003</v>
      </c>
      <c r="Q40" s="28">
        <f>Jitta!P32</f>
        <v>41.1</v>
      </c>
      <c r="R40" s="28">
        <f>Jitta!Q32</f>
        <v>45.1</v>
      </c>
      <c r="S40" s="28">
        <f>Jitta!R32</f>
        <v>50.4</v>
      </c>
      <c r="T40" s="28">
        <f>Jitta!S32</f>
        <v>48.2</v>
      </c>
      <c r="U40" s="28">
        <f>Jitta!T32</f>
        <v>47.7</v>
      </c>
      <c r="V40" s="28">
        <f>Jitta!U32</f>
        <v>44.2</v>
      </c>
    </row>
    <row r="41" spans="1:22">
      <c r="A41" s="37" t="str">
        <f>Jitta!A33</f>
        <v>Days Payable Outstanding</v>
      </c>
      <c r="B41" s="28">
        <f>Jitta!B33</f>
        <v>28.5</v>
      </c>
      <c r="C41" s="28">
        <f>Jitta!C33</f>
        <v>26.7</v>
      </c>
      <c r="D41" s="28">
        <f>Jitta!D33</f>
        <v>27.8</v>
      </c>
      <c r="E41" s="28">
        <f>Jitta!E33</f>
        <v>27.8</v>
      </c>
      <c r="F41" s="28">
        <f>Jitta!F33</f>
        <v>26.3</v>
      </c>
      <c r="G41" s="28">
        <f>Jitta!G33</f>
        <v>26.1</v>
      </c>
      <c r="H41" s="28">
        <f>Jitta!H33</f>
        <v>26.5</v>
      </c>
      <c r="I41" s="28">
        <f>Jitta!I33</f>
        <v>28</v>
      </c>
      <c r="J41" s="28">
        <f>Jitta!J33</f>
        <v>0</v>
      </c>
      <c r="K41" s="28">
        <f>Jitta!K33</f>
        <v>0</v>
      </c>
      <c r="L41" s="33"/>
      <c r="M41" s="28">
        <f>Jitta!L33</f>
        <v>25.6</v>
      </c>
      <c r="N41" s="28">
        <f>Jitta!M33</f>
        <v>26.3</v>
      </c>
      <c r="O41" s="28">
        <f>Jitta!N33</f>
        <v>26.5</v>
      </c>
      <c r="P41" s="28">
        <f>Jitta!O33</f>
        <v>29.9</v>
      </c>
      <c r="Q41" s="28">
        <f>Jitta!P33</f>
        <v>27.3</v>
      </c>
      <c r="R41" s="28">
        <f>Jitta!Q33</f>
        <v>23.2</v>
      </c>
      <c r="S41" s="28">
        <f>Jitta!R33</f>
        <v>26.8</v>
      </c>
      <c r="T41" s="28">
        <f>Jitta!S33</f>
        <v>26.4</v>
      </c>
      <c r="U41" s="28">
        <f>Jitta!T33</f>
        <v>23.6</v>
      </c>
      <c r="V41" s="28">
        <f>Jitta!U33</f>
        <v>24</v>
      </c>
    </row>
    <row r="42" spans="1:22">
      <c r="A42" s="37" t="str">
        <f>Jitta!A34</f>
        <v>Cash Conversion Cycle</v>
      </c>
      <c r="B42" s="28">
        <f>Jitta!B34</f>
        <v>18</v>
      </c>
      <c r="C42" s="28">
        <f>Jitta!C34</f>
        <v>16.2</v>
      </c>
      <c r="D42" s="28">
        <f>Jitta!D34</f>
        <v>15.7</v>
      </c>
      <c r="E42" s="28">
        <f>Jitta!E34</f>
        <v>15.2</v>
      </c>
      <c r="F42" s="28">
        <f>Jitta!F34</f>
        <v>23.8</v>
      </c>
      <c r="G42" s="28">
        <f>Jitta!G34</f>
        <v>25.9</v>
      </c>
      <c r="H42" s="28">
        <f>Jitta!H34</f>
        <v>19.600000000000001</v>
      </c>
      <c r="I42" s="28">
        <f>Jitta!I34</f>
        <v>27.8</v>
      </c>
      <c r="J42" s="28">
        <f>Jitta!J34</f>
        <v>0</v>
      </c>
      <c r="K42" s="28">
        <f>Jitta!K34</f>
        <v>0</v>
      </c>
      <c r="L42" s="33"/>
      <c r="M42" s="28">
        <f>Jitta!L34</f>
        <v>13.6</v>
      </c>
      <c r="N42" s="28">
        <f>Jitta!M34</f>
        <v>15.4</v>
      </c>
      <c r="O42" s="28">
        <f>Jitta!N34</f>
        <v>18.3</v>
      </c>
      <c r="P42" s="28">
        <f>Jitta!O34</f>
        <v>18.100000000000001</v>
      </c>
      <c r="Q42" s="28">
        <f>Jitta!P34</f>
        <v>34.700000000000003</v>
      </c>
      <c r="R42" s="28">
        <f>Jitta!Q34</f>
        <v>32.5</v>
      </c>
      <c r="S42" s="28">
        <f>Jitta!R34</f>
        <v>33.700000000000003</v>
      </c>
      <c r="T42" s="28">
        <f>Jitta!S34</f>
        <v>39.1</v>
      </c>
      <c r="U42" s="28">
        <f>Jitta!T34</f>
        <v>36.700000000000003</v>
      </c>
      <c r="V42" s="28">
        <f>Jitta!U34</f>
        <v>32.9</v>
      </c>
    </row>
    <row r="43" spans="1:22" ht="9.9499999999999993" customHeight="1">
      <c r="A43" s="27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</row>
    <row r="44" spans="1:22">
      <c r="A44" s="39" t="str">
        <f>Jitta!A35</f>
        <v>Debt to Asset Ratio</v>
      </c>
      <c r="B44" s="29">
        <f>Jitta!B35</f>
        <v>0.5</v>
      </c>
      <c r="C44" s="29">
        <f>Jitta!C35</f>
        <v>0.47</v>
      </c>
      <c r="D44" s="29">
        <f>Jitta!D35</f>
        <v>0.44</v>
      </c>
      <c r="E44" s="29">
        <f>Jitta!E35</f>
        <v>0.41</v>
      </c>
      <c r="F44" s="29">
        <f>Jitta!F35</f>
        <v>0.38</v>
      </c>
      <c r="G44" s="29">
        <f>Jitta!G35</f>
        <v>0.31</v>
      </c>
      <c r="H44" s="29">
        <f>Jitta!H35</f>
        <v>0.28999999999999998</v>
      </c>
      <c r="I44" s="29">
        <f>Jitta!I35</f>
        <v>0.24</v>
      </c>
      <c r="J44" s="29">
        <f>Jitta!J35</f>
        <v>0</v>
      </c>
      <c r="K44" s="29">
        <f>Jitta!K35</f>
        <v>0</v>
      </c>
      <c r="L44" s="34"/>
      <c r="M44" s="29">
        <f>Jitta!L35</f>
        <v>0.3</v>
      </c>
      <c r="N44" s="29">
        <f>Jitta!M35</f>
        <v>0.28999999999999998</v>
      </c>
      <c r="O44" s="29">
        <f>Jitta!N35</f>
        <v>0.28999999999999998</v>
      </c>
      <c r="P44" s="29">
        <f>Jitta!O35</f>
        <v>0.3</v>
      </c>
      <c r="Q44" s="29">
        <f>Jitta!P35</f>
        <v>0.28000000000000003</v>
      </c>
      <c r="R44" s="29">
        <f>Jitta!Q35</f>
        <v>0.28000000000000003</v>
      </c>
      <c r="S44" s="29">
        <f>Jitta!R35</f>
        <v>0.24</v>
      </c>
      <c r="T44" s="29">
        <f>Jitta!S35</f>
        <v>0.24</v>
      </c>
      <c r="U44" s="29">
        <f>Jitta!T35</f>
        <v>0.24</v>
      </c>
      <c r="V44" s="29">
        <f>Jitta!U35</f>
        <v>0.23</v>
      </c>
    </row>
    <row r="45" spans="1:22">
      <c r="A45" s="39" t="str">
        <f>Jitta!A36</f>
        <v>Debt to Equity Ratio</v>
      </c>
      <c r="B45" s="29">
        <f>Jitta!B36</f>
        <v>1</v>
      </c>
      <c r="C45" s="29">
        <f>Jitta!C36</f>
        <v>0.88</v>
      </c>
      <c r="D45" s="29">
        <f>Jitta!D36</f>
        <v>0.8</v>
      </c>
      <c r="E45" s="29">
        <f>Jitta!E36</f>
        <v>0.72</v>
      </c>
      <c r="F45" s="29">
        <f>Jitta!F36</f>
        <v>0.64</v>
      </c>
      <c r="G45" s="29">
        <f>Jitta!G36</f>
        <v>0.45</v>
      </c>
      <c r="H45" s="29">
        <f>Jitta!H36</f>
        <v>0.41</v>
      </c>
      <c r="I45" s="29">
        <f>Jitta!I36</f>
        <v>0.33</v>
      </c>
      <c r="J45" s="29">
        <f>Jitta!J36</f>
        <v>0</v>
      </c>
      <c r="K45" s="29">
        <f>Jitta!K36</f>
        <v>0</v>
      </c>
      <c r="L45" s="34"/>
      <c r="M45" s="29">
        <f>Jitta!L36</f>
        <v>0.43</v>
      </c>
      <c r="N45" s="29">
        <f>Jitta!M36</f>
        <v>0.42</v>
      </c>
      <c r="O45" s="29">
        <f>Jitta!N36</f>
        <v>0.41</v>
      </c>
      <c r="P45" s="29">
        <f>Jitta!O36</f>
        <v>0.43</v>
      </c>
      <c r="Q45" s="29">
        <f>Jitta!P36</f>
        <v>0.39</v>
      </c>
      <c r="R45" s="29">
        <f>Jitta!Q36</f>
        <v>0.39</v>
      </c>
      <c r="S45" s="29">
        <f>Jitta!R36</f>
        <v>0.33</v>
      </c>
      <c r="T45" s="29">
        <f>Jitta!S36</f>
        <v>0.32</v>
      </c>
      <c r="U45" s="29">
        <f>Jitta!T36</f>
        <v>0.32</v>
      </c>
      <c r="V45" s="29">
        <f>Jitta!U36</f>
        <v>0.31</v>
      </c>
    </row>
    <row r="46" spans="1:22">
      <c r="A46" s="39" t="str">
        <f>Jitta!A37</f>
        <v>Interest Coverage Ratio</v>
      </c>
      <c r="B46" s="28">
        <f>Jitta!B37</f>
        <v>11.4</v>
      </c>
      <c r="C46" s="28">
        <f>Jitta!C37</f>
        <v>14.3</v>
      </c>
      <c r="D46" s="28">
        <f>Jitta!D37</f>
        <v>21.9</v>
      </c>
      <c r="E46" s="28">
        <f>Jitta!E37</f>
        <v>19.2</v>
      </c>
      <c r="F46" s="28">
        <f>Jitta!F37</f>
        <v>23.5</v>
      </c>
      <c r="G46" s="28">
        <f>Jitta!G37</f>
        <v>21.2</v>
      </c>
      <c r="H46" s="28">
        <f>Jitta!H37</f>
        <v>33</v>
      </c>
      <c r="I46" s="28">
        <f>Jitta!I37</f>
        <v>31.5</v>
      </c>
      <c r="J46" s="28">
        <f>Jitta!J37</f>
        <v>0</v>
      </c>
      <c r="K46" s="28">
        <f>Jitta!K37</f>
        <v>0</v>
      </c>
      <c r="L46" s="33"/>
      <c r="M46" s="28">
        <f>Jitta!L37</f>
        <v>31.4</v>
      </c>
      <c r="N46" s="28">
        <f>Jitta!M37</f>
        <v>36.200000000000003</v>
      </c>
      <c r="O46" s="28">
        <f>Jitta!N37</f>
        <v>32.700000000000003</v>
      </c>
      <c r="P46" s="28">
        <f>Jitta!O37</f>
        <v>35.6</v>
      </c>
      <c r="Q46" s="28">
        <f>Jitta!P37</f>
        <v>29.9</v>
      </c>
      <c r="R46" s="28">
        <f>Jitta!Q37</f>
        <v>32.799999999999997</v>
      </c>
      <c r="S46" s="28">
        <f>Jitta!R37</f>
        <v>28.1</v>
      </c>
      <c r="T46" s="28">
        <f>Jitta!S37</f>
        <v>43.2</v>
      </c>
      <c r="U46" s="28">
        <f>Jitta!T37</f>
        <v>28.6</v>
      </c>
      <c r="V46" s="28">
        <f>Jitta!U37</f>
        <v>41</v>
      </c>
    </row>
    <row r="47" spans="1:22" ht="9.9499999999999993" customHeight="1">
      <c r="A47" s="27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</row>
    <row r="48" spans="1:22">
      <c r="A48" s="38" t="str">
        <f>Jitta!A38</f>
        <v>Cash and Short Term Investments</v>
      </c>
      <c r="B48" s="31">
        <f>Jitta!B38</f>
        <v>1261</v>
      </c>
      <c r="C48" s="31">
        <f>Jitta!C38</f>
        <v>6034</v>
      </c>
      <c r="D48" s="31">
        <f>Jitta!D38</f>
        <v>5857</v>
      </c>
      <c r="E48" s="31">
        <f>Jitta!E38</f>
        <v>6598</v>
      </c>
      <c r="F48" s="31">
        <f>Jitta!F38</f>
        <v>7360</v>
      </c>
      <c r="G48" s="31">
        <f>Jitta!G38</f>
        <v>6677</v>
      </c>
      <c r="H48" s="31">
        <f>Jitta!H38</f>
        <v>8268</v>
      </c>
      <c r="I48" s="31">
        <f>Jitta!I38</f>
        <v>9007</v>
      </c>
      <c r="J48" s="31">
        <f>Jitta!J38</f>
        <v>0</v>
      </c>
      <c r="K48" s="31">
        <f>Jitta!K38</f>
        <v>0</v>
      </c>
      <c r="L48" s="36"/>
      <c r="M48" s="31">
        <f>Jitta!L38</f>
        <v>7816</v>
      </c>
      <c r="N48" s="31">
        <f>Jitta!M38</f>
        <v>7915</v>
      </c>
      <c r="O48" s="31">
        <f>Jitta!N38</f>
        <v>8268</v>
      </c>
      <c r="P48" s="31">
        <f>Jitta!O38</f>
        <v>9642</v>
      </c>
      <c r="Q48" s="31">
        <f>Jitta!P38</f>
        <v>8679</v>
      </c>
      <c r="R48" s="31">
        <f>Jitta!Q38</f>
        <v>9026</v>
      </c>
      <c r="S48" s="31">
        <f>Jitta!R38</f>
        <v>9007</v>
      </c>
      <c r="T48" s="31">
        <f>Jitta!S38</f>
        <v>8459</v>
      </c>
      <c r="U48" s="31">
        <f>Jitta!T38</f>
        <v>8427</v>
      </c>
      <c r="V48" s="31">
        <f>Jitta!U38</f>
        <v>7490</v>
      </c>
    </row>
    <row r="49" spans="1:22">
      <c r="A49" s="38" t="str">
        <f>Jitta!A39</f>
        <v>Total Receivables, Net</v>
      </c>
      <c r="B49" s="31">
        <f>Jitta!B39</f>
        <v>1116</v>
      </c>
      <c r="C49" s="31">
        <f>Jitta!C39</f>
        <v>1319</v>
      </c>
      <c r="D49" s="31">
        <f>Jitta!D39</f>
        <v>1287</v>
      </c>
      <c r="E49" s="31">
        <f>Jitta!E39</f>
        <v>1518</v>
      </c>
      <c r="F49" s="31">
        <f>Jitta!F39</f>
        <v>2312</v>
      </c>
      <c r="G49" s="31">
        <f>Jitta!G39</f>
        <v>1695</v>
      </c>
      <c r="H49" s="31">
        <f>Jitta!H39</f>
        <v>1819</v>
      </c>
      <c r="I49" s="31">
        <f>Jitta!I39</f>
        <v>2561</v>
      </c>
      <c r="J49" s="31">
        <f>Jitta!J39</f>
        <v>0</v>
      </c>
      <c r="K49" s="31">
        <f>Jitta!K39</f>
        <v>0</v>
      </c>
      <c r="L49" s="36"/>
      <c r="M49" s="31">
        <f>Jitta!L39</f>
        <v>1449</v>
      </c>
      <c r="N49" s="31">
        <f>Jitta!M39</f>
        <v>1607</v>
      </c>
      <c r="O49" s="31">
        <f>Jitta!N39</f>
        <v>1819</v>
      </c>
      <c r="P49" s="31">
        <f>Jitta!O39</f>
        <v>1887</v>
      </c>
      <c r="Q49" s="31">
        <f>Jitta!P39</f>
        <v>2074</v>
      </c>
      <c r="R49" s="31">
        <f>Jitta!Q39</f>
        <v>2268</v>
      </c>
      <c r="S49" s="31">
        <f>Jitta!R39</f>
        <v>2561</v>
      </c>
      <c r="T49" s="31">
        <f>Jitta!S39</f>
        <v>2456</v>
      </c>
      <c r="U49" s="31">
        <f>Jitta!T39</f>
        <v>2433</v>
      </c>
      <c r="V49" s="31">
        <f>Jitta!U39</f>
        <v>2258</v>
      </c>
    </row>
    <row r="50" spans="1:22">
      <c r="A50" s="38" t="str">
        <f>Jitta!A40</f>
        <v>Total Inventory</v>
      </c>
      <c r="B50" s="31">
        <f>Jitta!B40</f>
        <v>265.7</v>
      </c>
      <c r="C50" s="31">
        <f>Jitta!C40</f>
        <v>233.8</v>
      </c>
      <c r="D50" s="31">
        <f>Jitta!D40</f>
        <v>304.5</v>
      </c>
      <c r="E50" s="31">
        <f>Jitta!E40</f>
        <v>291.89999999999998</v>
      </c>
      <c r="F50" s="31">
        <f>Jitta!F40</f>
        <v>309.10000000000002</v>
      </c>
      <c r="G50" s="31">
        <f>Jitta!G40</f>
        <v>310</v>
      </c>
      <c r="H50" s="31">
        <f>Jitta!H40</f>
        <v>307.8</v>
      </c>
      <c r="I50" s="31">
        <f>Jitta!I40</f>
        <v>391.8</v>
      </c>
      <c r="J50" s="31">
        <f>Jitta!J40</f>
        <v>0</v>
      </c>
      <c r="K50" s="31">
        <f>Jitta!K40</f>
        <v>0</v>
      </c>
      <c r="L50" s="36"/>
      <c r="M50" s="31">
        <f>Jitta!L40</f>
        <v>306</v>
      </c>
      <c r="N50" s="31">
        <f>Jitta!M40</f>
        <v>286.89999999999998</v>
      </c>
      <c r="O50" s="31">
        <f>Jitta!N40</f>
        <v>307.8</v>
      </c>
      <c r="P50" s="31">
        <f>Jitta!O40</f>
        <v>511.1</v>
      </c>
      <c r="Q50" s="31">
        <f>Jitta!P40</f>
        <v>383.3</v>
      </c>
      <c r="R50" s="31">
        <f>Jitta!Q40</f>
        <v>387.2</v>
      </c>
      <c r="S50" s="31">
        <f>Jitta!R40</f>
        <v>391.8</v>
      </c>
      <c r="T50" s="31">
        <f>Jitta!S40</f>
        <v>340.8</v>
      </c>
      <c r="U50" s="31">
        <f>Jitta!T40</f>
        <v>314.2</v>
      </c>
      <c r="V50" s="31">
        <f>Jitta!U40</f>
        <v>306.3</v>
      </c>
    </row>
    <row r="51" spans="1:22">
      <c r="A51" s="38" t="str">
        <f>Jitta!A41</f>
        <v>Total Current Assets</v>
      </c>
      <c r="B51" s="31">
        <f>Jitta!B41</f>
        <v>2704</v>
      </c>
      <c r="C51" s="31">
        <f>Jitta!C41</f>
        <v>7670</v>
      </c>
      <c r="D51" s="31">
        <f>Jitta!D41</f>
        <v>7552</v>
      </c>
      <c r="E51" s="31">
        <f>Jitta!E41</f>
        <v>8499</v>
      </c>
      <c r="F51" s="31">
        <f>Jitta!F41</f>
        <v>10088</v>
      </c>
      <c r="G51" s="31">
        <f>Jitta!G41</f>
        <v>8803</v>
      </c>
      <c r="H51" s="31">
        <f>Jitta!H41</f>
        <v>10550</v>
      </c>
      <c r="I51" s="31">
        <f>Jitta!I41</f>
        <v>12101</v>
      </c>
      <c r="J51" s="31">
        <f>Jitta!J41</f>
        <v>0</v>
      </c>
      <c r="K51" s="31">
        <f>Jitta!K41</f>
        <v>0</v>
      </c>
      <c r="L51" s="36"/>
      <c r="M51" s="31">
        <f>Jitta!L41</f>
        <v>9715</v>
      </c>
      <c r="N51" s="31">
        <f>Jitta!M41</f>
        <v>9941</v>
      </c>
      <c r="O51" s="31">
        <f>Jitta!N41</f>
        <v>10550</v>
      </c>
      <c r="P51" s="31">
        <f>Jitta!O41</f>
        <v>12214</v>
      </c>
      <c r="Q51" s="31">
        <f>Jitta!P41</f>
        <v>11304</v>
      </c>
      <c r="R51" s="31">
        <f>Jitta!Q41</f>
        <v>11814</v>
      </c>
      <c r="S51" s="31">
        <f>Jitta!R41</f>
        <v>12101</v>
      </c>
      <c r="T51" s="31">
        <f>Jitta!S41</f>
        <v>11482</v>
      </c>
      <c r="U51" s="31">
        <f>Jitta!T41</f>
        <v>11413</v>
      </c>
      <c r="V51" s="31">
        <f>Jitta!U41</f>
        <v>10243</v>
      </c>
    </row>
    <row r="52" spans="1:22">
      <c r="A52" s="38" t="str">
        <f>Jitta!A42</f>
        <v>Property/Plant/Equipment, Total - Net</v>
      </c>
      <c r="B52" s="31">
        <f>Jitta!B42</f>
        <v>6242</v>
      </c>
      <c r="C52" s="31">
        <f>Jitta!C42</f>
        <v>7683</v>
      </c>
      <c r="D52" s="31">
        <f>Jitta!D42</f>
        <v>9096</v>
      </c>
      <c r="E52" s="31">
        <f>Jitta!E42</f>
        <v>9948</v>
      </c>
      <c r="F52" s="31">
        <f>Jitta!F42</f>
        <v>10472</v>
      </c>
      <c r="G52" s="31">
        <f>Jitta!G42</f>
        <v>11579</v>
      </c>
      <c r="H52" s="31">
        <f>Jitta!H42</f>
        <v>11784</v>
      </c>
      <c r="I52" s="31">
        <f>Jitta!I42</f>
        <v>11256</v>
      </c>
      <c r="J52" s="31">
        <f>Jitta!J42</f>
        <v>0</v>
      </c>
      <c r="K52" s="31">
        <f>Jitta!K42</f>
        <v>0</v>
      </c>
      <c r="L52" s="36"/>
      <c r="M52" s="31">
        <f>Jitta!L42</f>
        <v>11455</v>
      </c>
      <c r="N52" s="31">
        <f>Jitta!M42</f>
        <v>11513</v>
      </c>
      <c r="O52" s="31">
        <f>Jitta!N42</f>
        <v>11784</v>
      </c>
      <c r="P52" s="31">
        <f>Jitta!O42</f>
        <v>11625</v>
      </c>
      <c r="Q52" s="31">
        <f>Jitta!P42</f>
        <v>11492</v>
      </c>
      <c r="R52" s="31">
        <f>Jitta!Q42</f>
        <v>11361</v>
      </c>
      <c r="S52" s="31">
        <f>Jitta!R42</f>
        <v>11256</v>
      </c>
      <c r="T52" s="31">
        <f>Jitta!S42</f>
        <v>11168</v>
      </c>
      <c r="U52" s="31">
        <f>Jitta!T42</f>
        <v>11136</v>
      </c>
      <c r="V52" s="31">
        <f>Jitta!U42</f>
        <v>11978</v>
      </c>
    </row>
    <row r="53" spans="1:22">
      <c r="A53" s="38" t="str">
        <f>Jitta!A43</f>
        <v>Total Assets</v>
      </c>
      <c r="B53" s="31">
        <f>Jitta!B43</f>
        <v>13473</v>
      </c>
      <c r="C53" s="31">
        <f>Jitta!C43</f>
        <v>15985</v>
      </c>
      <c r="D53" s="31">
        <f>Jitta!D43</f>
        <v>17252</v>
      </c>
      <c r="E53" s="31">
        <f>Jitta!E43</f>
        <v>19145</v>
      </c>
      <c r="F53" s="31">
        <f>Jitta!F43</f>
        <v>21298</v>
      </c>
      <c r="G53" s="31">
        <f>Jitta!G43</f>
        <v>21333</v>
      </c>
      <c r="H53" s="31">
        <f>Jitta!H43</f>
        <v>23484</v>
      </c>
      <c r="I53" s="31">
        <f>Jitta!I43</f>
        <v>24749</v>
      </c>
      <c r="J53" s="31">
        <f>Jitta!J43</f>
        <v>0</v>
      </c>
      <c r="K53" s="31">
        <f>Jitta!K43</f>
        <v>0</v>
      </c>
      <c r="L53" s="36"/>
      <c r="M53" s="31">
        <f>Jitta!L43</f>
        <v>22160</v>
      </c>
      <c r="N53" s="31">
        <f>Jitta!M43</f>
        <v>22497</v>
      </c>
      <c r="O53" s="31">
        <f>Jitta!N43</f>
        <v>23484</v>
      </c>
      <c r="P53" s="31">
        <f>Jitta!O43</f>
        <v>25203</v>
      </c>
      <c r="Q53" s="31">
        <f>Jitta!P43</f>
        <v>24165</v>
      </c>
      <c r="R53" s="31">
        <f>Jitta!Q43</f>
        <v>24528</v>
      </c>
      <c r="S53" s="31">
        <f>Jitta!R43</f>
        <v>24749</v>
      </c>
      <c r="T53" s="31">
        <f>Jitta!S43</f>
        <v>26030</v>
      </c>
      <c r="U53" s="31">
        <f>Jitta!T43</f>
        <v>25157</v>
      </c>
      <c r="V53" s="31">
        <f>Jitta!U43</f>
        <v>25319</v>
      </c>
    </row>
    <row r="54" spans="1:22" ht="9.9499999999999993" customHeight="1">
      <c r="A54" s="27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</row>
    <row r="55" spans="1:22">
      <c r="A55" s="39" t="str">
        <f>Jitta!A44</f>
        <v>Accounts Payable</v>
      </c>
      <c r="B55" s="31">
        <f>Jitta!B44</f>
        <v>548.6</v>
      </c>
      <c r="C55" s="31">
        <f>Jitta!C44</f>
        <v>655.8</v>
      </c>
      <c r="D55" s="31">
        <f>Jitta!D44</f>
        <v>692.2</v>
      </c>
      <c r="E55" s="31">
        <f>Jitta!E44</f>
        <v>753.8</v>
      </c>
      <c r="F55" s="31">
        <f>Jitta!F44</f>
        <v>754.4</v>
      </c>
      <c r="G55" s="31">
        <f>Jitta!G44</f>
        <v>735.8</v>
      </c>
      <c r="H55" s="31">
        <f>Jitta!H44</f>
        <v>755.6</v>
      </c>
      <c r="I55" s="31">
        <f>Jitta!I44</f>
        <v>786.2</v>
      </c>
      <c r="J55" s="31">
        <f>Jitta!J44</f>
        <v>0</v>
      </c>
      <c r="K55" s="31">
        <f>Jitta!K44</f>
        <v>0</v>
      </c>
      <c r="L55" s="36"/>
      <c r="M55" s="31">
        <f>Jitta!L44</f>
        <v>734.9</v>
      </c>
      <c r="N55" s="31">
        <f>Jitta!M44</f>
        <v>737.7</v>
      </c>
      <c r="O55" s="31">
        <f>Jitta!N44</f>
        <v>755.6</v>
      </c>
      <c r="P55" s="31">
        <f>Jitta!O44</f>
        <v>943.5</v>
      </c>
      <c r="Q55" s="31">
        <f>Jitta!P44</f>
        <v>585.29999999999995</v>
      </c>
      <c r="R55" s="31">
        <f>Jitta!Q44</f>
        <v>691.3</v>
      </c>
      <c r="S55" s="31">
        <f>Jitta!R44</f>
        <v>786.2</v>
      </c>
      <c r="T55" s="31">
        <f>Jitta!S44</f>
        <v>661.5</v>
      </c>
      <c r="U55" s="31">
        <f>Jitta!T44</f>
        <v>655.8</v>
      </c>
      <c r="V55" s="31">
        <f>Jitta!U44</f>
        <v>690.9</v>
      </c>
    </row>
    <row r="56" spans="1:22">
      <c r="A56" s="39" t="str">
        <f>Jitta!A45</f>
        <v>Accrued Expenses</v>
      </c>
      <c r="B56" s="31">
        <f>Jitta!B45</f>
        <v>723.2</v>
      </c>
      <c r="C56" s="31">
        <f>Jitta!C45</f>
        <v>896.9</v>
      </c>
      <c r="D56" s="31">
        <f>Jitta!D45</f>
        <v>910.5</v>
      </c>
      <c r="E56" s="31">
        <f>Jitta!E45</f>
        <v>1025</v>
      </c>
      <c r="F56" s="31">
        <f>Jitta!F45</f>
        <v>1291</v>
      </c>
      <c r="G56" s="31">
        <f>Jitta!G45</f>
        <v>1044</v>
      </c>
      <c r="H56" s="31">
        <f>Jitta!H45</f>
        <v>1134</v>
      </c>
      <c r="I56" s="31">
        <f>Jitta!I45</f>
        <v>1258</v>
      </c>
      <c r="J56" s="31">
        <f>Jitta!J45</f>
        <v>0</v>
      </c>
      <c r="K56" s="31">
        <f>Jitta!K45</f>
        <v>0</v>
      </c>
      <c r="L56" s="36"/>
      <c r="M56" s="31">
        <f>Jitta!L45</f>
        <v>962.7</v>
      </c>
      <c r="N56" s="31">
        <f>Jitta!M45</f>
        <v>1202</v>
      </c>
      <c r="O56" s="31">
        <f>Jitta!N45</f>
        <v>1134</v>
      </c>
      <c r="P56" s="31">
        <f>Jitta!O45</f>
        <v>1163</v>
      </c>
      <c r="Q56" s="31">
        <f>Jitta!P45</f>
        <v>1089</v>
      </c>
      <c r="R56" s="31">
        <f>Jitta!Q45</f>
        <v>1268</v>
      </c>
      <c r="S56" s="31">
        <f>Jitta!R45</f>
        <v>1258</v>
      </c>
      <c r="T56" s="31">
        <f>Jitta!S45</f>
        <v>1346</v>
      </c>
      <c r="U56" s="31">
        <f>Jitta!T45</f>
        <v>1227</v>
      </c>
      <c r="V56" s="31">
        <f>Jitta!U45</f>
        <v>1313</v>
      </c>
    </row>
    <row r="57" spans="1:22">
      <c r="A57" s="39" t="str">
        <f>Jitta!A46</f>
        <v>Debt Due</v>
      </c>
      <c r="B57" s="31">
        <f>Jitta!B46</f>
        <v>0</v>
      </c>
      <c r="C57" s="31">
        <f>Jitta!C46</f>
        <v>0</v>
      </c>
      <c r="D57" s="31">
        <f>Jitta!D46</f>
        <v>0</v>
      </c>
      <c r="E57" s="31">
        <f>Jitta!E46</f>
        <v>0</v>
      </c>
      <c r="F57" s="31">
        <f>Jitta!F46</f>
        <v>1497</v>
      </c>
      <c r="G57" s="31">
        <f>Jitta!G46</f>
        <v>0</v>
      </c>
      <c r="H57" s="31">
        <f>Jitta!H46</f>
        <v>1186</v>
      </c>
      <c r="I57" s="31">
        <f>Jitta!I46</f>
        <v>168.2</v>
      </c>
      <c r="J57" s="31">
        <f>Jitta!J46</f>
        <v>0</v>
      </c>
      <c r="K57" s="31">
        <f>Jitta!K46</f>
        <v>0</v>
      </c>
      <c r="L57" s="36"/>
      <c r="M57" s="31">
        <f>Jitta!L46</f>
        <v>0</v>
      </c>
      <c r="N57" s="31">
        <f>Jitta!M46</f>
        <v>0</v>
      </c>
      <c r="O57" s="31">
        <f>Jitta!N46</f>
        <v>1186</v>
      </c>
      <c r="P57" s="31">
        <f>Jitta!O46</f>
        <v>1166</v>
      </c>
      <c r="Q57" s="31">
        <f>Jitta!P46</f>
        <v>1166</v>
      </c>
      <c r="R57" s="31">
        <f>Jitta!Q46</f>
        <v>1167</v>
      </c>
      <c r="S57" s="31">
        <f>Jitta!R46</f>
        <v>168.2</v>
      </c>
      <c r="T57" s="31">
        <f>Jitta!S46</f>
        <v>168.3</v>
      </c>
      <c r="U57" s="31">
        <f>Jitta!T46</f>
        <v>168.3</v>
      </c>
      <c r="V57" s="31">
        <f>Jitta!U46</f>
        <v>168.3</v>
      </c>
    </row>
    <row r="58" spans="1:22">
      <c r="A58" s="39" t="str">
        <f>Jitta!A47</f>
        <v>Total Current Liabilities</v>
      </c>
      <c r="B58" s="31">
        <f>Jitta!B47</f>
        <v>1506</v>
      </c>
      <c r="C58" s="31">
        <f>Jitta!C47</f>
        <v>2138</v>
      </c>
      <c r="D58" s="31">
        <f>Jitta!D47</f>
        <v>2163</v>
      </c>
      <c r="E58" s="31">
        <f>Jitta!E47</f>
        <v>2322</v>
      </c>
      <c r="F58" s="31">
        <f>Jitta!F47</f>
        <v>4056</v>
      </c>
      <c r="G58" s="31">
        <f>Jitta!G47</f>
        <v>2358</v>
      </c>
      <c r="H58" s="31">
        <f>Jitta!H47</f>
        <v>3647</v>
      </c>
      <c r="I58" s="31">
        <f>Jitta!I47</f>
        <v>2878</v>
      </c>
      <c r="J58" s="31">
        <f>Jitta!J47</f>
        <v>0</v>
      </c>
      <c r="K58" s="31">
        <f>Jitta!K47</f>
        <v>0</v>
      </c>
      <c r="L58" s="36"/>
      <c r="M58" s="31">
        <f>Jitta!L47</f>
        <v>2339</v>
      </c>
      <c r="N58" s="31">
        <f>Jitta!M47</f>
        <v>2397</v>
      </c>
      <c r="O58" s="31">
        <f>Jitta!N47</f>
        <v>3647</v>
      </c>
      <c r="P58" s="31">
        <f>Jitta!O47</f>
        <v>4293</v>
      </c>
      <c r="Q58" s="31">
        <f>Jitta!P47</f>
        <v>3497</v>
      </c>
      <c r="R58" s="31">
        <f>Jitta!Q47</f>
        <v>3592</v>
      </c>
      <c r="S58" s="31">
        <f>Jitta!R47</f>
        <v>2878</v>
      </c>
      <c r="T58" s="31">
        <f>Jitta!S47</f>
        <v>3087</v>
      </c>
      <c r="U58" s="31">
        <f>Jitta!T47</f>
        <v>2656</v>
      </c>
      <c r="V58" s="31">
        <f>Jitta!U47</f>
        <v>2600</v>
      </c>
    </row>
    <row r="59" spans="1:22">
      <c r="A59" s="39" t="str">
        <f>Jitta!A48</f>
        <v>Long Term Debt</v>
      </c>
      <c r="B59" s="31">
        <f>Jitta!B48</f>
        <v>4955</v>
      </c>
      <c r="C59" s="31">
        <f>Jitta!C48</f>
        <v>4960</v>
      </c>
      <c r="D59" s="31">
        <f>Jitta!D48</f>
        <v>5142</v>
      </c>
      <c r="E59" s="31">
        <f>Jitta!E48</f>
        <v>5152</v>
      </c>
      <c r="F59" s="31">
        <f>Jitta!F48</f>
        <v>3664</v>
      </c>
      <c r="G59" s="31">
        <f>Jitta!G48</f>
        <v>3689</v>
      </c>
      <c r="H59" s="31">
        <f>Jitta!H48</f>
        <v>2508</v>
      </c>
      <c r="I59" s="31">
        <f>Jitta!I48</f>
        <v>2512</v>
      </c>
      <c r="J59" s="31">
        <f>Jitta!J48</f>
        <v>0</v>
      </c>
      <c r="K59" s="31">
        <f>Jitta!K48</f>
        <v>0</v>
      </c>
      <c r="L59" s="36"/>
      <c r="M59" s="31">
        <f>Jitta!L48</f>
        <v>3692</v>
      </c>
      <c r="N59" s="31">
        <f>Jitta!M48</f>
        <v>3693</v>
      </c>
      <c r="O59" s="31">
        <f>Jitta!N48</f>
        <v>2508</v>
      </c>
      <c r="P59" s="31">
        <f>Jitta!O48</f>
        <v>2508</v>
      </c>
      <c r="Q59" s="31">
        <f>Jitta!P48</f>
        <v>2509</v>
      </c>
      <c r="R59" s="31">
        <f>Jitta!Q48</f>
        <v>2510</v>
      </c>
      <c r="S59" s="31">
        <f>Jitta!R48</f>
        <v>2512</v>
      </c>
      <c r="T59" s="31">
        <f>Jitta!S48</f>
        <v>2512</v>
      </c>
      <c r="U59" s="31">
        <f>Jitta!T48</f>
        <v>2512</v>
      </c>
      <c r="V59" s="31">
        <f>Jitta!U48</f>
        <v>2513</v>
      </c>
    </row>
    <row r="60" spans="1:22">
      <c r="A60" s="39" t="str">
        <f>Jitta!A49</f>
        <v>Total Liabilities</v>
      </c>
      <c r="B60" s="31">
        <f>Jitta!B49</f>
        <v>6739</v>
      </c>
      <c r="C60" s="31">
        <f>Jitta!C49</f>
        <v>7474</v>
      </c>
      <c r="D60" s="31">
        <f>Jitta!D49</f>
        <v>7655</v>
      </c>
      <c r="E60" s="31">
        <f>Jitta!E49</f>
        <v>7885</v>
      </c>
      <c r="F60" s="31">
        <f>Jitta!F49</f>
        <v>8197</v>
      </c>
      <c r="G60" s="31">
        <f>Jitta!G49</f>
        <v>6545</v>
      </c>
      <c r="H60" s="31">
        <f>Jitta!H49</f>
        <v>6779</v>
      </c>
      <c r="I60" s="31">
        <f>Jitta!I49</f>
        <v>6004</v>
      </c>
      <c r="J60" s="31">
        <f>Jitta!J49</f>
        <v>0</v>
      </c>
      <c r="K60" s="31">
        <f>Jitta!K49</f>
        <v>0</v>
      </c>
      <c r="L60" s="36"/>
      <c r="M60" s="31">
        <f>Jitta!L49</f>
        <v>6559</v>
      </c>
      <c r="N60" s="31">
        <f>Jitta!M49</f>
        <v>6618</v>
      </c>
      <c r="O60" s="31">
        <f>Jitta!N49</f>
        <v>6779</v>
      </c>
      <c r="P60" s="31">
        <f>Jitta!O49</f>
        <v>7443</v>
      </c>
      <c r="Q60" s="31">
        <f>Jitta!P49</f>
        <v>6664</v>
      </c>
      <c r="R60" s="31">
        <f>Jitta!Q49</f>
        <v>6778</v>
      </c>
      <c r="S60" s="31">
        <f>Jitta!R49</f>
        <v>6004</v>
      </c>
      <c r="T60" s="31">
        <f>Jitta!S49</f>
        <v>6217</v>
      </c>
      <c r="U60" s="31">
        <f>Jitta!T49</f>
        <v>5961</v>
      </c>
      <c r="V60" s="31">
        <f>Jitta!U49</f>
        <v>5915</v>
      </c>
    </row>
    <row r="61" spans="1:22" ht="9.9499999999999993" customHeight="1">
      <c r="A61" s="27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</row>
    <row r="62" spans="1:22">
      <c r="A62" s="37" t="str">
        <f>Jitta!A50</f>
        <v>Common Stock</v>
      </c>
      <c r="B62" s="31">
        <f>Jitta!B50</f>
        <v>728.4</v>
      </c>
      <c r="C62" s="31">
        <f>Jitta!C50</f>
        <v>728.4</v>
      </c>
      <c r="D62" s="31">
        <f>Jitta!D50</f>
        <v>728.6</v>
      </c>
      <c r="E62" s="31">
        <f>Jitta!E50</f>
        <v>728.6</v>
      </c>
      <c r="F62" s="31">
        <f>Jitta!F50</f>
        <v>728.6</v>
      </c>
      <c r="G62" s="31">
        <f>Jitta!G50</f>
        <v>728.6</v>
      </c>
      <c r="H62" s="31">
        <f>Jitta!H50</f>
        <v>728.7</v>
      </c>
      <c r="I62" s="31">
        <f>Jitta!I50</f>
        <v>728.8</v>
      </c>
      <c r="J62" s="31">
        <f>Jitta!J50</f>
        <v>0</v>
      </c>
      <c r="K62" s="31">
        <f>Jitta!K50</f>
        <v>0</v>
      </c>
      <c r="L62" s="36"/>
      <c r="M62" s="31">
        <f>Jitta!L50</f>
        <v>728.7</v>
      </c>
      <c r="N62" s="31">
        <f>Jitta!M50</f>
        <v>728.7</v>
      </c>
      <c r="O62" s="31">
        <f>Jitta!N50</f>
        <v>728.7</v>
      </c>
      <c r="P62" s="31">
        <f>Jitta!O50</f>
        <v>728.8</v>
      </c>
      <c r="Q62" s="31">
        <f>Jitta!P50</f>
        <v>728.8</v>
      </c>
      <c r="R62" s="31">
        <f>Jitta!Q50</f>
        <v>728.8</v>
      </c>
      <c r="S62" s="31">
        <f>Jitta!R50</f>
        <v>728.8</v>
      </c>
      <c r="T62" s="31">
        <f>Jitta!S50</f>
        <v>728.8</v>
      </c>
      <c r="U62" s="31">
        <f>Jitta!T50</f>
        <v>728.8</v>
      </c>
      <c r="V62" s="31">
        <f>Jitta!U50</f>
        <v>728.8</v>
      </c>
    </row>
    <row r="63" spans="1:22">
      <c r="A63" s="37" t="str">
        <f>Jitta!A51</f>
        <v>Additional Paid-In Capital</v>
      </c>
      <c r="B63" s="31">
        <f>Jitta!B51</f>
        <v>537.70000000000005</v>
      </c>
      <c r="C63" s="31">
        <f>Jitta!C51</f>
        <v>537.70000000000005</v>
      </c>
      <c r="D63" s="31">
        <f>Jitta!D51</f>
        <v>537.70000000000005</v>
      </c>
      <c r="E63" s="31">
        <f>Jitta!E51</f>
        <v>537.70000000000005</v>
      </c>
      <c r="F63" s="31">
        <f>Jitta!F51</f>
        <v>285.60000000000002</v>
      </c>
      <c r="G63" s="31">
        <f>Jitta!G51</f>
        <v>285.60000000000002</v>
      </c>
      <c r="H63" s="31">
        <f>Jitta!H51</f>
        <v>285.60000000000002</v>
      </c>
      <c r="I63" s="31">
        <f>Jitta!I51</f>
        <v>285.60000000000002</v>
      </c>
      <c r="J63" s="31">
        <f>Jitta!J51</f>
        <v>0</v>
      </c>
      <c r="K63" s="31">
        <f>Jitta!K51</f>
        <v>0</v>
      </c>
      <c r="L63" s="36"/>
      <c r="M63" s="31">
        <f>Jitta!L51</f>
        <v>537.70000000000005</v>
      </c>
      <c r="N63" s="31">
        <f>Jitta!M51</f>
        <v>285.60000000000002</v>
      </c>
      <c r="O63" s="31">
        <f>Jitta!N51</f>
        <v>285.60000000000002</v>
      </c>
      <c r="P63" s="31">
        <f>Jitta!O51</f>
        <v>285.60000000000002</v>
      </c>
      <c r="Q63" s="31">
        <f>Jitta!P51</f>
        <v>285.60000000000002</v>
      </c>
      <c r="R63" s="31">
        <f>Jitta!Q51</f>
        <v>285.60000000000002</v>
      </c>
      <c r="S63" s="31">
        <f>Jitta!R51</f>
        <v>285.60000000000002</v>
      </c>
      <c r="T63" s="31">
        <f>Jitta!S51</f>
        <v>285.60000000000002</v>
      </c>
      <c r="U63" s="31">
        <f>Jitta!T51</f>
        <v>285.60000000000002</v>
      </c>
      <c r="V63" s="31">
        <f>Jitta!U51</f>
        <v>285.60000000000002</v>
      </c>
    </row>
    <row r="64" spans="1:22">
      <c r="A64" s="37" t="str">
        <f>Jitta!A52</f>
        <v>Retained Earnings (Accumulated Deficit)</v>
      </c>
      <c r="B64" s="31">
        <f>Jitta!B52</f>
        <v>5115</v>
      </c>
      <c r="C64" s="31">
        <f>Jitta!C52</f>
        <v>6701</v>
      </c>
      <c r="D64" s="31">
        <f>Jitta!D52</f>
        <v>7787</v>
      </c>
      <c r="E64" s="31">
        <f>Jitta!E52</f>
        <v>9084</v>
      </c>
      <c r="F64" s="31">
        <f>Jitta!F52</f>
        <v>10891</v>
      </c>
      <c r="G64" s="31">
        <f>Jitta!G52</f>
        <v>12750</v>
      </c>
      <c r="H64" s="31">
        <f>Jitta!H52</f>
        <v>14757</v>
      </c>
      <c r="I64" s="31">
        <f>Jitta!I52</f>
        <v>16882</v>
      </c>
      <c r="J64" s="31">
        <f>Jitta!J52</f>
        <v>0</v>
      </c>
      <c r="K64" s="31">
        <f>Jitta!K52</f>
        <v>0</v>
      </c>
      <c r="L64" s="36"/>
      <c r="M64" s="31">
        <f>Jitta!L52</f>
        <v>13568</v>
      </c>
      <c r="N64" s="31">
        <f>Jitta!M52</f>
        <v>13885</v>
      </c>
      <c r="O64" s="31">
        <f>Jitta!N52</f>
        <v>14757</v>
      </c>
      <c r="P64" s="31">
        <f>Jitta!O52</f>
        <v>15828</v>
      </c>
      <c r="Q64" s="31">
        <f>Jitta!P52</f>
        <v>15551</v>
      </c>
      <c r="R64" s="31">
        <f>Jitta!Q52</f>
        <v>15869</v>
      </c>
      <c r="S64" s="31">
        <f>Jitta!R52</f>
        <v>16882</v>
      </c>
      <c r="T64" s="31">
        <f>Jitta!S52</f>
        <v>17955</v>
      </c>
      <c r="U64" s="31">
        <f>Jitta!T52</f>
        <v>17358</v>
      </c>
      <c r="V64" s="31">
        <f>Jitta!U52</f>
        <v>17566</v>
      </c>
    </row>
    <row r="65" spans="1:22">
      <c r="A65" s="37" t="str">
        <f>Jitta!A53</f>
        <v>Shareholders' Equity</v>
      </c>
      <c r="B65" s="31">
        <f>Jitta!B53</f>
        <v>6730</v>
      </c>
      <c r="C65" s="31">
        <f>Jitta!C53</f>
        <v>8509</v>
      </c>
      <c r="D65" s="31">
        <f>Jitta!D53</f>
        <v>9595</v>
      </c>
      <c r="E65" s="31">
        <f>Jitta!E53</f>
        <v>10882</v>
      </c>
      <c r="F65" s="31">
        <f>Jitta!F53</f>
        <v>12734</v>
      </c>
      <c r="G65" s="31">
        <f>Jitta!G53</f>
        <v>14472</v>
      </c>
      <c r="H65" s="31">
        <f>Jitta!H53</f>
        <v>16401</v>
      </c>
      <c r="I65" s="31">
        <f>Jitta!I53</f>
        <v>18453</v>
      </c>
      <c r="J65" s="31">
        <f>Jitta!J53</f>
        <v>0</v>
      </c>
      <c r="K65" s="31">
        <f>Jitta!K53</f>
        <v>0</v>
      </c>
      <c r="L65" s="36"/>
      <c r="M65" s="31">
        <f>Jitta!L53</f>
        <v>15289</v>
      </c>
      <c r="N65" s="31">
        <f>Jitta!M53</f>
        <v>15576</v>
      </c>
      <c r="O65" s="31">
        <f>Jitta!N53</f>
        <v>16401</v>
      </c>
      <c r="P65" s="31">
        <f>Jitta!O53</f>
        <v>17458</v>
      </c>
      <c r="Q65" s="31">
        <f>Jitta!P53</f>
        <v>17194</v>
      </c>
      <c r="R65" s="31">
        <f>Jitta!Q53</f>
        <v>17457</v>
      </c>
      <c r="S65" s="31">
        <f>Jitta!R53</f>
        <v>18453</v>
      </c>
      <c r="T65" s="31">
        <f>Jitta!S53</f>
        <v>19521</v>
      </c>
      <c r="U65" s="31">
        <f>Jitta!T53</f>
        <v>18907</v>
      </c>
      <c r="V65" s="31">
        <f>Jitta!U53</f>
        <v>19111</v>
      </c>
    </row>
    <row r="66" spans="1:22" ht="9.9499999999999993" customHeight="1">
      <c r="A66" s="27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</row>
    <row r="67" spans="1:22">
      <c r="A67" s="40" t="str">
        <f>Jitta!A54</f>
        <v>Cash from Operating Activities</v>
      </c>
      <c r="B67" s="31">
        <f>Jitta!B54</f>
        <v>2061</v>
      </c>
      <c r="C67" s="31">
        <f>Jitta!C54</f>
        <v>3025</v>
      </c>
      <c r="D67" s="31">
        <f>Jitta!D54</f>
        <v>3274</v>
      </c>
      <c r="E67" s="31">
        <f>Jitta!E54</f>
        <v>3890</v>
      </c>
      <c r="F67" s="31">
        <f>Jitta!F54</f>
        <v>3987</v>
      </c>
      <c r="G67" s="31">
        <f>Jitta!G54</f>
        <v>5174</v>
      </c>
      <c r="H67" s="31">
        <f>Jitta!H54</f>
        <v>5243</v>
      </c>
      <c r="I67" s="31">
        <f>Jitta!I54</f>
        <v>4734</v>
      </c>
      <c r="J67" s="31">
        <f>Jitta!J54</f>
        <v>0</v>
      </c>
      <c r="K67" s="31">
        <f>Jitta!K54</f>
        <v>0</v>
      </c>
      <c r="L67" s="36"/>
      <c r="M67" s="31">
        <f>Jitta!L54</f>
        <v>1117</v>
      </c>
      <c r="N67" s="31">
        <f>Jitta!M54</f>
        <v>1271</v>
      </c>
      <c r="O67" s="31">
        <f>Jitta!N54</f>
        <v>1163</v>
      </c>
      <c r="P67" s="31">
        <f>Jitta!O54</f>
        <v>1523</v>
      </c>
      <c r="Q67" s="31">
        <f>Jitta!P54</f>
        <v>654.6</v>
      </c>
      <c r="R67" s="31">
        <f>Jitta!Q54</f>
        <v>1295</v>
      </c>
      <c r="S67" s="31">
        <f>Jitta!R54</f>
        <v>1262</v>
      </c>
      <c r="T67" s="31">
        <f>Jitta!S54</f>
        <v>1663</v>
      </c>
      <c r="U67" s="31">
        <f>Jitta!T54</f>
        <v>807.7</v>
      </c>
      <c r="V67" s="31">
        <f>Jitta!U54</f>
        <v>1533</v>
      </c>
    </row>
    <row r="68" spans="1:22">
      <c r="A68" s="40" t="str">
        <f>Jitta!A55</f>
        <v>Cash from Investing Activities</v>
      </c>
      <c r="B68" s="31">
        <f>Jitta!B55</f>
        <v>-3945</v>
      </c>
      <c r="C68" s="31">
        <f>Jitta!C55</f>
        <v>2931</v>
      </c>
      <c r="D68" s="31">
        <f>Jitta!D55</f>
        <v>-4785</v>
      </c>
      <c r="E68" s="31">
        <f>Jitta!E55</f>
        <v>-700.7</v>
      </c>
      <c r="F68" s="31">
        <f>Jitta!F55</f>
        <v>-1785</v>
      </c>
      <c r="G68" s="31">
        <f>Jitta!G55</f>
        <v>-1556</v>
      </c>
      <c r="H68" s="31">
        <f>Jitta!H55</f>
        <v>-5868</v>
      </c>
      <c r="I68" s="31">
        <f>Jitta!I55</f>
        <v>-1431</v>
      </c>
      <c r="J68" s="31">
        <f>Jitta!J55</f>
        <v>0</v>
      </c>
      <c r="K68" s="31">
        <f>Jitta!K55</f>
        <v>0</v>
      </c>
      <c r="L68" s="36"/>
      <c r="M68" s="31">
        <f>Jitta!L55</f>
        <v>189.3</v>
      </c>
      <c r="N68" s="31">
        <f>Jitta!M55</f>
        <v>-2863</v>
      </c>
      <c r="O68" s="31">
        <f>Jitta!N55</f>
        <v>-706.1</v>
      </c>
      <c r="P68" s="31">
        <f>Jitta!O55</f>
        <v>232</v>
      </c>
      <c r="Q68" s="31">
        <f>Jitta!P55</f>
        <v>-403.1</v>
      </c>
      <c r="R68" s="31">
        <f>Jitta!Q55</f>
        <v>-1601</v>
      </c>
      <c r="S68" s="31">
        <f>Jitta!R55</f>
        <v>341.4</v>
      </c>
      <c r="T68" s="31">
        <f>Jitta!S55</f>
        <v>-2294</v>
      </c>
      <c r="U68" s="31">
        <f>Jitta!T55</f>
        <v>1036</v>
      </c>
      <c r="V68" s="31">
        <f>Jitta!U55</f>
        <v>-876.7</v>
      </c>
    </row>
    <row r="69" spans="1:22">
      <c r="A69" s="40" t="str">
        <f>Jitta!A56</f>
        <v>Cash from Financing Activities</v>
      </c>
      <c r="B69" s="31">
        <f>Jitta!B56</f>
        <v>2518</v>
      </c>
      <c r="C69" s="31">
        <f>Jitta!C56</f>
        <v>-1179</v>
      </c>
      <c r="D69" s="31">
        <f>Jitta!D56</f>
        <v>-1383</v>
      </c>
      <c r="E69" s="31">
        <f>Jitta!E56</f>
        <v>-1650</v>
      </c>
      <c r="F69" s="31">
        <f>Jitta!F56</f>
        <v>-1833</v>
      </c>
      <c r="G69" s="31">
        <f>Jitta!G56</f>
        <v>-3496</v>
      </c>
      <c r="H69" s="31">
        <f>Jitta!H56</f>
        <v>-2061</v>
      </c>
      <c r="I69" s="31">
        <f>Jitta!I56</f>
        <v>-3245</v>
      </c>
      <c r="J69" s="31">
        <f>Jitta!J56</f>
        <v>0</v>
      </c>
      <c r="K69" s="31">
        <f>Jitta!K56</f>
        <v>0</v>
      </c>
      <c r="L69" s="36"/>
      <c r="M69" s="31">
        <f>Jitta!L56</f>
        <v>-1214</v>
      </c>
      <c r="N69" s="31">
        <f>Jitta!M56</f>
        <v>-745.1</v>
      </c>
      <c r="O69" s="31">
        <f>Jitta!N56</f>
        <v>-85.6</v>
      </c>
      <c r="P69" s="31">
        <f>Jitta!O56</f>
        <v>-16.399999999999999</v>
      </c>
      <c r="Q69" s="31">
        <f>Jitta!P56</f>
        <v>-1324</v>
      </c>
      <c r="R69" s="31">
        <f>Jitta!Q56</f>
        <v>-818</v>
      </c>
      <c r="S69" s="31">
        <f>Jitta!R56</f>
        <v>-1086</v>
      </c>
      <c r="T69" s="31">
        <f>Jitta!S56</f>
        <v>-16.399999999999999</v>
      </c>
      <c r="U69" s="31">
        <f>Jitta!T56</f>
        <v>-1374</v>
      </c>
      <c r="V69" s="31">
        <f>Jitta!U56</f>
        <v>-854.4</v>
      </c>
    </row>
    <row r="70" spans="1:22">
      <c r="A70" s="40" t="str">
        <f>Jitta!A57</f>
        <v>Net Change in Cash</v>
      </c>
      <c r="B70" s="31">
        <f>Jitta!B57</f>
        <v>633.20000000000005</v>
      </c>
      <c r="C70" s="31">
        <f>Jitta!C57</f>
        <v>4773</v>
      </c>
      <c r="D70" s="31">
        <f>Jitta!D57</f>
        <v>-2895</v>
      </c>
      <c r="E70" s="31">
        <f>Jitta!E57</f>
        <v>1536</v>
      </c>
      <c r="F70" s="31">
        <f>Jitta!F57</f>
        <v>378.4</v>
      </c>
      <c r="G70" s="31">
        <f>Jitta!G57</f>
        <v>100</v>
      </c>
      <c r="H70" s="31">
        <f>Jitta!H57</f>
        <v>-2684</v>
      </c>
      <c r="I70" s="31">
        <f>Jitta!I57</f>
        <v>58.3</v>
      </c>
      <c r="J70" s="31">
        <f>Jitta!J57</f>
        <v>0</v>
      </c>
      <c r="K70" s="31">
        <f>Jitta!K57</f>
        <v>0</v>
      </c>
      <c r="L70" s="36"/>
      <c r="M70" s="31">
        <f>Jitta!L57</f>
        <v>95.6</v>
      </c>
      <c r="N70" s="31">
        <f>Jitta!M57</f>
        <v>-2341</v>
      </c>
      <c r="O70" s="31">
        <f>Jitta!N57</f>
        <v>372.2</v>
      </c>
      <c r="P70" s="31">
        <f>Jitta!O57</f>
        <v>1739</v>
      </c>
      <c r="Q70" s="31">
        <f>Jitta!P57</f>
        <v>-1075</v>
      </c>
      <c r="R70" s="31">
        <f>Jitta!Q57</f>
        <v>-1126</v>
      </c>
      <c r="S70" s="31">
        <f>Jitta!R57</f>
        <v>520.5</v>
      </c>
      <c r="T70" s="31">
        <f>Jitta!S57</f>
        <v>-648.29999999999995</v>
      </c>
      <c r="U70" s="31">
        <f>Jitta!T57</f>
        <v>468.5</v>
      </c>
      <c r="V70" s="31">
        <f>Jitta!U57</f>
        <v>-201.8</v>
      </c>
    </row>
    <row r="71" spans="1:22" ht="9.9499999999999993" customHeight="1">
      <c r="A71" s="27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</row>
    <row r="72" spans="1:22">
      <c r="A72" s="38" t="str">
        <f>Jitta!A58</f>
        <v>Free Cashflows</v>
      </c>
      <c r="B72" s="31">
        <f>Jitta!B58</f>
        <v>990.1</v>
      </c>
      <c r="C72" s="31">
        <f>Jitta!C58</f>
        <v>2042</v>
      </c>
      <c r="D72" s="31">
        <f>Jitta!D58</f>
        <v>1056</v>
      </c>
      <c r="E72" s="31">
        <f>Jitta!E58</f>
        <v>2650</v>
      </c>
      <c r="F72" s="31">
        <f>Jitta!F58</f>
        <v>2489</v>
      </c>
      <c r="G72" s="31">
        <f>Jitta!G58</f>
        <v>2950</v>
      </c>
      <c r="H72" s="31">
        <f>Jitta!H58</f>
        <v>3832</v>
      </c>
      <c r="I72" s="31">
        <f>Jitta!I58</f>
        <v>4226</v>
      </c>
      <c r="J72" s="31">
        <f>Jitta!J58</f>
        <v>0</v>
      </c>
      <c r="K72" s="31">
        <f>Jitta!K58</f>
        <v>0</v>
      </c>
      <c r="L72" s="36"/>
      <c r="M72" s="31">
        <f>Jitta!L58</f>
        <v>858.1</v>
      </c>
      <c r="N72" s="31">
        <f>Jitta!M58</f>
        <v>903</v>
      </c>
      <c r="O72" s="31">
        <f>Jitta!N58</f>
        <v>551.70000000000005</v>
      </c>
      <c r="P72" s="31">
        <f>Jitta!O58</f>
        <v>1380</v>
      </c>
      <c r="Q72" s="31">
        <f>Jitta!P58</f>
        <v>512.1</v>
      </c>
      <c r="R72" s="31">
        <f>Jitta!Q58</f>
        <v>1207</v>
      </c>
      <c r="S72" s="31">
        <f>Jitta!R58</f>
        <v>1127</v>
      </c>
      <c r="T72" s="31">
        <f>Jitta!S58</f>
        <v>1479</v>
      </c>
      <c r="U72" s="31">
        <f>Jitta!T58</f>
        <v>513.1</v>
      </c>
      <c r="V72" s="31">
        <f>Jitta!U58</f>
        <v>427.4</v>
      </c>
    </row>
    <row r="73" spans="1:22">
      <c r="A73" s="38" t="str">
        <f>Jitta!A59</f>
        <v>Free Cashflow per Share</v>
      </c>
      <c r="B73" s="29">
        <f>Jitta!B59</f>
        <v>1.36</v>
      </c>
      <c r="C73" s="29">
        <f>Jitta!C59</f>
        <v>2.8</v>
      </c>
      <c r="D73" s="29">
        <f>Jitta!D59</f>
        <v>1.45</v>
      </c>
      <c r="E73" s="29">
        <f>Jitta!E59</f>
        <v>3.64</v>
      </c>
      <c r="F73" s="29">
        <f>Jitta!F59</f>
        <v>3.42</v>
      </c>
      <c r="G73" s="29">
        <f>Jitta!G59</f>
        <v>4.05</v>
      </c>
      <c r="H73" s="29">
        <f>Jitta!H59</f>
        <v>5.26</v>
      </c>
      <c r="I73" s="29">
        <f>Jitta!I59</f>
        <v>5.8</v>
      </c>
      <c r="J73" s="29">
        <f>Jitta!J59</f>
        <v>0</v>
      </c>
      <c r="K73" s="29">
        <f>Jitta!K59</f>
        <v>0</v>
      </c>
      <c r="L73" s="34"/>
      <c r="M73" s="29">
        <f>Jitta!L59</f>
        <v>1.18</v>
      </c>
      <c r="N73" s="29">
        <f>Jitta!M59</f>
        <v>1.24</v>
      </c>
      <c r="O73" s="29">
        <f>Jitta!N59</f>
        <v>0.76</v>
      </c>
      <c r="P73" s="29">
        <f>Jitta!O59</f>
        <v>1.89</v>
      </c>
      <c r="Q73" s="29">
        <f>Jitta!P59</f>
        <v>0.7</v>
      </c>
      <c r="R73" s="29">
        <f>Jitta!Q59</f>
        <v>1.66</v>
      </c>
      <c r="S73" s="29">
        <f>Jitta!R59</f>
        <v>1.55</v>
      </c>
      <c r="T73" s="29">
        <f>Jitta!S59</f>
        <v>2.0299999999999998</v>
      </c>
      <c r="U73" s="29">
        <f>Jitta!T59</f>
        <v>0.7</v>
      </c>
      <c r="V73" s="29">
        <f>Jitta!U59</f>
        <v>0.59</v>
      </c>
    </row>
    <row r="74" spans="1:22" ht="9.9499999999999993" customHeight="1">
      <c r="A74" s="27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332B8-7F4B-47CD-9D2D-ECB1311E7E18}">
  <sheetPr codeName="Sheet4">
    <tabColor theme="3"/>
  </sheetPr>
  <dimension ref="A1:B6"/>
  <sheetViews>
    <sheetView workbookViewId="0">
      <selection activeCell="B5" sqref="B5"/>
    </sheetView>
  </sheetViews>
  <sheetFormatPr defaultRowHeight="15"/>
  <sheetData>
    <row r="1" spans="1:2">
      <c r="A1">
        <v>1</v>
      </c>
      <c r="B1" t="s">
        <v>95</v>
      </c>
    </row>
    <row r="2" spans="1:2">
      <c r="A2">
        <v>2</v>
      </c>
      <c r="B2" t="s">
        <v>93</v>
      </c>
    </row>
    <row r="3" spans="1:2">
      <c r="A3">
        <v>3</v>
      </c>
      <c r="B3" t="s">
        <v>94</v>
      </c>
    </row>
    <row r="4" spans="1:2">
      <c r="A4">
        <v>4</v>
      </c>
      <c r="B4" t="s">
        <v>96</v>
      </c>
    </row>
    <row r="5" spans="1:2">
      <c r="A5">
        <v>5</v>
      </c>
      <c r="B5" t="s">
        <v>97</v>
      </c>
    </row>
    <row r="6" spans="1:2">
      <c r="A6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A2685-A911-4B96-8218-A07F645ECE52}">
  <sheetPr codeName="Sheet2">
    <tabColor theme="9"/>
  </sheetPr>
  <dimension ref="A1:L48"/>
  <sheetViews>
    <sheetView workbookViewId="0">
      <selection activeCell="B4" sqref="B4"/>
    </sheetView>
  </sheetViews>
  <sheetFormatPr defaultRowHeight="15"/>
  <cols>
    <col min="1" max="1" width="25.140625" style="3" customWidth="1"/>
    <col min="2" max="2" width="9.140625" style="3"/>
    <col min="3" max="3" width="11.85546875" style="3" customWidth="1"/>
    <col min="4" max="4" width="11.7109375" style="3" bestFit="1" customWidth="1"/>
    <col min="5" max="5" width="9.140625" style="3"/>
    <col min="6" max="6" width="11.7109375" style="3" bestFit="1" customWidth="1"/>
    <col min="7" max="15" width="9.140625" style="3"/>
    <col min="16" max="16" width="18.85546875" style="3" customWidth="1"/>
    <col min="17" max="16384" width="9.140625" style="3"/>
  </cols>
  <sheetData>
    <row r="1" spans="1:9" ht="29.25" customHeight="1">
      <c r="A1" s="5" t="s">
        <v>62</v>
      </c>
      <c r="C1" s="3" t="str">
        <f>Data!$A$1</f>
        <v>BH</v>
      </c>
    </row>
    <row r="3" spans="1:9">
      <c r="A3" s="5" t="s">
        <v>63</v>
      </c>
      <c r="B3" s="19" t="s">
        <v>113</v>
      </c>
      <c r="D3" s="5" t="s">
        <v>64</v>
      </c>
      <c r="E3" s="19">
        <f>Data!V2</f>
        <v>139</v>
      </c>
    </row>
    <row r="5" spans="1:9">
      <c r="A5" s="5" t="s">
        <v>92</v>
      </c>
    </row>
    <row r="6" spans="1:9">
      <c r="A6" s="3" t="s">
        <v>65</v>
      </c>
      <c r="B6" s="6">
        <v>0.05</v>
      </c>
    </row>
    <row r="7" spans="1:9">
      <c r="A7" s="3" t="s">
        <v>66</v>
      </c>
      <c r="B7" s="6">
        <v>0.12</v>
      </c>
    </row>
    <row r="8" spans="1:9">
      <c r="A8" s="3" t="s">
        <v>90</v>
      </c>
      <c r="B8" s="7">
        <v>1</v>
      </c>
    </row>
    <row r="9" spans="1:9">
      <c r="A9" s="3" t="s">
        <v>91</v>
      </c>
      <c r="B9" s="8">
        <f>B6+(B7-B6)*B8</f>
        <v>0.12</v>
      </c>
    </row>
    <row r="11" spans="1:9">
      <c r="A11" s="5" t="s">
        <v>67</v>
      </c>
      <c r="F11" s="9"/>
      <c r="G11" s="10">
        <f>Data!G1</f>
        <v>2016</v>
      </c>
      <c r="H11" s="10">
        <f>Data!H1</f>
        <v>2017</v>
      </c>
      <c r="I11" s="10">
        <f>Data!I1</f>
        <v>2018</v>
      </c>
    </row>
    <row r="12" spans="1:9">
      <c r="A12" s="3" t="s">
        <v>68</v>
      </c>
      <c r="B12" s="11">
        <v>0.06</v>
      </c>
      <c r="F12" s="3" t="s">
        <v>68</v>
      </c>
      <c r="G12" s="12">
        <f>VLOOKUP("Return on Equity",Data!$A$1:$V$73,MATCH(Valuation!G$11,Data!$A$1:$V$1,0),FALSE)</f>
        <v>0.251</v>
      </c>
      <c r="H12" s="12">
        <f>VLOOKUP("Return on Equity",Data!$A$1:$V$73,MATCH(Valuation!H$11,Data!$A$1:$V$1,0),FALSE)</f>
        <v>0.24</v>
      </c>
      <c r="I12" s="12">
        <f>VLOOKUP("Return on Equity",Data!$A$1:$V$73,MATCH(Valuation!I$11,Data!$A$1:$V$1,0),FALSE)</f>
        <v>0.22500000000000001</v>
      </c>
    </row>
    <row r="13" spans="1:9">
      <c r="A13" s="3" t="s">
        <v>69</v>
      </c>
      <c r="B13" s="11">
        <v>0.5</v>
      </c>
      <c r="F13" s="13" t="s">
        <v>69</v>
      </c>
      <c r="G13" s="14">
        <f>VLOOKUP("Dividend Payout Ratio",Data!$A$1:$V$73,MATCH(Valuation!G$11,Data!$A$1:$V$1,0),FALSE)</f>
        <v>0.59799999999999998</v>
      </c>
      <c r="H13" s="14">
        <f>VLOOKUP("Dividend Payout Ratio",Data!$A$1:$V$73,MATCH(Valuation!H$11,Data!$A$1:$V$1,0),FALSE)</f>
        <v>0.59299999999999997</v>
      </c>
      <c r="I13" s="14">
        <f>VLOOKUP("Dividend Payout Ratio",Data!$A$1:$V$73,MATCH(Valuation!I$11,Data!$A$1:$V$1,0),FALSE)</f>
        <v>0.60499999999999998</v>
      </c>
    </row>
    <row r="14" spans="1:9">
      <c r="A14" s="3" t="s">
        <v>70</v>
      </c>
      <c r="B14" s="15">
        <f>B12*(1-B13)</f>
        <v>0.03</v>
      </c>
    </row>
    <row r="17" spans="1:12">
      <c r="A17" s="5" t="s">
        <v>71</v>
      </c>
    </row>
    <row r="18" spans="1:12">
      <c r="F18" s="9"/>
      <c r="G18" s="10">
        <f>G$11</f>
        <v>2016</v>
      </c>
      <c r="H18" s="10">
        <f t="shared" ref="H18:I18" si="0">H$11</f>
        <v>2017</v>
      </c>
      <c r="I18" s="10">
        <f t="shared" si="0"/>
        <v>2018</v>
      </c>
    </row>
    <row r="19" spans="1:12">
      <c r="A19" s="3" t="s">
        <v>99</v>
      </c>
      <c r="B19" s="4">
        <f>AVERAGE(G19:I19)</f>
        <v>2.6999999999999997</v>
      </c>
      <c r="F19" s="18" t="s">
        <v>98</v>
      </c>
      <c r="G19" s="4">
        <f>VLOOKUP("Dividend per Share",Data!$A$1:$V$73,MATCH(Valuation!G$18,Data!$A$1:$V$1,0),FALSE)</f>
        <v>2.5</v>
      </c>
      <c r="H19" s="4">
        <f>VLOOKUP("Dividend per Share",Data!$A$1:$V$73,MATCH(Valuation!H$18,Data!$A$1:$V$1,0),FALSE)</f>
        <v>2.7</v>
      </c>
      <c r="I19" s="4">
        <f>VLOOKUP("Dividend per Share",Data!$A$1:$V$73,MATCH(Valuation!I$18,Data!$A$1:$V$1,0),FALSE)</f>
        <v>2.9</v>
      </c>
    </row>
    <row r="20" spans="1:12">
      <c r="A20" s="3" t="s">
        <v>72</v>
      </c>
      <c r="B20" s="20">
        <f>B19*(1+g)/(Ke-g)</f>
        <v>30.9</v>
      </c>
    </row>
    <row r="21" spans="1:12">
      <c r="B21" s="16"/>
    </row>
    <row r="23" spans="1:12">
      <c r="A23" s="3" t="s">
        <v>73</v>
      </c>
      <c r="B23" s="11">
        <v>0.03</v>
      </c>
      <c r="C23" s="11">
        <v>0.05</v>
      </c>
      <c r="D23" s="11">
        <v>7.0000000000000007E-2</v>
      </c>
    </row>
    <row r="24" spans="1:12">
      <c r="A24" s="3" t="s">
        <v>74</v>
      </c>
      <c r="B24" s="20">
        <f>B19*(1+B23)/(Ke-B23)</f>
        <v>30.9</v>
      </c>
      <c r="C24" s="20">
        <f>B19*(1+C23)/(Ke-C23)</f>
        <v>40.500000000000007</v>
      </c>
      <c r="D24" s="20">
        <f>B19*(1+D23)/(Ke-D23)</f>
        <v>57.780000000000008</v>
      </c>
    </row>
    <row r="26" spans="1:12">
      <c r="A26" s="5" t="s">
        <v>75</v>
      </c>
    </row>
    <row r="27" spans="1:12">
      <c r="F27" s="9"/>
      <c r="G27" s="10">
        <f>G$11</f>
        <v>2016</v>
      </c>
      <c r="H27" s="10">
        <f t="shared" ref="H27:I27" si="1">H$11</f>
        <v>2017</v>
      </c>
      <c r="I27" s="10">
        <f t="shared" si="1"/>
        <v>2018</v>
      </c>
    </row>
    <row r="28" spans="1:12">
      <c r="A28" s="3" t="s">
        <v>76</v>
      </c>
      <c r="B28" s="4">
        <f>AVERAGE(G28:I28)</f>
        <v>4.5066666666666668</v>
      </c>
      <c r="F28" s="18" t="s">
        <v>105</v>
      </c>
      <c r="G28" s="4">
        <f>VLOOKUP("Earnings per Share",Data!$A$1:$V$73,MATCH(Valuation!G$18,Data!$A$1:$V$1,0),FALSE)</f>
        <v>4.18</v>
      </c>
      <c r="H28" s="4">
        <f>VLOOKUP("Earnings per Share",Data!$A$1:$V$73,MATCH(Valuation!H$18,Data!$A$1:$V$1,0),FALSE)</f>
        <v>4.55</v>
      </c>
      <c r="I28" s="4">
        <f>VLOOKUP("Earnings per Share",Data!$A$1:$V$73,MATCH(Valuation!I$18,Data!$A$1:$V$1,0),FALSE)</f>
        <v>4.79</v>
      </c>
    </row>
    <row r="30" spans="1:12">
      <c r="F30" s="9"/>
      <c r="G30" s="10" t="s">
        <v>100</v>
      </c>
      <c r="H30" s="10" t="s">
        <v>101</v>
      </c>
      <c r="I30" s="10" t="s">
        <v>102</v>
      </c>
      <c r="K30" s="5" t="s">
        <v>103</v>
      </c>
      <c r="L30" s="3">
        <v>2011</v>
      </c>
    </row>
    <row r="31" spans="1:12">
      <c r="A31" s="3" t="s">
        <v>77</v>
      </c>
      <c r="B31" s="16">
        <f>B13/(Ke-g)</f>
        <v>5.5555555555555554</v>
      </c>
      <c r="F31" s="3" t="s">
        <v>78</v>
      </c>
      <c r="G31" s="17">
        <f ca="1">MAX(INDIRECT("Data!" &amp; ADDRESS(10,MATCH($L$30,Data!$A$1:$V$1,0))):INDIRECT("Data!" &amp; ADDRESS(10,MATCH($L$31,Data!$A$1:$V$1,0))))</f>
        <v>54.8</v>
      </c>
      <c r="H31" s="17">
        <f ca="1">AVERAGE(INDIRECT("Data!" &amp; ADDRESS(10,MATCH($L$30,Data!$A$1:$V$1,0))):INDIRECT("Data!" &amp; ADDRESS(10,MATCH($L$31,Data!$A$1:$V$1,0))))</f>
        <v>39.474999999999994</v>
      </c>
      <c r="I31" s="17">
        <f ca="1">MIN(INDIRECT("Data!" &amp; ADDRESS(10,MATCH($L$30,Data!$A$1:$V$1,0))):INDIRECT("Data!" &amp; ADDRESS(10,MATCH($L$31,Data!$A$1:$V$1,0))))</f>
        <v>25</v>
      </c>
      <c r="K31" s="5" t="s">
        <v>104</v>
      </c>
      <c r="L31" s="3">
        <v>2018</v>
      </c>
    </row>
    <row r="32" spans="1:12">
      <c r="A32" s="3" t="s">
        <v>72</v>
      </c>
      <c r="B32" s="21">
        <f>B31*(B28*(1+g))</f>
        <v>25.788148148148149</v>
      </c>
      <c r="F32" s="13" t="s">
        <v>79</v>
      </c>
      <c r="G32" s="22">
        <f ca="1">G31*B28*(1+B34)</f>
        <v>254.37429333333333</v>
      </c>
      <c r="H32" s="22">
        <f ca="1">H31*B28*(1+B34)</f>
        <v>183.23768666666663</v>
      </c>
      <c r="I32" s="22">
        <f ca="1">I31*B28*(1+B34)</f>
        <v>116.04666666666668</v>
      </c>
    </row>
    <row r="34" spans="1:9">
      <c r="A34" s="3" t="s">
        <v>73</v>
      </c>
      <c r="B34" s="11">
        <f>B23</f>
        <v>0.03</v>
      </c>
      <c r="C34" s="11">
        <f t="shared" ref="C34:D34" si="2">C23</f>
        <v>0.05</v>
      </c>
      <c r="D34" s="11">
        <f t="shared" si="2"/>
        <v>7.0000000000000007E-2</v>
      </c>
    </row>
    <row r="35" spans="1:9">
      <c r="A35" s="3" t="s">
        <v>77</v>
      </c>
      <c r="B35" s="16">
        <f>Payout/(Ke-B34)</f>
        <v>5.5555555555555554</v>
      </c>
      <c r="C35" s="16">
        <f>Payout/(Ke-C34)</f>
        <v>7.1428571428571432</v>
      </c>
      <c r="D35" s="16">
        <f>Payout/(Ke-D34)</f>
        <v>10.000000000000002</v>
      </c>
    </row>
    <row r="36" spans="1:9">
      <c r="A36" s="3" t="s">
        <v>74</v>
      </c>
      <c r="B36" s="21">
        <f>B28*(1+B34)*B35</f>
        <v>25.788148148148149</v>
      </c>
      <c r="C36" s="21">
        <f>B28*(1+C34)*C35</f>
        <v>33.800000000000004</v>
      </c>
      <c r="D36" s="21">
        <f>B28*(1+D34)*D35</f>
        <v>48.221333333333341</v>
      </c>
    </row>
    <row r="38" spans="1:9">
      <c r="A38" s="5" t="s">
        <v>80</v>
      </c>
    </row>
    <row r="39" spans="1:9">
      <c r="F39" s="9"/>
      <c r="G39" s="10">
        <f>G$11</f>
        <v>2016</v>
      </c>
      <c r="H39" s="10">
        <f t="shared" ref="H39:I39" si="3">H$11</f>
        <v>2017</v>
      </c>
      <c r="I39" s="10">
        <f t="shared" si="3"/>
        <v>2018</v>
      </c>
    </row>
    <row r="40" spans="1:9">
      <c r="A40" s="3" t="s">
        <v>81</v>
      </c>
      <c r="B40" s="7"/>
      <c r="F40" s="18" t="s">
        <v>106</v>
      </c>
      <c r="G40" s="4">
        <f>VLOOKUP("Earnings per Share",Data!$A$1:$V$73,MATCH(Valuation!G$18,Data!$A$1:$V$1,0),FALSE)</f>
        <v>4.18</v>
      </c>
      <c r="H40" s="4">
        <f>VLOOKUP("Earnings per Share",Data!$A$1:$V$73,MATCH(Valuation!H$18,Data!$A$1:$V$1,0),FALSE)</f>
        <v>4.55</v>
      </c>
      <c r="I40" s="4">
        <f>VLOOKUP("Earnings per Share",Data!$A$1:$V$73,MATCH(Valuation!I$18,Data!$A$1:$V$1,0),FALSE)</f>
        <v>4.79</v>
      </c>
    </row>
    <row r="42" spans="1:9">
      <c r="F42" s="9"/>
      <c r="G42" s="10" t="s">
        <v>100</v>
      </c>
      <c r="H42" s="10" t="s">
        <v>101</v>
      </c>
      <c r="I42" s="10" t="s">
        <v>102</v>
      </c>
    </row>
    <row r="43" spans="1:9">
      <c r="A43" s="3" t="s">
        <v>82</v>
      </c>
      <c r="B43" s="16">
        <f>(RoE-g)/(Ke-g)</f>
        <v>0.33333333333333331</v>
      </c>
      <c r="F43" s="3" t="s">
        <v>83</v>
      </c>
      <c r="G43" s="17">
        <f ca="1">MAX(INDIRECT("Data!" &amp; ADDRESS(11,MATCH($L$30,Data!$A$1:$V$1,0))):INDIRECT("Data!" &amp; ADDRESS(11,MATCH($L$31,Data!$A$1:$V$1,0))))</f>
        <v>12.1</v>
      </c>
      <c r="H43" s="17">
        <f ca="1">AVERAGE(INDIRECT("Data!" &amp; ADDRESS(11,MATCH($L$30,Data!$A$1:$V$1,0))):INDIRECT("Data!" &amp; ADDRESS(11,MATCH($L$31,Data!$A$1:$V$1,0))))</f>
        <v>8.5625</v>
      </c>
      <c r="I43" s="17">
        <f ca="1">MIN(INDIRECT("Data!" &amp; ADDRESS(11,MATCH($L$30,Data!$A$1:$V$1,0))):INDIRECT("Data!" &amp; ADDRESS(11,MATCH($L$31,Data!$A$1:$V$1,0))))</f>
        <v>5.79</v>
      </c>
    </row>
    <row r="44" spans="1:9">
      <c r="A44" s="3" t="s">
        <v>72</v>
      </c>
      <c r="B44" s="23">
        <f>B43*(B40*(1+g))</f>
        <v>0</v>
      </c>
      <c r="F44" s="13" t="s">
        <v>79</v>
      </c>
      <c r="G44" s="22">
        <f ca="1">G43*B40*(1+B46)</f>
        <v>0</v>
      </c>
      <c r="H44" s="22">
        <f ca="1">H43*B40*(1+B46)</f>
        <v>0</v>
      </c>
      <c r="I44" s="22">
        <f ca="1">I43*B40*(1+B46)</f>
        <v>0</v>
      </c>
    </row>
    <row r="46" spans="1:9">
      <c r="A46" s="3" t="s">
        <v>73</v>
      </c>
      <c r="B46" s="11">
        <f>B23</f>
        <v>0.03</v>
      </c>
      <c r="C46" s="11">
        <f t="shared" ref="C46:D46" si="4">C23</f>
        <v>0.05</v>
      </c>
      <c r="D46" s="11">
        <f t="shared" si="4"/>
        <v>7.0000000000000007E-2</v>
      </c>
    </row>
    <row r="47" spans="1:9">
      <c r="A47" s="3" t="s">
        <v>82</v>
      </c>
      <c r="B47" s="16">
        <f>(RoE-B46)/(Ke-B46)</f>
        <v>0.33333333333333331</v>
      </c>
      <c r="C47" s="16">
        <f>(RoE-C46)/(Ke-C46)</f>
        <v>0.14285714285714279</v>
      </c>
      <c r="D47" s="16">
        <f>(RoE-D46)/(Ke-D46)</f>
        <v>-0.20000000000000023</v>
      </c>
    </row>
    <row r="48" spans="1:9">
      <c r="A48" s="3" t="s">
        <v>74</v>
      </c>
      <c r="B48" s="21">
        <f>B47*B40*(1+B46)</f>
        <v>0</v>
      </c>
      <c r="C48" s="21">
        <f>C47*B40*(1+C46)</f>
        <v>0</v>
      </c>
      <c r="D48" s="21">
        <f>D47*B40*(1+D46)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Import">
                <anchor moveWithCells="1" sizeWithCells="1">
                  <from>
                    <xdr:col>1</xdr:col>
                    <xdr:colOff>57150</xdr:colOff>
                    <xdr:row>0</xdr:row>
                    <xdr:rowOff>76200</xdr:rowOff>
                  </from>
                  <to>
                    <xdr:col>1</xdr:col>
                    <xdr:colOff>542925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66</vt:i4>
      </vt:variant>
    </vt:vector>
  </HeadingPairs>
  <TitlesOfParts>
    <vt:vector size="72" baseType="lpstr">
      <vt:lpstr>SET</vt:lpstr>
      <vt:lpstr>HistPrice</vt:lpstr>
      <vt:lpstr>Jitta</vt:lpstr>
      <vt:lpstr>Data</vt:lpstr>
      <vt:lpstr>Tip</vt:lpstr>
      <vt:lpstr>Valuation</vt:lpstr>
      <vt:lpstr>HistPrice!ExternalData_10</vt:lpstr>
      <vt:lpstr>Jitta!ExternalData_10</vt:lpstr>
      <vt:lpstr>HistPrice!ExternalData_11</vt:lpstr>
      <vt:lpstr>Jitta!ExternalData_11</vt:lpstr>
      <vt:lpstr>HistPrice!ExternalData_12</vt:lpstr>
      <vt:lpstr>Jitta!ExternalData_12</vt:lpstr>
      <vt:lpstr>HistPrice!ExternalData_13</vt:lpstr>
      <vt:lpstr>Jitta!ExternalData_13</vt:lpstr>
      <vt:lpstr>HistPrice!ExternalData_14</vt:lpstr>
      <vt:lpstr>HistPrice!ExternalData_15</vt:lpstr>
      <vt:lpstr>HistPrice!ExternalData_16</vt:lpstr>
      <vt:lpstr>HistPrice!ExternalData_17</vt:lpstr>
      <vt:lpstr>Jitta!ExternalData_17</vt:lpstr>
      <vt:lpstr>Jitta!ExternalData_2</vt:lpstr>
      <vt:lpstr>SET!ExternalData_2</vt:lpstr>
      <vt:lpstr>Jitta!ExternalData_22</vt:lpstr>
      <vt:lpstr>Jitta!ExternalData_23</vt:lpstr>
      <vt:lpstr>Jitta!ExternalData_24</vt:lpstr>
      <vt:lpstr>Jitta!ExternalData_25</vt:lpstr>
      <vt:lpstr>Jitta!ExternalData_26</vt:lpstr>
      <vt:lpstr>Jitta!ExternalData_27</vt:lpstr>
      <vt:lpstr>Jitta!ExternalData_28</vt:lpstr>
      <vt:lpstr>Jitta!ExternalData_29</vt:lpstr>
      <vt:lpstr>Jitta!ExternalData_30</vt:lpstr>
      <vt:lpstr>Jitta!ExternalData_31</vt:lpstr>
      <vt:lpstr>Jitta!ExternalData_32</vt:lpstr>
      <vt:lpstr>Jitta!ExternalData_33</vt:lpstr>
      <vt:lpstr>Jitta!ExternalData_34</vt:lpstr>
      <vt:lpstr>Jitta!ExternalData_35</vt:lpstr>
      <vt:lpstr>Jitta!ExternalData_40</vt:lpstr>
      <vt:lpstr>Jitta!ExternalData_41</vt:lpstr>
      <vt:lpstr>Jitta!ExternalData_42</vt:lpstr>
      <vt:lpstr>Jitta!ExternalData_43</vt:lpstr>
      <vt:lpstr>Jitta!ExternalData_44</vt:lpstr>
      <vt:lpstr>Jitta!ExternalData_45</vt:lpstr>
      <vt:lpstr>Jitta!ExternalData_46</vt:lpstr>
      <vt:lpstr>Jitta!ExternalData_47</vt:lpstr>
      <vt:lpstr>Jitta!ExternalData_48</vt:lpstr>
      <vt:lpstr>Jitta!ExternalData_49</vt:lpstr>
      <vt:lpstr>HistPrice!ExternalData_5</vt:lpstr>
      <vt:lpstr>Jitta!ExternalData_50</vt:lpstr>
      <vt:lpstr>Jitta!ExternalData_51</vt:lpstr>
      <vt:lpstr>Jitta!ExternalData_52</vt:lpstr>
      <vt:lpstr>Jitta!ExternalData_54</vt:lpstr>
      <vt:lpstr>Jitta!ExternalData_55</vt:lpstr>
      <vt:lpstr>Jitta!ExternalData_56</vt:lpstr>
      <vt:lpstr>Jitta!ExternalData_57</vt:lpstr>
      <vt:lpstr>Jitta!ExternalData_58</vt:lpstr>
      <vt:lpstr>Jitta!ExternalData_59</vt:lpstr>
      <vt:lpstr>HistPrice!ExternalData_6</vt:lpstr>
      <vt:lpstr>SET!ExternalData_6</vt:lpstr>
      <vt:lpstr>Jitta!ExternalData_60</vt:lpstr>
      <vt:lpstr>Jitta!ExternalData_61</vt:lpstr>
      <vt:lpstr>Jitta!ExternalData_62</vt:lpstr>
      <vt:lpstr>HistPrice!ExternalData_7</vt:lpstr>
      <vt:lpstr>Jitta!ExternalData_7</vt:lpstr>
      <vt:lpstr>SET!ExternalData_7</vt:lpstr>
      <vt:lpstr>HistPrice!ExternalData_8</vt:lpstr>
      <vt:lpstr>Jitta!ExternalData_8</vt:lpstr>
      <vt:lpstr>SET!ExternalData_8</vt:lpstr>
      <vt:lpstr>HistPrice!ExternalData_9</vt:lpstr>
      <vt:lpstr>Jitta!ExternalData_9</vt:lpstr>
      <vt:lpstr>g</vt:lpstr>
      <vt:lpstr>Ke</vt:lpstr>
      <vt:lpstr>Payout</vt:lpstr>
      <vt:lpstr>RoE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Paroon</dc:creator>
  <cp:lastModifiedBy>Paroon</cp:lastModifiedBy>
  <dcterms:created xsi:type="dcterms:W3CDTF">2020-01-02T07:08:03Z</dcterms:created>
  <dcterms:modified xsi:type="dcterms:W3CDTF">2020-01-08T02:28:42Z</dcterms:modified>
</cp:coreProperties>
</file>